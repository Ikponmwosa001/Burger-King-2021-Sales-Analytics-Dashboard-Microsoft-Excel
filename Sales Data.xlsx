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pivotTables/pivotTable3.xml" ContentType="application/vnd.openxmlformats-officedocument.spreadsheetml.pivotTable+xml"/>
  <Override PartName="/xl/drawings/drawing4.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xml"/>
  <Override PartName="/xl/pivotTables/pivotTable9.xml" ContentType="application/vnd.openxmlformats-officedocument.spreadsheetml.pivotTable+xml"/>
  <Override PartName="/xl/drawings/drawing11.xml" ContentType="application/vnd.openxmlformats-officedocument.drawing+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2.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Ex2.xml" ContentType="application/vnd.ms-office.chartex+xml"/>
  <Override PartName="/xl/charts/style17.xml" ContentType="application/vnd.ms-office.chartstyle+xml"/>
  <Override PartName="/xl/charts/colors17.xml" ContentType="application/vnd.ms-office.chartcolorstyle+xml"/>
  <Override PartName="/xl/drawings/drawing13.xml" ContentType="application/vnd.openxmlformats-officedocument.drawing+xml"/>
  <Override PartName="/xl/drawings/drawing14.xml" ContentType="application/vnd.openxmlformats-officedocument.drawing+xml"/>
  <Override PartName="/xl/slicers/slicer2.xml" ContentType="application/vnd.ms-excel.slicer+xml"/>
  <Override PartName="/xl/charts/chartEx3.xml" ContentType="application/vnd.ms-office.chartex+xml"/>
  <Override PartName="/xl/charts/style18.xml" ContentType="application/vnd.ms-office.chartstyle+xml"/>
  <Override PartName="/xl/charts/colors18.xml" ContentType="application/vnd.ms-office.chartcolorstyle+xml"/>
  <Override PartName="/xl/charts/chart16.xml" ContentType="application/vnd.openxmlformats-officedocument.drawingml.chart+xml"/>
  <Override PartName="/xl/charts/style19.xml" ContentType="application/vnd.ms-office.chartstyle+xml"/>
  <Override PartName="/xl/charts/colors19.xml" ContentType="application/vnd.ms-office.chartcolorstyle+xml"/>
  <Override PartName="/xl/charts/chart17.xml" ContentType="application/vnd.openxmlformats-officedocument.drawingml.chart+xml"/>
  <Override PartName="/xl/charts/style20.xml" ContentType="application/vnd.ms-office.chartstyle+xml"/>
  <Override PartName="/xl/charts/colors20.xml" ContentType="application/vnd.ms-office.chartcolorstyle+xml"/>
  <Override PartName="/xl/charts/chart18.xml" ContentType="application/vnd.openxmlformats-officedocument.drawingml.chart+xml"/>
  <Override PartName="/xl/charts/style21.xml" ContentType="application/vnd.ms-office.chartstyle+xml"/>
  <Override PartName="/xl/charts/colors21.xml" ContentType="application/vnd.ms-office.chartcolorstyle+xml"/>
  <Override PartName="/xl/charts/chart19.xml" ContentType="application/vnd.openxmlformats-officedocument.drawingml.chart+xml"/>
  <Override PartName="/xl/charts/chart20.xml" ContentType="application/vnd.openxmlformats-officedocument.drawingml.chart+xml"/>
  <Override PartName="/xl/charts/style22.xml" ContentType="application/vnd.ms-office.chartstyle+xml"/>
  <Override PartName="/xl/charts/colors22.xml" ContentType="application/vnd.ms-office.chartcolorstyle+xml"/>
  <Override PartName="/docProps/core.xml" ContentType="application/vnd.openxmlformats-package.core-properties+xml"/>
  <Override PartName="/docProps/app.xml" ContentType="application/vnd.openxmlformats-officedocument.extended-properties+xml"/>
  <Override PartName="/xl/persons/person0.xml" ContentType="application/vnd.ms-excel.person+xml"/>
  <Override PartName="/xl/persons/person.xml" ContentType="application/vnd.ms-excel.person+xml"/>
  <Override PartName="/xl/persons/person1.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mc:AlternateContent xmlns:mc="http://schemas.openxmlformats.org/markup-compatibility/2006">
    <mc:Choice Requires="x15">
      <x15ac:absPath xmlns:x15ac="http://schemas.microsoft.com/office/spreadsheetml/2010/11/ac" url="C:\Users\user\Downloads\"/>
    </mc:Choice>
  </mc:AlternateContent>
  <xr:revisionPtr revIDLastSave="0" documentId="13_ncr:1_{EF2DC2A3-AF47-4D21-8BF2-F648B9A07419}" xr6:coauthVersionLast="47" xr6:coauthVersionMax="47" xr10:uidLastSave="{00000000-0000-0000-0000-000000000000}"/>
  <bookViews>
    <workbookView xWindow="-120" yWindow="-120" windowWidth="20730" windowHeight="11040" firstSheet="11" activeTab="11" xr2:uid="{00000000-000D-0000-FFFF-FFFF00000000}"/>
  </bookViews>
  <sheets>
    <sheet name="Task" sheetId="15" r:id="rId1"/>
    <sheet name="Data (2)" sheetId="17" r:id="rId2"/>
    <sheet name="TRANSACTIONS BY AMOUNT" sheetId="32" r:id="rId3"/>
    <sheet name="PERFORMANCE BY STATE " sheetId="42" r:id="rId4"/>
    <sheet name="IN ANALYSIS BOARD" sheetId="18" r:id="rId5"/>
    <sheet name="Top 6 SHIP CITIES BY REVENUE" sheetId="36" r:id="rId6"/>
    <sheet name="SALES BY PRODUCT CATEGORY" sheetId="30" r:id="rId7"/>
    <sheet name="TOP 5 CITIES" sheetId="35" r:id="rId8"/>
    <sheet name="SALES PERFORMANCE BY REGION" sheetId="39" r:id="rId9"/>
    <sheet name="SALES TREND REPORT" sheetId="25" r:id="rId10"/>
    <sheet name="SALES PERFORMANCE BY REPS" sheetId="24" r:id="rId11"/>
    <sheet name="Pivot Table Diagram" sheetId="4" r:id="rId12"/>
    <sheet name="TOP 10 CUSTOMERS" sheetId="26" r:id="rId13"/>
    <sheet name="DASH BOARD" sheetId="49" r:id="rId14"/>
    <sheet name="POST ANALYSIS BOARD" sheetId="45" r:id="rId15"/>
    <sheet name="DASH BOARD STYLE 1" sheetId="48" r:id="rId16"/>
  </sheets>
  <definedNames>
    <definedName name="_xlnm._FilterDatabase" localSheetId="1" hidden="1">'Data (2)'!$A$1:$Z$370</definedName>
    <definedName name="_xlchart.v5.0" hidden="1">'PERFORMANCE BY STATE '!$E$2</definedName>
    <definedName name="_xlchart.v5.1" hidden="1">'PERFORMANCE BY STATE '!$E$3:$E$14</definedName>
    <definedName name="_xlchart.v5.10" hidden="1">'PERFORMANCE BY STATE '!$F$2</definedName>
    <definedName name="_xlchart.v5.11" hidden="1">'PERFORMANCE BY STATE '!$F$3:$F$14</definedName>
    <definedName name="_xlchart.v5.2" hidden="1">'PERFORMANCE BY STATE '!$F$2</definedName>
    <definedName name="_xlchart.v5.3" hidden="1">'PERFORMANCE BY STATE '!$F$3:$F$14</definedName>
    <definedName name="_xlchart.v5.4" hidden="1">'PERFORMANCE BY STATE '!$E$2</definedName>
    <definedName name="_xlchart.v5.5" hidden="1">'PERFORMANCE BY STATE '!$E$3:$E$14</definedName>
    <definedName name="_xlchart.v5.6" hidden="1">'PERFORMANCE BY STATE '!$F$2</definedName>
    <definedName name="_xlchart.v5.7" hidden="1">'PERFORMANCE BY STATE '!$F$3:$F$14</definedName>
    <definedName name="_xlchart.v5.8" hidden="1">'PERFORMANCE BY STATE '!$E$2</definedName>
    <definedName name="_xlchart.v5.9" hidden="1">'PERFORMANCE BY STATE '!$E$3:$E$14</definedName>
    <definedName name="Slicer_Category">#N/A</definedName>
    <definedName name="Slicer_Customer_Name">#N/A</definedName>
    <definedName name="Slicer_Product_Name">#N/A</definedName>
    <definedName name="Slicer_Region">#N/A</definedName>
    <definedName name="Slicer_Salesperson">#N/A</definedName>
  </definedNames>
  <calcPr calcId="191029" iterate="1"/>
  <pivotCaches>
    <pivotCache cacheId="0" r:id="rId17"/>
  </pivotCaches>
  <extLst>
    <ext xmlns:x14="http://schemas.microsoft.com/office/spreadsheetml/2009/9/main" uri="{BBE1A952-AA13-448e-AADC-164F8A28A991}">
      <x14:slicerCaches>
        <x14:slicerCache r:id="rId18"/>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<sst xmlns="http://schemas.openxmlformats.org/spreadsheetml/2006/main" count="5900" uniqueCount="193">
  <si>
    <t>Order ID</t>
  </si>
  <si>
    <t>Order Date</t>
  </si>
  <si>
    <t>Customer ID</t>
  </si>
  <si>
    <t>Customer Name</t>
  </si>
  <si>
    <t>Address</t>
  </si>
  <si>
    <t>City</t>
  </si>
  <si>
    <t>State</t>
  </si>
  <si>
    <t>ZIP/Postal Code</t>
  </si>
  <si>
    <t>Country/Region</t>
  </si>
  <si>
    <t>Salesperson</t>
  </si>
  <si>
    <t>Region</t>
  </si>
  <si>
    <t>Shipped Date</t>
  </si>
  <si>
    <t>Shipper Name</t>
  </si>
  <si>
    <t>Ship Name</t>
  </si>
  <si>
    <t>Ship Address</t>
  </si>
  <si>
    <t>Ship City</t>
  </si>
  <si>
    <t>Ship State</t>
  </si>
  <si>
    <t>Ship ZIP/Postal Code</t>
  </si>
  <si>
    <t>Ship Country/Region</t>
  </si>
  <si>
    <t>Payment Type</t>
  </si>
  <si>
    <t>Product Name</t>
  </si>
  <si>
    <t>Category</t>
  </si>
  <si>
    <t>Unit Price</t>
  </si>
  <si>
    <t>Quantity</t>
  </si>
  <si>
    <t>Revenue</t>
  </si>
  <si>
    <t>Shipping Fee</t>
  </si>
  <si>
    <t>Company AA</t>
  </si>
  <si>
    <t>789 27th Street</t>
  </si>
  <si>
    <t>Las Vegas</t>
  </si>
  <si>
    <t>NV</t>
  </si>
  <si>
    <t>USA</t>
  </si>
  <si>
    <t>Mariya Sergienko</t>
  </si>
  <si>
    <t>West</t>
  </si>
  <si>
    <t>Shipping Company B</t>
  </si>
  <si>
    <t>Karen Toh</t>
  </si>
  <si>
    <t>Check</t>
  </si>
  <si>
    <t>Beer</t>
  </si>
  <si>
    <t>Beverages</t>
  </si>
  <si>
    <t>Dried Plums</t>
  </si>
  <si>
    <t>Dried Fruit &amp; Nuts</t>
  </si>
  <si>
    <t>Company D</t>
  </si>
  <si>
    <t>123 4th Street</t>
  </si>
  <si>
    <t>New York</t>
  </si>
  <si>
    <t>NY</t>
  </si>
  <si>
    <t>Andrew Cencini</t>
  </si>
  <si>
    <t>East</t>
  </si>
  <si>
    <t>Shipping Company A</t>
  </si>
  <si>
    <t>Christina Lee</t>
  </si>
  <si>
    <t>Credit Card</t>
  </si>
  <si>
    <t>Dried Pears</t>
  </si>
  <si>
    <t>Dried Apples</t>
  </si>
  <si>
    <t>Company L</t>
  </si>
  <si>
    <t>123 12th Street</t>
  </si>
  <si>
    <t>John Edwards</t>
  </si>
  <si>
    <t>Chai</t>
  </si>
  <si>
    <t>Coffee</t>
  </si>
  <si>
    <t>Company H</t>
  </si>
  <si>
    <t>123 8th Street</t>
  </si>
  <si>
    <t>Portland</t>
  </si>
  <si>
    <t>OR</t>
  </si>
  <si>
    <t>Nancy Freehafer</t>
  </si>
  <si>
    <t>North</t>
  </si>
  <si>
    <t>Shipping Company C</t>
  </si>
  <si>
    <t>Elizabeth Andersen</t>
  </si>
  <si>
    <t>Chocolate Biscuits Mix</t>
  </si>
  <si>
    <t>Baked Goods &amp; Mixes</t>
  </si>
  <si>
    <t>Company CC</t>
  </si>
  <si>
    <t>789 29th Street</t>
  </si>
  <si>
    <t>Denver</t>
  </si>
  <si>
    <t>CO</t>
  </si>
  <si>
    <t>Jan Kotas</t>
  </si>
  <si>
    <t>Soo Jung Lee</t>
  </si>
  <si>
    <t>Chocolate</t>
  </si>
  <si>
    <t>Candy</t>
  </si>
  <si>
    <t>Company C</t>
  </si>
  <si>
    <t>123 3rd Street</t>
  </si>
  <si>
    <t>Los Angelas</t>
  </si>
  <si>
    <t>CA</t>
  </si>
  <si>
    <t>Thomas Axerr</t>
  </si>
  <si>
    <t>Cash</t>
  </si>
  <si>
    <t>Clam Chowder</t>
  </si>
  <si>
    <t>Soups</t>
  </si>
  <si>
    <t>Company F</t>
  </si>
  <si>
    <t>123 6th Street</t>
  </si>
  <si>
    <t>Milwaukee</t>
  </si>
  <si>
    <t>WI</t>
  </si>
  <si>
    <t>Michael Neipper</t>
  </si>
  <si>
    <t>Francisco Pérez-Olaeta</t>
  </si>
  <si>
    <t>Curry Sauce</t>
  </si>
  <si>
    <t>Sauces</t>
  </si>
  <si>
    <t>Company BB</t>
  </si>
  <si>
    <t>789 28th Street</t>
  </si>
  <si>
    <t>Memphis</t>
  </si>
  <si>
    <t>TN</t>
  </si>
  <si>
    <t>Anne Larsen</t>
  </si>
  <si>
    <t>South</t>
  </si>
  <si>
    <t>Amritansh Raghav</t>
  </si>
  <si>
    <t>Company J</t>
  </si>
  <si>
    <t>123 10th Street</t>
  </si>
  <si>
    <t>Chicago</t>
  </si>
  <si>
    <t>IL</t>
  </si>
  <si>
    <t>Laura Giussani</t>
  </si>
  <si>
    <t>Roland Wacker</t>
  </si>
  <si>
    <t>Green Tea</t>
  </si>
  <si>
    <t>Company G</t>
  </si>
  <si>
    <t>123 7th Street</t>
  </si>
  <si>
    <t>Boise</t>
  </si>
  <si>
    <t>ID</t>
  </si>
  <si>
    <t>Ming-Yang Xie</t>
  </si>
  <si>
    <t>Boysenberry Spread</t>
  </si>
  <si>
    <t>Jams, Preserves</t>
  </si>
  <si>
    <t>Cajun Seasoning</t>
  </si>
  <si>
    <t>Condiments</t>
  </si>
  <si>
    <t>Company K</t>
  </si>
  <si>
    <t>123 11th Street</t>
  </si>
  <si>
    <t>Miami</t>
  </si>
  <si>
    <t>FL</t>
  </si>
  <si>
    <t>Peter Krschne</t>
  </si>
  <si>
    <t>Company A</t>
  </si>
  <si>
    <t>123 1st Street</t>
  </si>
  <si>
    <t>Seattle</t>
  </si>
  <si>
    <t>WA</t>
  </si>
  <si>
    <t>Anna Bedecs</t>
  </si>
  <si>
    <t>Crab Meat</t>
  </si>
  <si>
    <t>Canned Meat</t>
  </si>
  <si>
    <t>Company I</t>
  </si>
  <si>
    <t>123 9th Street</t>
  </si>
  <si>
    <t>Salt Lake City</t>
  </si>
  <si>
    <t>UT</t>
  </si>
  <si>
    <t>Robert Zare</t>
  </si>
  <si>
    <t>Sven Mortensen</t>
  </si>
  <si>
    <t>Ravioli</t>
  </si>
  <si>
    <t>Pasta</t>
  </si>
  <si>
    <t>Mozzarella</t>
  </si>
  <si>
    <t>Dairy Products</t>
  </si>
  <si>
    <t>Syrup</t>
  </si>
  <si>
    <t>Almonds</t>
  </si>
  <si>
    <t>Company Y</t>
  </si>
  <si>
    <t>789 25th Street</t>
  </si>
  <si>
    <t>John Rodman</t>
  </si>
  <si>
    <t>Company Z</t>
  </si>
  <si>
    <t>789 26th Street</t>
  </si>
  <si>
    <t>Run Liu</t>
  </si>
  <si>
    <t>Fruit Cocktail</t>
  </si>
  <si>
    <t>Fruit &amp; Veg</t>
  </si>
  <si>
    <t>Gnocchi</t>
  </si>
  <si>
    <t>Scones</t>
  </si>
  <si>
    <t>Olive Oil</t>
  </si>
  <si>
    <t>Oil</t>
  </si>
  <si>
    <t>Marmalade</t>
  </si>
  <si>
    <t>Long Grain Rice</t>
  </si>
  <si>
    <t>Grains</t>
  </si>
  <si>
    <t>Source:</t>
  </si>
  <si>
    <t>Article:</t>
  </si>
  <si>
    <t>How Do Pivot Tables Work?</t>
  </si>
  <si>
    <t>http://www.excelcampus.com/pivot-tables/pivot-tables-work/</t>
  </si>
  <si>
    <t>Sales trend report</t>
  </si>
  <si>
    <t>Top 10 customers</t>
  </si>
  <si>
    <t>Sales by Rep</t>
  </si>
  <si>
    <t>Sales by Region</t>
  </si>
  <si>
    <t>Transaction by Amount.</t>
  </si>
  <si>
    <t>DATA ANALYST TASK LIST</t>
  </si>
  <si>
    <t>Analyze the sales data for 2014 and provide report for capturing the items listed below. An excellent report would aid management make strategic decisions for the coming year.</t>
  </si>
  <si>
    <t xml:space="preserve">Shipping Fee </t>
  </si>
  <si>
    <t xml:space="preserve">Sales By Product category </t>
  </si>
  <si>
    <t xml:space="preserve">Top 6 ship cities by revenue </t>
  </si>
  <si>
    <t xml:space="preserve">Top 5 cities By revenue </t>
  </si>
  <si>
    <t>Row Labels</t>
  </si>
  <si>
    <t>Grand Total</t>
  </si>
  <si>
    <t>Sum of Revenue</t>
  </si>
  <si>
    <t xml:space="preserve"> </t>
  </si>
  <si>
    <t>Shiping Fee Error</t>
  </si>
  <si>
    <t>&lt;1000</t>
  </si>
  <si>
    <t>1000-2000</t>
  </si>
  <si>
    <t>2000-3000</t>
  </si>
  <si>
    <t>3000-4000</t>
  </si>
  <si>
    <t>4000-5000</t>
  </si>
  <si>
    <t>Count of Revenue</t>
  </si>
  <si>
    <t>STATES</t>
  </si>
  <si>
    <t>REVENUE</t>
  </si>
  <si>
    <t>Jan</t>
  </si>
  <si>
    <t>Mar</t>
  </si>
  <si>
    <t>Apr</t>
  </si>
  <si>
    <t>May</t>
  </si>
  <si>
    <t>Jun</t>
  </si>
  <si>
    <t>Jul</t>
  </si>
  <si>
    <t>Aug</t>
  </si>
  <si>
    <t>Sep</t>
  </si>
  <si>
    <t>Oct</t>
  </si>
  <si>
    <t>Nov</t>
  </si>
  <si>
    <t>Dec</t>
  </si>
  <si>
    <t>6000-7000</t>
  </si>
  <si>
    <t>7000-8000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</si>
</sst>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mm/dd/yy;@"/>
    <numFmt numFmtId="165" formatCode="&quot;$&quot;#,##0.00"/>
  </numFmts>
  <fonts count="7"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2"/>
      <color theme="1"/>
      <name val="Calibri"/>
      <family val="2"/>
      <scheme val="minor"/>
    </font>
    <font>
      <sz val="16"/>
      <color theme="1"/>
      <name val="Calibri"/>
      <family val="2"/>
      <scheme val="minor"/>
    </font>
    <font>
      <sz val="11"/>
      <color theme="0"/>
      <name val="Calibri"/>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rgb="FF00B050"/>
        <bgColor indexed="64"/>
      </patternFill>
    </fill>
    <fill>
      <patternFill patternType="solid">
        <fgColor rgb="FFFFFF00"/>
        <bgColor indexed="64"/>
      </patternFill>
    </fill>
    <fill>
      <patternFill patternType="solid">
        <fgColor theme="8" tint="-0.49998474074526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4" fontId="1" fillId="0" borderId="0" applyFont="0" applyFill="0" applyBorder="0" applyAlignment="0" applyProtection="0"/>
    <xf numFmtId="0" fontId="3" fillId="0" borderId="0" applyNumberFormat="0" applyFill="0" applyBorder="0" applyAlignment="0" applyProtection="0"/>
  </cellStyleXfs>
  <cellXfs count="18">
    <xf numFmtId="0" fontId="0" fillId="0" borderId="0" xfId="0"/>
    <xf numFmtId="0" fontId="2" fillId="2" borderId="0" xfId="0" applyFont="1" applyFill="1"/>
    <xf numFmtId="164" fontId="0" fillId="0" borderId="0" xfId="0" applyNumberFormat="1"/>
    <xf numFmtId="165" fontId="0" fillId="0" borderId="0" xfId="0" applyNumberFormat="1"/>
    <xf numFmtId="165" fontId="0" fillId="0" borderId="0" xfId="1" applyNumberFormat="1" applyFont="1"/>
    <xf numFmtId="0" fontId="3" fillId="0" borderId="0" xfId="2"/>
    <xf numFmtId="0" fontId="2" fillId="0" borderId="0" xfId="0" applyFont="1"/>
    <xf numFmtId="0" fontId="5" fillId="3" borderId="0" xfId="0" applyFont="1" applyFill="1"/>
    <xf numFmtId="0" fontId="5" fillId="4" borderId="1" xfId="0" applyFont="1" applyFill="1" applyBorder="1"/>
    <xf numFmtId="0" fontId="4" fillId="0" borderId="0" xfId="0" applyFont="1" applyAlignment="1">
      <alignment vertical="center" wrapText="1"/>
    </xf>
    <xf numFmtId="0" fontId="0" fillId="0" borderId="0" xfId="0" pivotButton="1"/>
    <xf numFmtId="0" fontId="0" fillId="0" borderId="0" xfId="0" applyAlignment="1">
      <alignment horizontal="left"/>
    </xf>
    <xf numFmtId="165" fontId="0" fillId="0" borderId="0" xfId="0" applyNumberFormat="1" applyAlignment="1">
      <alignment horizontal="left"/>
    </xf>
    <xf numFmtId="0" fontId="6" fillId="5" borderId="0" xfId="0" applyFont="1" applyFill="1"/>
    <xf numFmtId="0" fontId="0" fillId="5" borderId="0" xfId="0" applyFill="1"/>
    <xf numFmtId="44" fontId="0" fillId="0" borderId="0" xfId="0" applyNumberFormat="1"/>
    <xf numFmtId="0" fontId="0" fillId="2" borderId="0" xfId="0" applyFill="1"/>
    <xf numFmtId="10" fontId="0" fillId="0" borderId="0" xfId="0" applyNumberFormat="1"/>
  </cellXfs>
  <cellStyles count="3">
    <cellStyle name="Currency" xfId="1" builtinId="4"/>
    <cellStyle name="Hyperlink" xfId="2" builtinId="8"/>
    <cellStyle name="Normal" xfId="0" builtinId="0"/>
  </cellStyles>
  <dxfs count="2">
    <dxf>
      <numFmt numFmtId="34" formatCode="_(&quot;$&quot;* #,##0.00_);_(&quot;$&quot;* \(#,##0.00\);_(&quot;$&quot;* &quot;-&quot;??_);_(@_)"/>
    </dxf>
    <dxf>
      <font>
        <b val="0"/>
        <i/>
        <strike val="0"/>
        <sz val="10"/>
        <color theme="0"/>
        <name val="Georgia"/>
        <family val="1"/>
        <scheme val="none"/>
      </font>
      <fill>
        <patternFill patternType="solid">
          <bgColor theme="4" tint="-0.499984740745262"/>
        </patternFill>
      </fill>
      <border diagonalUp="0" diagonalDown="0">
        <left/>
        <right/>
        <top/>
        <bottom/>
        <vertical/>
        <horizontal/>
      </border>
    </dxf>
  </dxfs>
  <tableStyles count="1" defaultTableStyle="TableStyleMedium2" defaultPivotStyle="PivotStyleLight16">
    <tableStyle name="Slicer Style 1" pivot="0" table="0" count="1" xr9:uid="{B7178C85-5BB4-4CF4-9439-65BA2EBBCE2E}">
      <tableStyleElement type="wholeTable" dxfId="1"/>
    </tableStyle>
  </tableStyles>
  <colors>
    <mruColors>
      <color rgb="FF000000"/>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3.xml"/><Relationship Id="rId29" Type="http://schemas.microsoft.com/office/2017/10/relationships/person" Target="persons/person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microsoft.com/office/2017/10/relationships/person" Target="persons/person.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5.xml"/><Relationship Id="rId27" Type="http://schemas.microsoft.com/office/2017/10/relationships/person" Target="persons/pers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7.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8.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0.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3.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[FlutterCo Sales Data.xlsx]TRANSACTIONS BY AMOUNT!PivotTable2</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TRANSACTION</a:t>
            </a:r>
            <a:r>
              <a:rPr lang="en-US" baseline="0"/>
              <a:t>S BY AMOUNT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50000"/>
            </a:schemeClr>
          </a:solidFill>
          <a:ln w="19050">
            <a:solidFill>
              <a:schemeClr val="lt1"/>
            </a:solidFill>
          </a:ln>
          <a:effectLst/>
        </c:spPr>
      </c:pivotFmt>
      <c:pivotFmt>
        <c:idx val="10"/>
        <c:spPr>
          <a:solidFill>
            <a:schemeClr val="accent5">
              <a:lumMod val="75000"/>
            </a:schemeClr>
          </a:solidFill>
          <a:ln w="19050">
            <a:solidFill>
              <a:schemeClr val="lt1"/>
            </a:solidFill>
          </a:ln>
          <a:effectLst/>
        </c:spPr>
      </c:pivotFmt>
      <c:pivotFmt>
        <c:idx val="11"/>
        <c:spPr>
          <a:solidFill>
            <a:schemeClr val="accent5">
              <a:lumMod val="75000"/>
            </a:schemeClr>
          </a:solidFill>
          <a:ln w="19050">
            <a:solidFill>
              <a:schemeClr val="lt1"/>
            </a:solidFill>
          </a:ln>
          <a:effectLst/>
        </c:spPr>
      </c:pivotFmt>
      <c:pivotFmt>
        <c:idx val="12"/>
        <c:spPr>
          <a:solidFill>
            <a:schemeClr val="accent5">
              <a:lumMod val="60000"/>
              <a:lumOff val="40000"/>
            </a:schemeClr>
          </a:solidFill>
          <a:ln w="19050">
            <a:solidFill>
              <a:schemeClr val="lt1"/>
            </a:solidFill>
          </a:ln>
          <a:effectLst/>
        </c:spPr>
      </c:pivotFmt>
      <c:pivotFmt>
        <c:idx val="13"/>
        <c:spPr>
          <a:solidFill>
            <a:schemeClr val="accent5">
              <a:lumMod val="40000"/>
              <a:lumOff val="60000"/>
            </a:schemeClr>
          </a:solidFill>
          <a:ln w="19050">
            <a:solidFill>
              <a:schemeClr val="lt1"/>
            </a:solidFill>
          </a:ln>
          <a:effectLst/>
        </c:spPr>
      </c:pivotFmt>
      <c:pivotFmt>
        <c:idx val="14"/>
        <c:spPr>
          <a:solidFill>
            <a:schemeClr val="accent5">
              <a:lumMod val="20000"/>
              <a:lumOff val="80000"/>
            </a:schemeClr>
          </a:solidFill>
          <a:ln w="19050">
            <a:solidFill>
              <a:schemeClr val="lt1"/>
            </a:solidFill>
          </a:ln>
          <a:effectLst/>
        </c:spPr>
      </c:pivotFmt>
      <c:pivotFmt>
        <c:idx val="15"/>
        <c:spPr>
          <a:solidFill>
            <a:schemeClr val="accent5">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lumMod val="20000"/>
              <a:lumOff val="80000"/>
            </a:schemeClr>
          </a:solidFill>
          <a:ln w="19050">
            <a:solidFill>
              <a:schemeClr val="lt1"/>
            </a:solidFill>
          </a:ln>
          <a:effectLst/>
        </c:spPr>
      </c:pivotFmt>
      <c:pivotFmt>
        <c:idx val="17"/>
        <c:spPr>
          <a:solidFill>
            <a:schemeClr val="accent5">
              <a:lumMod val="40000"/>
              <a:lumOff val="60000"/>
            </a:schemeClr>
          </a:solidFill>
          <a:ln w="19050">
            <a:solidFill>
              <a:schemeClr val="lt1"/>
            </a:solidFill>
          </a:ln>
          <a:effectLst/>
        </c:spPr>
      </c:pivotFmt>
      <c:pivotFmt>
        <c:idx val="18"/>
        <c:spPr>
          <a:solidFill>
            <a:schemeClr val="accent5">
              <a:lumMod val="60000"/>
              <a:lumOff val="40000"/>
            </a:schemeClr>
          </a:solidFill>
          <a:ln w="19050">
            <a:solidFill>
              <a:schemeClr val="lt1"/>
            </a:solidFill>
          </a:ln>
          <a:effectLst/>
        </c:spPr>
      </c:pivotFmt>
      <c:pivotFmt>
        <c:idx val="19"/>
        <c:spPr>
          <a:solidFill>
            <a:schemeClr val="accent5">
              <a:lumMod val="75000"/>
            </a:schemeClr>
          </a:solidFill>
          <a:ln w="19050">
            <a:solidFill>
              <a:schemeClr val="lt1"/>
            </a:solidFill>
          </a:ln>
          <a:effectLst/>
        </c:spPr>
      </c:pivotFmt>
      <c:pivotFmt>
        <c:idx val="20"/>
        <c:spPr>
          <a:solidFill>
            <a:schemeClr val="accent5">
              <a:lumMod val="75000"/>
            </a:schemeClr>
          </a:solidFill>
          <a:ln w="19050">
            <a:solidFill>
              <a:schemeClr val="lt1"/>
            </a:solidFill>
          </a:ln>
          <a:effectLst/>
        </c:spPr>
      </c:pivotFmt>
      <c:pivotFmt>
        <c:idx val="21"/>
        <c:spPr>
          <a:solidFill>
            <a:schemeClr val="accent5">
              <a:lumMod val="50000"/>
            </a:schemeClr>
          </a:solidFill>
          <a:ln w="19050">
            <a:solidFill>
              <a:schemeClr val="lt1"/>
            </a:solidFill>
          </a:ln>
          <a:effectLst/>
        </c:spPr>
      </c:pivotFmt>
      <c:pivotFmt>
        <c:idx val="22"/>
        <c:spPr>
          <a:solidFill>
            <a:schemeClr val="accent5">
              <a:lumMod val="75000"/>
            </a:schemeClr>
          </a:solidFill>
          <a:ln w="19050">
            <a:solidFill>
              <a:schemeClr val="lt1"/>
            </a:solidFill>
          </a:ln>
          <a:effectLst/>
        </c:spPr>
      </c:pivotFmt>
      <c:pivotFmt>
        <c:idx val="23"/>
        <c:spPr>
          <a:solidFill>
            <a:schemeClr val="accent5">
              <a:lumMod val="60000"/>
              <a:lumOff val="40000"/>
            </a:schemeClr>
          </a:solidFill>
          <a:ln w="19050">
            <a:solidFill>
              <a:schemeClr val="lt1"/>
            </a:solidFill>
          </a:ln>
          <a:effectLst/>
        </c:spPr>
      </c:pivotFmt>
      <c:pivotFmt>
        <c:idx val="24"/>
        <c:spPr>
          <a:solidFill>
            <a:schemeClr val="accent5">
              <a:lumMod val="40000"/>
              <a:lumOff val="60000"/>
            </a:schemeClr>
          </a:solidFill>
          <a:ln w="19050">
            <a:solidFill>
              <a:schemeClr val="lt1"/>
            </a:solidFill>
          </a:ln>
          <a:effectLst/>
        </c:spPr>
      </c:pivotFmt>
      <c:pivotFmt>
        <c:idx val="25"/>
        <c:spPr>
          <a:solidFill>
            <a:schemeClr val="accent5">
              <a:lumMod val="20000"/>
              <a:lumOff val="80000"/>
            </a:schemeClr>
          </a:solidFill>
          <a:ln w="19050">
            <a:solidFill>
              <a:schemeClr val="lt1"/>
            </a:solidFill>
          </a:ln>
          <a:effectLst/>
        </c:spPr>
      </c:pivotFmt>
    </c:pivotFmts>
    <c:plotArea>
      <c:layout>
        <c:manualLayout>
          <c:layoutTarget val="inner"/>
          <c:xMode val="edge"/>
          <c:yMode val="edge"/>
          <c:x val="0.10576498980648247"/>
          <c:y val="0.13025974025974027"/>
          <c:w val="0.76107737375026097"/>
          <c:h val="0.73901182806694621"/>
        </c:manualLayout>
      </c:layout>
      <c:barChart>
        <c:barDir val="col"/>
        <c:grouping val="clustered"/>
        <c:varyColors val="0"/>
        <c:ser>
          <c:idx val="0"/>
          <c:order val="0"/>
          <c:tx>
            <c:strRef>
              <c:f>'TRANSACTIONS BY AMOUNT'!$B$3</c:f>
              <c:strCache>
                <c:ptCount val="1"/>
                <c:pt idx="0">
                  <c:v>Total</c:v>
                </c:pt>
              </c:strCache>
            </c:strRef>
          </c:tx>
          <c:spPr>
            <a:solidFill>
              <a:schemeClr val="accent5">
                <a:lumMod val="50000"/>
              </a:schemeClr>
            </a:solidFill>
            <a:ln w="19050">
              <a:solidFill>
                <a:schemeClr val="lt1"/>
              </a:solidFill>
            </a:ln>
            <a:effectLst/>
          </c:spPr>
          <c:invertIfNegative val="0"/>
          <c:dPt>
            <c:idx val="0"/>
            <c:invertIfNegative val="0"/>
            <c:bubble3D val="0"/>
            <c:extLst>
              <c:ext xmlns:c16="http://schemas.microsoft.com/office/drawing/2014/chart" uri="{C3380CC4-5D6E-409C-BE32-E72D297353CC}">
                <c16:uniqueId val="{00000001-B4A1-441E-88B9-04D5AD6B01DA}"/>
              </c:ext>
            </c:extLst>
          </c:dPt>
          <c:dPt>
            <c:idx val="1"/>
            <c:invertIfNegative val="0"/>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B4A1-441E-88B9-04D5AD6B01DA}"/>
              </c:ext>
            </c:extLst>
          </c:dPt>
          <c:dPt>
            <c:idx val="2"/>
            <c:invertIfNegative val="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5-B4A1-441E-88B9-04D5AD6B01DA}"/>
              </c:ext>
            </c:extLst>
          </c:dPt>
          <c:dPt>
            <c:idx val="3"/>
            <c:invertIfNegative val="0"/>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7-B4A1-441E-88B9-04D5AD6B01DA}"/>
              </c:ext>
            </c:extLst>
          </c:dPt>
          <c:dPt>
            <c:idx val="4"/>
            <c:invertIfNegative val="0"/>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9-B4A1-441E-88B9-04D5AD6B01DA}"/>
              </c:ext>
            </c:extLst>
          </c:dPt>
          <c:dPt>
            <c:idx val="5"/>
            <c:invertIfNegative val="0"/>
            <c:bubble3D val="0"/>
            <c:extLst>
              <c:ext xmlns:c16="http://schemas.microsoft.com/office/drawing/2014/chart" uri="{C3380CC4-5D6E-409C-BE32-E72D297353CC}">
                <c16:uniqueId val="{0000000B-B4A1-441E-88B9-04D5AD6B01D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'TRANSACTIONS BY AMOUNT'!$A$4:$A$11</c:f>
              <c:strCache>
                <c:ptCount val="7"/>
                <c:pt idx="0">
                  <c:v>&lt;1000</c:v>
                </c:pt>
                <c:pt idx="1">
                  <c:v>1000-2000</c:v>
                </c:pt>
                <c:pt idx="2">
                  <c:v>2000-3000</c:v>
                </c:pt>
                <c:pt idx="3">
                  <c:v>3000-4000</c:v>
                </c:pt>
                <c:pt idx="4">
                  <c:v>4000-5000</c:v>
                </c:pt>
                <c:pt idx="5">
                  <c:v>6000-7000</c:v>
                </c:pt>
                <c:pt idx="6">
                  <c:v>7000-8000</c:v>
                </c:pt>
              </c:strCache>
            </c:strRef>
          </c:cat>
          <c:val>
            <c:numRef>
              <c:f>'TRANSACTIONS BY AMOUNT'!$B$4:$B$11</c:f>
              <c:numCache>
                <c:formatCode>General</c:formatCode>
                <c:ptCount val="7"/>
                <c:pt idx="0">
                  <c:v>218</c:v>
                </c:pt>
                <c:pt idx="1">
                  <c:v>85</c:v>
                </c:pt>
                <c:pt idx="2">
                  <c:v>31</c:v>
                </c:pt>
                <c:pt idx="3">
                  <c:v>24</c:v>
                </c:pt>
                <c:pt idx="4">
                  <c:v>8</c:v>
                </c:pt>
                <c:pt idx="5">
                  <c:v>2</c:v>
                </c:pt>
                <c:pt idx="6">
                  <c:v>1</c:v>
                </c:pt>
              </c:numCache>
            </c:numRef>
          </c:val>
          <c:extLst>
            <c:ext xmlns:c16="http://schemas.microsoft.com/office/drawing/2014/chart" uri="{C3380CC4-5D6E-409C-BE32-E72D297353CC}">
              <c16:uniqueId val="{0000000C-B4A1-441E-88B9-04D5AD6B01DA}"/>
            </c:ext>
          </c:extLst>
        </c:ser>
        <c:dLbls>
          <c:showLegendKey val="0"/>
          <c:showVal val="0"/>
          <c:showCatName val="0"/>
          <c:showSerName val="0"/>
          <c:showPercent val="0"/>
          <c:showBubbleSize val="0"/>
        </c:dLbls>
        <c:gapWidth val="22"/>
        <c:axId val="2021683760"/>
        <c:axId val="2021686640"/>
      </c:barChart>
      <c:valAx>
        <c:axId val="202168664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2021683760"/>
        <c:crosses val="autoZero"/>
        <c:crossBetween val="between"/>
      </c:valAx>
      <c:catAx>
        <c:axId val="20216837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68664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[FlutterCo Sales Data.xlsx]Top 6 SHIP CITIES BY REVENUE!PivotTable2</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6 SHIP CITIES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dLbl>
          <c:idx val="0"/>
          <c:layout>
            <c:manualLayout>
              <c:x val="-1.3877787807814457E-17"/>
              <c:y val="1.03092783505154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2187950301008858"/>
                  <c:h val="6.1804259003707E-2"/>
                </c:manualLayout>
              </c15:layout>
            </c:ext>
          </c:extLst>
        </c:dLbl>
      </c:pivotFmt>
      <c:pivotFmt>
        <c:idx val="2"/>
        <c:spPr>
          <a:solidFill>
            <a:schemeClr val="accent5">
              <a:lumMod val="75000"/>
            </a:schemeClr>
          </a:solidFill>
          <a:ln>
            <a:solidFill>
              <a:schemeClr val="accent5">
                <a:lumMod val="60000"/>
                <a:lumOff val="40000"/>
              </a:schemeClr>
            </a:solidFill>
          </a:ln>
          <a:effectLst/>
        </c:spPr>
      </c:pivotFmt>
      <c:pivotFmt>
        <c:idx val="3"/>
        <c:spPr>
          <a:solidFill>
            <a:schemeClr val="accent5">
              <a:lumMod val="75000"/>
            </a:schemeClr>
          </a:solidFill>
          <a:ln>
            <a:solidFill>
              <a:schemeClr val="accent5">
                <a:lumMod val="60000"/>
                <a:lumOff val="40000"/>
              </a:schemeClr>
            </a:solidFill>
          </a:ln>
          <a:effectLst/>
        </c:spPr>
      </c:pivotFmt>
      <c:pivotFmt>
        <c:idx val="4"/>
        <c:spPr>
          <a:solidFill>
            <a:schemeClr val="accent5">
              <a:lumMod val="60000"/>
              <a:lumOff val="40000"/>
            </a:schemeClr>
          </a:solidFill>
          <a:ln>
            <a:solidFill>
              <a:schemeClr val="accent5">
                <a:lumMod val="40000"/>
                <a:lumOff val="60000"/>
              </a:schemeClr>
            </a:solidFill>
          </a:ln>
          <a:effectLst/>
        </c:spPr>
      </c:pivotFmt>
      <c:pivotFmt>
        <c:idx val="5"/>
        <c:spPr>
          <a:solidFill>
            <a:schemeClr val="accent5">
              <a:lumMod val="40000"/>
              <a:lumOff val="6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60000"/>
              <a:lumOff val="40000"/>
            </a:schemeClr>
          </a:solidFill>
          <a:ln>
            <a:noFill/>
          </a:ln>
          <a:effectLst/>
        </c:spPr>
      </c:pivotFmt>
      <c:pivotFmt>
        <c:idx val="8"/>
        <c:spPr>
          <a:solidFill>
            <a:schemeClr val="accent5">
              <a:lumMod val="20000"/>
              <a:lumOff val="80000"/>
            </a:schemeClr>
          </a:solidFill>
          <a:ln>
            <a:noFill/>
          </a:ln>
          <a:effectLst/>
        </c:spPr>
      </c:pivotFmt>
      <c:pivotFmt>
        <c:idx val="9"/>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dLbl>
          <c:idx val="0"/>
          <c:layout>
            <c:manualLayout>
              <c:x val="-1.3877787807814457E-17"/>
              <c:y val="1.03092783505154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2187950301008858"/>
                  <c:h val="6.1804259003707E-2"/>
                </c:manualLayout>
              </c15:layout>
            </c:ext>
          </c:extLst>
        </c:dLbl>
      </c:pivotFmt>
      <c:pivotFmt>
        <c:idx val="11"/>
        <c:spPr>
          <a:solidFill>
            <a:schemeClr val="accent5">
              <a:lumMod val="75000"/>
            </a:schemeClr>
          </a:solidFill>
          <a:ln>
            <a:solidFill>
              <a:schemeClr val="accent5">
                <a:lumMod val="60000"/>
                <a:lumOff val="40000"/>
              </a:schemeClr>
            </a:solidFill>
          </a:ln>
          <a:effectLst/>
        </c:spPr>
      </c:pivotFmt>
      <c:pivotFmt>
        <c:idx val="12"/>
        <c:spPr>
          <a:solidFill>
            <a:schemeClr val="accent5">
              <a:lumMod val="75000"/>
            </a:schemeClr>
          </a:solidFill>
          <a:ln>
            <a:solidFill>
              <a:schemeClr val="accent5">
                <a:lumMod val="60000"/>
                <a:lumOff val="40000"/>
              </a:schemeClr>
            </a:solidFill>
          </a:ln>
          <a:effectLst/>
        </c:spPr>
      </c:pivotFmt>
      <c:pivotFmt>
        <c:idx val="13"/>
        <c:spPr>
          <a:solidFill>
            <a:schemeClr val="accent5">
              <a:lumMod val="60000"/>
              <a:lumOff val="40000"/>
            </a:schemeClr>
          </a:solidFill>
          <a:ln>
            <a:solidFill>
              <a:schemeClr val="accent5">
                <a:lumMod val="40000"/>
                <a:lumOff val="60000"/>
              </a:schemeClr>
            </a:solidFill>
          </a:ln>
          <a:effectLst/>
        </c:spPr>
      </c:pivotFmt>
      <c:pivotFmt>
        <c:idx val="14"/>
        <c:spPr>
          <a:solidFill>
            <a:schemeClr val="accent5">
              <a:lumMod val="40000"/>
              <a:lumOff val="6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60000"/>
              <a:lumOff val="4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5">
              <a:lumMod val="50000"/>
            </a:schemeClr>
          </a:solidFill>
          <a:ln>
            <a:noFill/>
          </a:ln>
          <a:effectLst/>
        </c:spPr>
      </c:pivotFmt>
      <c:pivotFmt>
        <c:idx val="19"/>
        <c:spPr>
          <a:solidFill>
            <a:schemeClr val="accent5">
              <a:lumMod val="75000"/>
            </a:schemeClr>
          </a:solidFill>
          <a:ln>
            <a:noFill/>
          </a:ln>
          <a:effectLst/>
        </c:spPr>
      </c:pivotFmt>
      <c:pivotFmt>
        <c:idx val="20"/>
        <c:spPr>
          <a:solidFill>
            <a:schemeClr val="accent5">
              <a:lumMod val="60000"/>
              <a:lumOff val="40000"/>
            </a:schemeClr>
          </a:solidFill>
          <a:ln>
            <a:noFill/>
          </a:ln>
          <a:effectLst/>
        </c:spPr>
      </c:pivotFmt>
      <c:pivotFmt>
        <c:idx val="21"/>
        <c:spPr>
          <a:solidFill>
            <a:schemeClr val="accent5">
              <a:lumMod val="40000"/>
              <a:lumOff val="60000"/>
            </a:schemeClr>
          </a:solidFill>
          <a:ln>
            <a:noFill/>
          </a:ln>
          <a:effectLst/>
        </c:spPr>
      </c:pivotFmt>
      <c:pivotFmt>
        <c:idx val="22"/>
        <c:spPr>
          <a:solidFill>
            <a:schemeClr val="accent1"/>
          </a:solidFill>
          <a:ln w="28575" cap="rnd">
            <a:solidFill>
              <a:schemeClr val="accent5">
                <a:lumMod val="50000"/>
              </a:schemeClr>
            </a:solidFill>
            <a:round/>
          </a:ln>
          <a:effectLst/>
        </c:spPr>
        <c:marker>
          <c:symbol val="none"/>
        </c:marker>
      </c:pivotFmt>
      <c:pivotFmt>
        <c:idx val="23"/>
        <c:spPr>
          <a:solidFill>
            <a:schemeClr val="accent1"/>
          </a:solidFill>
          <a:ln w="28575" cap="rnd">
            <a:solidFill>
              <a:schemeClr val="accent5">
                <a:lumMod val="50000"/>
              </a:schemeClr>
            </a:solidFill>
            <a:round/>
          </a:ln>
          <a:effectLst/>
        </c:spPr>
        <c:marker>
          <c:symbol val="none"/>
        </c:marker>
      </c:pivotFmt>
      <c:pivotFmt>
        <c:idx val="24"/>
        <c:spPr>
          <a:solidFill>
            <a:schemeClr val="accent1"/>
          </a:solidFill>
          <a:ln w="28575" cap="rnd">
            <a:solidFill>
              <a:schemeClr val="accent5">
                <a:lumMod val="50000"/>
              </a:schemeClr>
            </a:solidFill>
            <a:round/>
          </a:ln>
          <a:effectLst/>
        </c:spPr>
        <c:marker>
          <c:symbol val="none"/>
        </c:marker>
      </c:pivotFmt>
      <c:pivotFmt>
        <c:idx val="25"/>
        <c:spPr>
          <a:solidFill>
            <a:schemeClr val="accent1"/>
          </a:solidFill>
          <a:ln w="28575" cap="rnd">
            <a:solidFill>
              <a:schemeClr val="accent5">
                <a:lumMod val="50000"/>
              </a:schemeClr>
            </a:solidFill>
            <a:round/>
          </a:ln>
          <a:effectLst/>
        </c:spPr>
        <c:marker>
          <c:symbol val="none"/>
        </c:marker>
      </c:pivotFmt>
      <c:pivotFmt>
        <c:idx val="26"/>
        <c:spPr>
          <a:solidFill>
            <a:schemeClr val="accent1"/>
          </a:solidFill>
          <a:ln w="28575" cap="rnd">
            <a:solidFill>
              <a:schemeClr val="accent5">
                <a:lumMod val="50000"/>
              </a:schemeClr>
            </a:solidFill>
            <a:round/>
          </a:ln>
          <a:effectLst/>
        </c:spPr>
        <c:marker>
          <c:symbol val="none"/>
        </c:marker>
      </c:pivotFmt>
      <c:pivotFmt>
        <c:idx val="27"/>
        <c:spPr>
          <a:solidFill>
            <a:schemeClr val="accent1"/>
          </a:solidFill>
          <a:ln w="28575" cap="rnd">
            <a:solidFill>
              <a:schemeClr val="accent5">
                <a:lumMod val="50000"/>
              </a:schemeClr>
            </a:solidFill>
            <a:round/>
          </a:ln>
          <a:effectLst/>
        </c:spPr>
        <c:marker>
          <c:symbol val="none"/>
        </c:marker>
      </c:pivotFmt>
      <c:pivotFmt>
        <c:idx val="28"/>
        <c:spPr>
          <a:solidFill>
            <a:schemeClr val="accent1"/>
          </a:solidFill>
          <a:ln w="28575" cap="rnd">
            <a:solidFill>
              <a:schemeClr val="accent5">
                <a:lumMod val="50000"/>
              </a:schemeClr>
            </a:solidFill>
            <a:round/>
          </a:ln>
          <a:effectLst/>
        </c:spPr>
        <c:marker>
          <c:symbol val="none"/>
        </c:marker>
      </c:pivotFmt>
      <c:pivotFmt>
        <c:idx val="29"/>
        <c:spPr>
          <a:solidFill>
            <a:schemeClr val="accent1"/>
          </a:solidFill>
          <a:ln w="28575" cap="rnd">
            <a:solidFill>
              <a:schemeClr val="accent5">
                <a:lumMod val="50000"/>
              </a:schemeClr>
            </a:solidFill>
            <a:round/>
          </a:ln>
          <a:effectLst/>
        </c:spPr>
        <c:marker>
          <c:symbol val="none"/>
        </c:marker>
      </c:pivotFmt>
      <c:pivotFmt>
        <c:idx val="3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marker>
          <c:symbol val="none"/>
        </c:marker>
      </c:pivotFmt>
      <c:pivotFmt>
        <c:idx val="32"/>
        <c:marker>
          <c:symbol val="none"/>
        </c:marker>
      </c:pivotFmt>
      <c:pivotFmt>
        <c:idx val="33"/>
        <c:marker>
          <c:symbol val="none"/>
        </c:marker>
      </c:pivotFmt>
      <c:pivotFmt>
        <c:idx val="34"/>
        <c:marker>
          <c:symbol val="none"/>
        </c:marker>
      </c:pivotFmt>
      <c:pivotFmt>
        <c:idx val="35"/>
        <c:marker>
          <c:symbol val="none"/>
        </c:marker>
      </c:pivotFmt>
      <c:pivotFmt>
        <c:idx val="36"/>
        <c:marker>
          <c:symbol val="none"/>
        </c:marker>
      </c:pivotFmt>
      <c:pivotFmt>
        <c:idx val="37"/>
        <c:marker>
          <c:symbol val="none"/>
        </c:marker>
      </c:pivotFmt>
      <c:pivotFmt>
        <c:idx val="38"/>
        <c:marker>
          <c:symbol val="none"/>
        </c:marker>
      </c:pivotFmt>
      <c:pivotFmt>
        <c:idx val="39"/>
        <c:spPr>
          <a:solidFill>
            <a:schemeClr val="accent5">
              <a:lumMod val="50000"/>
            </a:schemeClr>
          </a:solidFill>
          <a:ln>
            <a:noFill/>
          </a:ln>
          <a:effectLst/>
        </c:spPr>
      </c:pivotFmt>
      <c:pivotFmt>
        <c:idx val="40"/>
        <c:spPr>
          <a:solidFill>
            <a:schemeClr val="accent5">
              <a:lumMod val="75000"/>
            </a:schemeClr>
          </a:solidFill>
          <a:ln>
            <a:noFill/>
          </a:ln>
          <a:effectLst/>
        </c:spPr>
      </c:pivotFmt>
      <c:pivotFmt>
        <c:idx val="41"/>
        <c:spPr>
          <a:solidFill>
            <a:schemeClr val="accent5">
              <a:lumMod val="50000"/>
            </a:schemeClr>
          </a:solidFill>
          <a:ln>
            <a:noFill/>
          </a:ln>
          <a:effectLst/>
        </c:spPr>
      </c:pivotFmt>
      <c:pivotFmt>
        <c:idx val="42"/>
        <c:spPr>
          <a:solidFill>
            <a:schemeClr val="accent5">
              <a:lumMod val="75000"/>
            </a:schemeClr>
          </a:solidFill>
          <a:ln>
            <a:noFill/>
          </a:ln>
          <a:effectLst/>
        </c:spPr>
      </c:pivotFmt>
      <c:pivotFmt>
        <c:idx val="43"/>
        <c:spPr>
          <a:solidFill>
            <a:schemeClr val="accent5">
              <a:lumMod val="40000"/>
              <a:lumOff val="60000"/>
            </a:schemeClr>
          </a:solidFill>
          <a:ln>
            <a:noFill/>
          </a:ln>
          <a:effectLst/>
        </c:spPr>
      </c:pivotFmt>
    </c:pivotFmts>
    <c:plotArea>
      <c:layout>
        <c:manualLayout>
          <c:layoutTarget val="inner"/>
          <c:xMode val="edge"/>
          <c:yMode val="edge"/>
          <c:x val="0.18763760285836448"/>
          <c:y val="0.17722400621709997"/>
          <c:w val="0.71437224552538414"/>
          <c:h val="0.75499054238331931"/>
        </c:manualLayout>
      </c:layout>
      <c:barChart>
        <c:barDir val="bar"/>
        <c:grouping val="clustered"/>
        <c:varyColors val="0"/>
        <c:ser>
          <c:idx val="0"/>
          <c:order val="0"/>
          <c:tx>
            <c:strRef>
              <c:f>'Top 6 SHIP CITIES BY REVENUE'!$B$3</c:f>
              <c:strCache>
                <c:ptCount val="1"/>
                <c:pt idx="0">
                  <c:v>Total</c:v>
                </c:pt>
              </c:strCache>
            </c:strRef>
          </c:tx>
          <c:spPr>
            <a:solidFill>
              <a:schemeClr val="accent5">
                <a:lumMod val="50000"/>
              </a:schemeClr>
            </a:solidFill>
            <a:ln>
              <a:noFill/>
            </a:ln>
            <a:effectLst/>
          </c:spPr>
          <c:invertIfNegative val="0"/>
          <c:dPt>
            <c:idx val="0"/>
            <c:invertIfNegative val="0"/>
            <c:bubble3D val="0"/>
            <c:extLst>
              <c:ext xmlns:c16="http://schemas.microsoft.com/office/drawing/2014/chart" uri="{C3380CC4-5D6E-409C-BE32-E72D297353CC}">
                <c16:uniqueId val="{00000000-8437-4808-A222-DD7FA95B5DA7}"/>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1-8437-4808-A222-DD7FA95B5DA7}"/>
              </c:ext>
            </c:extLst>
          </c:dPt>
          <c:dPt>
            <c:idx val="2"/>
            <c:invertIfNegative val="0"/>
            <c:bubble3D val="0"/>
            <c:extLst>
              <c:ext xmlns:c16="http://schemas.microsoft.com/office/drawing/2014/chart" uri="{C3380CC4-5D6E-409C-BE32-E72D297353CC}">
                <c16:uniqueId val="{00000002-8437-4808-A222-DD7FA95B5DA7}"/>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3-8437-4808-A222-DD7FA95B5DA7}"/>
              </c:ext>
            </c:extLst>
          </c:dPt>
          <c:dPt>
            <c:idx val="4"/>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4-8437-4808-A222-DD7FA95B5DA7}"/>
              </c:ext>
            </c:extLst>
          </c:dPt>
          <c:dPt>
            <c:idx val="5"/>
            <c:invertIfNegative val="0"/>
            <c:bubble3D val="0"/>
            <c:extLst>
              <c:ext xmlns:c16="http://schemas.microsoft.com/office/drawing/2014/chart" uri="{C3380CC4-5D6E-409C-BE32-E72D297353CC}">
                <c16:uniqueId val="{00000005-8437-4808-A222-DD7FA95B5DA7}"/>
              </c:ext>
            </c:extLst>
          </c:dPt>
          <c:dPt>
            <c:idx val="6"/>
            <c:invertIfNegative val="0"/>
            <c:bubble3D val="0"/>
            <c:extLst>
              <c:ext xmlns:c16="http://schemas.microsoft.com/office/drawing/2014/chart" uri="{C3380CC4-5D6E-409C-BE32-E72D297353CC}">
                <c16:uniqueId val="{00000006-8437-4808-A222-DD7FA95B5DA7}"/>
              </c:ext>
            </c:extLst>
          </c:dPt>
          <c:dPt>
            <c:idx val="7"/>
            <c:invertIfNegative val="0"/>
            <c:bubble3D val="0"/>
            <c:extLst>
              <c:ext xmlns:c16="http://schemas.microsoft.com/office/drawing/2014/chart" uri="{C3380CC4-5D6E-409C-BE32-E72D297353CC}">
                <c16:uniqueId val="{00000007-8437-4808-A222-DD7FA95B5DA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6 SHIP CITIES BY REVENUE'!$A$4:$A$10</c:f>
              <c:strCache>
                <c:ptCount val="6"/>
                <c:pt idx="0">
                  <c:v>New York</c:v>
                </c:pt>
                <c:pt idx="1">
                  <c:v>Portland</c:v>
                </c:pt>
                <c:pt idx="2">
                  <c:v>Miami</c:v>
                </c:pt>
                <c:pt idx="3">
                  <c:v>Memphis</c:v>
                </c:pt>
                <c:pt idx="4">
                  <c:v>Chicago</c:v>
                </c:pt>
                <c:pt idx="5">
                  <c:v>Milwaukee</c:v>
                </c:pt>
              </c:strCache>
            </c:strRef>
          </c:cat>
          <c:val>
            <c:numRef>
              <c:f>'Top 6 SHIP CITIES BY REVENUE'!$B$4:$B$10</c:f>
              <c:numCache>
                <c:formatCode>"$"#,##0.00</c:formatCode>
                <c:ptCount val="6"/>
                <c:pt idx="0">
                  <c:v>67180.5</c:v>
                </c:pt>
                <c:pt idx="1">
                  <c:v>50208.35</c:v>
                </c:pt>
                <c:pt idx="2">
                  <c:v>50145.330000000009</c:v>
                </c:pt>
                <c:pt idx="3">
                  <c:v>43713</c:v>
                </c:pt>
                <c:pt idx="4">
                  <c:v>41095.01</c:v>
                </c:pt>
                <c:pt idx="5">
                  <c:v>37428</c:v>
                </c:pt>
              </c:numCache>
            </c:numRef>
          </c:val>
          <c:extLst>
            <c:ext xmlns:c16="http://schemas.microsoft.com/office/drawing/2014/chart" uri="{C3380CC4-5D6E-409C-BE32-E72D297353CC}">
              <c16:uniqueId val="{00000008-8437-4808-A222-DD7FA95B5DA7}"/>
            </c:ext>
          </c:extLst>
        </c:ser>
        <c:dLbls>
          <c:showLegendKey val="0"/>
          <c:showVal val="0"/>
          <c:showCatName val="0"/>
          <c:showSerName val="0"/>
          <c:showPercent val="0"/>
          <c:showBubbleSize val="0"/>
        </c:dLbls>
        <c:gapWidth val="25"/>
        <c:axId val="66577504"/>
        <c:axId val="66589984"/>
      </c:barChart>
      <c:catAx>
        <c:axId val="66577504"/>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89984"/>
        <c:crosses val="autoZero"/>
        <c:auto val="1"/>
        <c:lblAlgn val="ctr"/>
        <c:lblOffset val="100"/>
        <c:noMultiLvlLbl val="0"/>
      </c:catAx>
      <c:valAx>
        <c:axId val="66589984"/>
        <c:scaling>
          <c:orientation val="minMax"/>
        </c:scaling>
        <c:delete val="1"/>
        <c:axPos val="t"/>
        <c:majorGridlines>
          <c:spPr>
            <a:ln w="9525" cap="flat" cmpd="sng" algn="ctr">
              <a:solidFill>
                <a:schemeClr val="tx1">
                  <a:lumMod val="15000"/>
                  <a:lumOff val="85000"/>
                </a:schemeClr>
              </a:solidFill>
              <a:round/>
            </a:ln>
            <a:effectLst/>
          </c:spPr>
        </c:majorGridlines>
        <c:numFmt formatCode="&quot;$&quot;#,##0.00" sourceLinked="1"/>
        <c:majorTickMark val="out"/>
        <c:minorTickMark val="none"/>
        <c:tickLblPos val="nextTo"/>
        <c:crossAx val="66577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[FlutterCo Sales Data.xlsx]SALES BY PRODUCT CATEGORY!PivotTable2</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CATEGORY PERFORMANCE PER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50000"/>
            </a:schemeClr>
          </a:solidFill>
          <a:ln w="19050">
            <a:solidFill>
              <a:schemeClr val="lt1"/>
            </a:solidFill>
          </a:ln>
          <a:effectLst/>
        </c:spPr>
      </c:pivotFmt>
      <c:pivotFmt>
        <c:idx val="10"/>
        <c:spPr>
          <a:solidFill>
            <a:schemeClr val="accent5">
              <a:lumMod val="75000"/>
            </a:schemeClr>
          </a:solidFill>
          <a:ln w="19050">
            <a:solidFill>
              <a:schemeClr val="lt1"/>
            </a:solidFill>
          </a:ln>
          <a:effectLst/>
        </c:spPr>
      </c:pivotFmt>
      <c:pivotFmt>
        <c:idx val="11"/>
        <c:spPr>
          <a:solidFill>
            <a:schemeClr val="accent5">
              <a:lumMod val="75000"/>
            </a:schemeClr>
          </a:solidFill>
          <a:ln w="19050">
            <a:solidFill>
              <a:schemeClr val="lt1"/>
            </a:solidFill>
          </a:ln>
          <a:effectLst/>
        </c:spPr>
      </c:pivotFmt>
      <c:pivotFmt>
        <c:idx val="12"/>
        <c:spPr>
          <a:solidFill>
            <a:schemeClr val="accent5">
              <a:lumMod val="60000"/>
              <a:lumOff val="40000"/>
            </a:schemeClr>
          </a:solidFill>
          <a:ln w="19050">
            <a:solidFill>
              <a:schemeClr val="lt1"/>
            </a:solidFill>
          </a:ln>
          <a:effectLst/>
        </c:spPr>
      </c:pivotFmt>
      <c:pivotFmt>
        <c:idx val="13"/>
        <c:spPr>
          <a:solidFill>
            <a:schemeClr val="accent5">
              <a:lumMod val="20000"/>
              <a:lumOff val="80000"/>
            </a:schemeClr>
          </a:solidFill>
          <a:ln w="19050">
            <a:solidFill>
              <a:schemeClr val="lt1"/>
            </a:solidFill>
          </a:ln>
          <a:effectLst/>
        </c:spPr>
      </c:pivotFmt>
      <c:pivotFmt>
        <c:idx val="14"/>
        <c:spPr>
          <a:solidFill>
            <a:schemeClr val="accent5">
              <a:lumMod val="75000"/>
            </a:schemeClr>
          </a:solidFill>
          <a:ln w="19050">
            <a:solidFill>
              <a:schemeClr val="lt1"/>
            </a:solidFill>
          </a:ln>
          <a:effectLst/>
        </c:spPr>
      </c:pivotFmt>
      <c:pivotFmt>
        <c:idx val="15"/>
        <c:spPr>
          <a:solidFill>
            <a:schemeClr val="accent5">
              <a:lumMod val="40000"/>
              <a:lumOff val="60000"/>
            </a:schemeClr>
          </a:solidFill>
          <a:ln w="19050">
            <a:solidFill>
              <a:schemeClr val="lt1"/>
            </a:solidFill>
          </a:ln>
          <a:effectLst/>
        </c:spPr>
      </c:pivotFmt>
      <c:pivotFmt>
        <c:idx val="16"/>
        <c:spPr>
          <a:solidFill>
            <a:schemeClr val="accent5">
              <a:lumMod val="60000"/>
              <a:lumOff val="40000"/>
            </a:schemeClr>
          </a:solidFill>
          <a:ln w="19050">
            <a:solidFill>
              <a:schemeClr val="lt1"/>
            </a:solidFill>
          </a:ln>
          <a:effectLst/>
        </c:spPr>
      </c:pivotFmt>
    </c:pivotFmts>
    <c:plotArea>
      <c:layout>
        <c:manualLayout>
          <c:layoutTarget val="inner"/>
          <c:xMode val="edge"/>
          <c:yMode val="edge"/>
          <c:x val="0.18864122149080992"/>
          <c:y val="0.16056277056277057"/>
          <c:w val="0.76107737375026097"/>
          <c:h val="0.73901182806694621"/>
        </c:manualLayout>
      </c:layout>
      <c:barChart>
        <c:barDir val="bar"/>
        <c:grouping val="clustered"/>
        <c:varyColors val="0"/>
        <c:ser>
          <c:idx val="0"/>
          <c:order val="0"/>
          <c:tx>
            <c:strRef>
              <c:f>'SALES BY PRODUCT CATEGORY'!$B$3</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F-03AB-4359-97E9-573B4E6C9EF2}"/>
              </c:ext>
            </c:extLst>
          </c:dPt>
          <c:dPt>
            <c:idx val="1"/>
            <c:invertIfNegative val="0"/>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E-03AB-4359-97E9-573B4E6C9EF2}"/>
              </c:ext>
            </c:extLst>
          </c:dPt>
          <c:dPt>
            <c:idx val="2"/>
            <c:invertIfNegative val="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D-03AB-4359-97E9-573B4E6C9EF2}"/>
              </c:ext>
            </c:extLst>
          </c:dPt>
          <c:dPt>
            <c:idx val="3"/>
            <c:invertIfNegative val="0"/>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C-03AB-4359-97E9-573B4E6C9EF2}"/>
              </c:ext>
            </c:extLst>
          </c:dPt>
          <c:dPt>
            <c:idx val="4"/>
            <c:invertIfNegative val="0"/>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B-03AB-4359-97E9-573B4E6C9EF2}"/>
              </c:ext>
            </c:extLst>
          </c:dPt>
          <c:dPt>
            <c:idx val="5"/>
            <c:invertIfNegative val="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A-03AB-4359-97E9-573B4E6C9EF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PRODUCT CATEGORY'!$A$4:$A$10</c:f>
              <c:strCache>
                <c:ptCount val="6"/>
                <c:pt idx="0">
                  <c:v>Canned Meat</c:v>
                </c:pt>
                <c:pt idx="1">
                  <c:v>Dried Fruit &amp; Nuts</c:v>
                </c:pt>
                <c:pt idx="2">
                  <c:v>Dairy Products</c:v>
                </c:pt>
                <c:pt idx="3">
                  <c:v>Jams, Preserves</c:v>
                </c:pt>
                <c:pt idx="4">
                  <c:v>Sauces</c:v>
                </c:pt>
                <c:pt idx="5">
                  <c:v>Beverages</c:v>
                </c:pt>
              </c:strCache>
            </c:strRef>
          </c:cat>
          <c:val>
            <c:numRef>
              <c:f>'SALES BY PRODUCT CATEGORY'!$B$4:$B$10</c:f>
              <c:numCache>
                <c:formatCode>"$"#,##0.00</c:formatCode>
                <c:ptCount val="6"/>
                <c:pt idx="0">
                  <c:v>25465.599999999999</c:v>
                </c:pt>
                <c:pt idx="1">
                  <c:v>27999.5</c:v>
                </c:pt>
                <c:pt idx="2">
                  <c:v>33129.600000000006</c:v>
                </c:pt>
                <c:pt idx="3">
                  <c:v>51541</c:v>
                </c:pt>
                <c:pt idx="4">
                  <c:v>69000</c:v>
                </c:pt>
                <c:pt idx="5">
                  <c:v>110577.10999999999</c:v>
                </c:pt>
              </c:numCache>
            </c:numRef>
          </c:val>
          <c:extLst>
            <c:ext xmlns:c16="http://schemas.microsoft.com/office/drawing/2014/chart" uri="{C3380CC4-5D6E-409C-BE32-E72D297353CC}">
              <c16:uniqueId val="{00000002-03AB-4359-97E9-573B4E6C9EF2}"/>
            </c:ext>
          </c:extLst>
        </c:ser>
        <c:dLbls>
          <c:showLegendKey val="0"/>
          <c:showVal val="0"/>
          <c:showCatName val="0"/>
          <c:showSerName val="0"/>
          <c:showPercent val="0"/>
          <c:showBubbleSize val="0"/>
        </c:dLbls>
        <c:gapWidth val="22"/>
        <c:overlap val="25"/>
        <c:axId val="2021683760"/>
        <c:axId val="2021686640"/>
      </c:barChart>
      <c:valAx>
        <c:axId val="2021686640"/>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0" sourceLinked="1"/>
        <c:majorTickMark val="out"/>
        <c:minorTickMark val="none"/>
        <c:tickLblPos val="nextTo"/>
        <c:crossAx val="2021683760"/>
        <c:crosses val="autoZero"/>
        <c:crossBetween val="between"/>
      </c:valAx>
      <c:catAx>
        <c:axId val="202168376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68664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[FlutterCo Sales Data.xlsx]TOP 5 CITIES!PivotTable2</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CITIES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50000"/>
            </a:schemeClr>
          </a:solidFill>
          <a:ln w="19050">
            <a:solidFill>
              <a:schemeClr val="lt1"/>
            </a:solidFill>
          </a:ln>
          <a:effectLst/>
        </c:spPr>
      </c:pivotFmt>
      <c:pivotFmt>
        <c:idx val="10"/>
        <c:spPr>
          <a:solidFill>
            <a:schemeClr val="accent5">
              <a:lumMod val="75000"/>
            </a:schemeClr>
          </a:solidFill>
          <a:ln w="19050">
            <a:solidFill>
              <a:schemeClr val="lt1"/>
            </a:solidFill>
          </a:ln>
          <a:effectLst/>
        </c:spPr>
      </c:pivotFmt>
      <c:pivotFmt>
        <c:idx val="11"/>
        <c:spPr>
          <a:solidFill>
            <a:schemeClr val="accent5">
              <a:lumMod val="75000"/>
            </a:schemeClr>
          </a:solidFill>
          <a:ln w="19050">
            <a:solidFill>
              <a:schemeClr val="lt1"/>
            </a:solidFill>
          </a:ln>
          <a:effectLst/>
        </c:spPr>
      </c:pivotFmt>
      <c:pivotFmt>
        <c:idx val="12"/>
        <c:spPr>
          <a:solidFill>
            <a:schemeClr val="accent5">
              <a:lumMod val="60000"/>
              <a:lumOff val="40000"/>
            </a:schemeClr>
          </a:solidFill>
          <a:ln w="19050">
            <a:solidFill>
              <a:schemeClr val="lt1"/>
            </a:solidFill>
          </a:ln>
          <a:effectLst/>
        </c:spPr>
      </c:pivotFmt>
      <c:pivotFmt>
        <c:idx val="13"/>
        <c:spPr>
          <a:solidFill>
            <a:schemeClr val="accent5">
              <a:lumMod val="40000"/>
              <a:lumOff val="60000"/>
            </a:schemeClr>
          </a:solidFill>
          <a:ln w="19050">
            <a:solidFill>
              <a:schemeClr val="lt1"/>
            </a:solidFill>
          </a:ln>
          <a:effectLst/>
        </c:spPr>
      </c:pivotFmt>
      <c:pivotFmt>
        <c:idx val="14"/>
        <c:spPr>
          <a:solidFill>
            <a:schemeClr val="accent5">
              <a:lumMod val="20000"/>
              <a:lumOff val="80000"/>
            </a:schemeClr>
          </a:solidFill>
          <a:ln w="19050">
            <a:solidFill>
              <a:schemeClr val="lt1"/>
            </a:solidFill>
          </a:ln>
          <a:effectLst/>
        </c:spPr>
      </c:pivotFmt>
      <c:pivotFmt>
        <c:idx val="15"/>
        <c:spPr>
          <a:solidFill>
            <a:schemeClr val="accent5">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lumMod val="20000"/>
              <a:lumOff val="80000"/>
            </a:schemeClr>
          </a:solidFill>
          <a:ln w="19050">
            <a:solidFill>
              <a:schemeClr val="lt1"/>
            </a:solidFill>
          </a:ln>
          <a:effectLst/>
        </c:spPr>
      </c:pivotFmt>
      <c:pivotFmt>
        <c:idx val="17"/>
        <c:spPr>
          <a:solidFill>
            <a:schemeClr val="accent5">
              <a:lumMod val="40000"/>
              <a:lumOff val="60000"/>
            </a:schemeClr>
          </a:solidFill>
          <a:ln w="19050">
            <a:solidFill>
              <a:schemeClr val="lt1"/>
            </a:solidFill>
          </a:ln>
          <a:effectLst/>
        </c:spPr>
      </c:pivotFmt>
      <c:pivotFmt>
        <c:idx val="18"/>
        <c:spPr>
          <a:solidFill>
            <a:schemeClr val="accent5">
              <a:lumMod val="60000"/>
              <a:lumOff val="40000"/>
            </a:schemeClr>
          </a:solidFill>
          <a:ln w="19050">
            <a:solidFill>
              <a:schemeClr val="lt1"/>
            </a:solidFill>
          </a:ln>
          <a:effectLst/>
        </c:spPr>
      </c:pivotFmt>
      <c:pivotFmt>
        <c:idx val="19"/>
        <c:spPr>
          <a:solidFill>
            <a:schemeClr val="accent5">
              <a:lumMod val="75000"/>
            </a:schemeClr>
          </a:solidFill>
          <a:ln w="19050">
            <a:solidFill>
              <a:schemeClr val="lt1"/>
            </a:solidFill>
          </a:ln>
          <a:effectLst/>
        </c:spPr>
      </c:pivotFmt>
      <c:pivotFmt>
        <c:idx val="20"/>
        <c:spPr>
          <a:solidFill>
            <a:schemeClr val="accent5">
              <a:lumMod val="75000"/>
            </a:schemeClr>
          </a:solidFill>
          <a:ln w="19050">
            <a:solidFill>
              <a:schemeClr val="lt1"/>
            </a:solidFill>
          </a:ln>
          <a:effectLst/>
        </c:spPr>
      </c:pivotFmt>
      <c:pivotFmt>
        <c:idx val="21"/>
        <c:spPr>
          <a:solidFill>
            <a:schemeClr val="accent5">
              <a:lumMod val="50000"/>
            </a:schemeClr>
          </a:solidFill>
          <a:ln w="19050">
            <a:solidFill>
              <a:schemeClr val="lt1"/>
            </a:solidFill>
          </a:ln>
          <a:effectLst/>
        </c:spPr>
      </c:pivotFmt>
      <c:pivotFmt>
        <c:idx val="22"/>
        <c:spPr>
          <a:solidFill>
            <a:schemeClr val="accent5">
              <a:lumMod val="75000"/>
            </a:schemeClr>
          </a:solidFill>
          <a:ln w="19050">
            <a:solidFill>
              <a:schemeClr val="lt1"/>
            </a:solidFill>
          </a:ln>
          <a:effectLst/>
        </c:spPr>
        <c:dLbl>
          <c:idx val="0"/>
          <c:layout>
            <c:manualLayout>
              <c:x val="-0.13907282350857395"/>
              <c:y val="-1.29870129870129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40000"/>
              <a:lumOff val="60000"/>
            </a:schemeClr>
          </a:solidFill>
          <a:ln w="19050">
            <a:solidFill>
              <a:schemeClr val="lt1"/>
            </a:solidFill>
          </a:ln>
          <a:effectLst/>
        </c:spPr>
        <c:dLbl>
          <c:idx val="0"/>
          <c:layout>
            <c:manualLayout>
              <c:x val="0.13686531837351718"/>
              <c:y val="-8.22510822510822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lumMod val="20000"/>
              <a:lumOff val="80000"/>
            </a:schemeClr>
          </a:solidFill>
          <a:ln w="19050">
            <a:solidFill>
              <a:schemeClr val="lt1"/>
            </a:solidFill>
          </a:ln>
          <a:effectLst/>
        </c:spPr>
      </c:pivotFmt>
      <c:pivotFmt>
        <c:idx val="25"/>
        <c:spPr>
          <a:solidFill>
            <a:schemeClr val="accent5">
              <a:lumMod val="20000"/>
              <a:lumOff val="80000"/>
            </a:schemeClr>
          </a:solidFill>
          <a:ln w="19050">
            <a:solidFill>
              <a:schemeClr val="lt1"/>
            </a:solidFill>
          </a:ln>
          <a:effectLst/>
        </c:spPr>
      </c:pivotFmt>
      <c:pivotFmt>
        <c:idx val="26"/>
        <c:spPr>
          <a:solidFill>
            <a:schemeClr val="accent5">
              <a:lumMod val="50000"/>
            </a:schemeClr>
          </a:solidFill>
          <a:ln w="19050">
            <a:solidFill>
              <a:schemeClr val="lt1"/>
            </a:solidFill>
          </a:ln>
          <a:effectLst/>
        </c:spPr>
        <c:dLbl>
          <c:idx val="0"/>
          <c:layout>
            <c:manualLayout>
              <c:x val="-0.20198671985769071"/>
              <c:y val="2.164502164502164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791379814121112"/>
                  <c:h val="4.322527865834952E-2"/>
                </c:manualLayout>
              </c15:layout>
            </c:ext>
          </c:extLst>
        </c:dLbl>
      </c:pivotFmt>
      <c:pivotFmt>
        <c:idx val="27"/>
        <c:spPr>
          <a:solidFill>
            <a:schemeClr val="accent5">
              <a:lumMod val="50000"/>
            </a:schemeClr>
          </a:solidFill>
          <a:ln w="19050">
            <a:solidFill>
              <a:schemeClr val="lt1"/>
            </a:solidFill>
          </a:ln>
          <a:effectLst/>
        </c:spPr>
      </c:pivotFmt>
      <c:pivotFmt>
        <c:idx val="28"/>
        <c:spPr>
          <a:solidFill>
            <a:schemeClr val="accent5">
              <a:lumMod val="50000"/>
            </a:schemeClr>
          </a:solidFill>
          <a:ln w="19050">
            <a:solidFill>
              <a:schemeClr val="lt1"/>
            </a:solidFill>
          </a:ln>
          <a:effectLst/>
        </c:spPr>
      </c:pivotFmt>
    </c:pivotFmts>
    <c:plotArea>
      <c:layout>
        <c:manualLayout>
          <c:layoutTarget val="inner"/>
          <c:xMode val="edge"/>
          <c:yMode val="edge"/>
          <c:x val="0.1533626525580577"/>
          <c:y val="0.1856019195337599"/>
          <c:w val="0.76107737375026097"/>
          <c:h val="0.73901182806694621"/>
        </c:manualLayout>
      </c:layout>
      <c:doughnutChart>
        <c:varyColors val="1"/>
        <c:ser>
          <c:idx val="0"/>
          <c:order val="0"/>
          <c:tx>
            <c:strRef>
              <c:f>'TOP 5 CITIES'!$B$3</c:f>
              <c:strCache>
                <c:ptCount val="1"/>
                <c:pt idx="0">
                  <c:v>Total</c:v>
                </c:pt>
              </c:strCache>
            </c:strRef>
          </c:tx>
          <c:spPr>
            <a:solidFill>
              <a:schemeClr val="accent5">
                <a:lumMod val="50000"/>
              </a:schemeClr>
            </a:solidFill>
          </c:spPr>
          <c:dPt>
            <c:idx val="0"/>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1-FAE1-4EAC-8BE6-4451DF6FF76B}"/>
              </c:ext>
            </c:extLst>
          </c:dPt>
          <c:dPt>
            <c:idx val="1"/>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3-FAE1-4EAC-8BE6-4451DF6FF76B}"/>
              </c:ext>
            </c:extLst>
          </c:dPt>
          <c:dPt>
            <c:idx val="2"/>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5-FAE1-4EAC-8BE6-4451DF6FF76B}"/>
              </c:ext>
            </c:extLst>
          </c:dPt>
          <c:dPt>
            <c:idx val="3"/>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7-FAE1-4EAC-8BE6-4451DF6FF76B}"/>
              </c:ext>
            </c:extLst>
          </c:dPt>
          <c:dPt>
            <c:idx val="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9-FAE1-4EAC-8BE6-4451DF6FF76B}"/>
              </c:ext>
            </c:extLst>
          </c:dPt>
          <c:dPt>
            <c:idx val="5"/>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B-FAE1-4EAC-8BE6-4451DF6FF76B}"/>
              </c:ext>
            </c:extLst>
          </c:dPt>
          <c:dLbls>
            <c:dLbl>
              <c:idx val="0"/>
              <c:layout>
                <c:manualLayout>
                  <c:x val="0.13686531837351718"/>
                  <c:y val="-8.22510822510822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AE1-4EAC-8BE6-4451DF6FF76B}"/>
                </c:ext>
              </c:extLst>
            </c:dLbl>
            <c:dLbl>
              <c:idx val="1"/>
              <c:layout>
                <c:manualLayout>
                  <c:x val="-0.20198671985769071"/>
                  <c:y val="2.164502164502164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791379814121112"/>
                      <c:h val="4.322527865834952E-2"/>
                    </c:manualLayout>
                  </c15:layout>
                </c:ext>
                <c:ext xmlns:c16="http://schemas.microsoft.com/office/drawing/2014/chart" uri="{C3380CC4-5D6E-409C-BE32-E72D297353CC}">
                  <c16:uniqueId val="{00000003-FAE1-4EAC-8BE6-4451DF6FF76B}"/>
                </c:ext>
              </c:extLst>
            </c:dLbl>
            <c:dLbl>
              <c:idx val="2"/>
              <c:layout>
                <c:manualLayout>
                  <c:x val="-0.13907282350857395"/>
                  <c:y val="-1.29870129870129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AE1-4EAC-8BE6-4451DF6FF76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 CITIES'!$A$4:$A$7</c:f>
              <c:strCache>
                <c:ptCount val="3"/>
                <c:pt idx="0">
                  <c:v>Miami</c:v>
                </c:pt>
                <c:pt idx="1">
                  <c:v>New York</c:v>
                </c:pt>
                <c:pt idx="2">
                  <c:v>Portland</c:v>
                </c:pt>
              </c:strCache>
            </c:strRef>
          </c:cat>
          <c:val>
            <c:numRef>
              <c:f>'TOP 5 CITIES'!$B$4:$B$7</c:f>
              <c:numCache>
                <c:formatCode>0.00%</c:formatCode>
                <c:ptCount val="3"/>
                <c:pt idx="0">
                  <c:v>0.29931402654670231</c:v>
                </c:pt>
                <c:pt idx="1">
                  <c:v>0.40099578486014015</c:v>
                </c:pt>
                <c:pt idx="2">
                  <c:v>0.29969018859315749</c:v>
                </c:pt>
              </c:numCache>
            </c:numRef>
          </c:val>
          <c:extLst>
            <c:ext xmlns:c16="http://schemas.microsoft.com/office/drawing/2014/chart" uri="{C3380CC4-5D6E-409C-BE32-E72D297353CC}">
              <c16:uniqueId val="{0000000C-FAE1-4EAC-8BE6-4451DF6FF76B}"/>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[FlutterCo Sales Data.xlsx]SALES PERFORMANCE BY REGION!PivotTable2</c:name>
    <c:fmtId val="3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PERFORMANCE BY REGIONS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50000"/>
            </a:schemeClr>
          </a:solidFill>
          <a:ln w="19050">
            <a:solidFill>
              <a:schemeClr val="lt1"/>
            </a:solidFill>
          </a:ln>
          <a:effectLst/>
        </c:spPr>
      </c:pivotFmt>
      <c:pivotFmt>
        <c:idx val="10"/>
        <c:spPr>
          <a:solidFill>
            <a:schemeClr val="accent5">
              <a:lumMod val="75000"/>
            </a:schemeClr>
          </a:solidFill>
          <a:ln w="19050">
            <a:solidFill>
              <a:schemeClr val="lt1"/>
            </a:solidFill>
          </a:ln>
          <a:effectLst/>
        </c:spPr>
      </c:pivotFmt>
      <c:pivotFmt>
        <c:idx val="11"/>
        <c:spPr>
          <a:solidFill>
            <a:schemeClr val="accent5">
              <a:lumMod val="75000"/>
            </a:schemeClr>
          </a:solidFill>
          <a:ln w="19050">
            <a:solidFill>
              <a:schemeClr val="lt1"/>
            </a:solidFill>
          </a:ln>
          <a:effectLst/>
        </c:spPr>
      </c:pivotFmt>
      <c:pivotFmt>
        <c:idx val="12"/>
        <c:spPr>
          <a:solidFill>
            <a:schemeClr val="accent5">
              <a:lumMod val="60000"/>
              <a:lumOff val="40000"/>
            </a:schemeClr>
          </a:solidFill>
          <a:ln w="19050">
            <a:solidFill>
              <a:schemeClr val="lt1"/>
            </a:solidFill>
          </a:ln>
          <a:effectLst/>
        </c:spPr>
      </c:pivotFmt>
      <c:pivotFmt>
        <c:idx val="13"/>
        <c:spPr>
          <a:solidFill>
            <a:schemeClr val="accent5">
              <a:lumMod val="40000"/>
              <a:lumOff val="60000"/>
            </a:schemeClr>
          </a:solidFill>
          <a:ln w="19050">
            <a:solidFill>
              <a:schemeClr val="lt1"/>
            </a:solidFill>
          </a:ln>
          <a:effectLst/>
        </c:spPr>
      </c:pivotFmt>
      <c:pivotFmt>
        <c:idx val="14"/>
        <c:spPr>
          <a:solidFill>
            <a:schemeClr val="accent5">
              <a:lumMod val="20000"/>
              <a:lumOff val="80000"/>
            </a:schemeClr>
          </a:solidFill>
          <a:ln w="19050">
            <a:solidFill>
              <a:schemeClr val="lt1"/>
            </a:solidFill>
          </a:ln>
          <a:effectLst/>
        </c:spPr>
      </c:pivotFmt>
      <c:pivotFmt>
        <c:idx val="15"/>
        <c:spPr>
          <a:solidFill>
            <a:schemeClr val="accent5">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lumMod val="20000"/>
              <a:lumOff val="80000"/>
            </a:schemeClr>
          </a:solidFill>
          <a:ln w="19050">
            <a:solidFill>
              <a:schemeClr val="lt1"/>
            </a:solidFill>
          </a:ln>
          <a:effectLst/>
        </c:spPr>
      </c:pivotFmt>
      <c:pivotFmt>
        <c:idx val="17"/>
        <c:spPr>
          <a:solidFill>
            <a:schemeClr val="accent5">
              <a:lumMod val="40000"/>
              <a:lumOff val="60000"/>
            </a:schemeClr>
          </a:solidFill>
          <a:ln w="19050">
            <a:solidFill>
              <a:schemeClr val="lt1"/>
            </a:solidFill>
          </a:ln>
          <a:effectLst/>
        </c:spPr>
      </c:pivotFmt>
      <c:pivotFmt>
        <c:idx val="18"/>
        <c:spPr>
          <a:solidFill>
            <a:schemeClr val="accent5">
              <a:lumMod val="60000"/>
              <a:lumOff val="40000"/>
            </a:schemeClr>
          </a:solidFill>
          <a:ln w="19050">
            <a:solidFill>
              <a:schemeClr val="lt1"/>
            </a:solidFill>
          </a:ln>
          <a:effectLst/>
        </c:spPr>
      </c:pivotFmt>
      <c:pivotFmt>
        <c:idx val="19"/>
        <c:spPr>
          <a:solidFill>
            <a:schemeClr val="accent5">
              <a:lumMod val="75000"/>
            </a:schemeClr>
          </a:solidFill>
          <a:ln w="19050">
            <a:solidFill>
              <a:schemeClr val="lt1"/>
            </a:solidFill>
          </a:ln>
          <a:effectLst/>
        </c:spPr>
      </c:pivotFmt>
      <c:pivotFmt>
        <c:idx val="20"/>
        <c:spPr>
          <a:solidFill>
            <a:schemeClr val="accent5">
              <a:lumMod val="75000"/>
            </a:schemeClr>
          </a:solidFill>
          <a:ln w="19050">
            <a:solidFill>
              <a:schemeClr val="lt1"/>
            </a:solidFill>
          </a:ln>
          <a:effectLst/>
        </c:spPr>
      </c:pivotFmt>
      <c:pivotFmt>
        <c:idx val="21"/>
        <c:spPr>
          <a:solidFill>
            <a:schemeClr val="accent5">
              <a:lumMod val="50000"/>
            </a:schemeClr>
          </a:solidFill>
          <a:ln w="19050">
            <a:solidFill>
              <a:schemeClr val="lt1"/>
            </a:solidFill>
          </a:ln>
          <a:effectLst/>
        </c:spPr>
      </c:pivotFmt>
      <c:pivotFmt>
        <c:idx val="22"/>
        <c:spPr>
          <a:solidFill>
            <a:schemeClr val="accent5">
              <a:lumMod val="75000"/>
            </a:schemeClr>
          </a:solidFill>
          <a:ln w="19050">
            <a:solidFill>
              <a:schemeClr val="lt1"/>
            </a:solidFill>
          </a:ln>
          <a:effectLst/>
        </c:spPr>
      </c:pivotFmt>
      <c:pivotFmt>
        <c:idx val="23"/>
        <c:spPr>
          <a:solidFill>
            <a:schemeClr val="accent5">
              <a:lumMod val="60000"/>
              <a:lumOff val="40000"/>
            </a:schemeClr>
          </a:solidFill>
          <a:ln w="19050">
            <a:solidFill>
              <a:schemeClr val="lt1"/>
            </a:solidFill>
          </a:ln>
          <a:effectLst/>
        </c:spPr>
      </c:pivotFmt>
      <c:pivotFmt>
        <c:idx val="24"/>
        <c:spPr>
          <a:solidFill>
            <a:schemeClr val="accent5">
              <a:lumMod val="40000"/>
              <a:lumOff val="60000"/>
            </a:schemeClr>
          </a:solidFill>
          <a:ln w="19050">
            <a:solidFill>
              <a:schemeClr val="lt1"/>
            </a:solidFill>
          </a:ln>
          <a:effectLst/>
        </c:spPr>
      </c:pivotFmt>
      <c:pivotFmt>
        <c:idx val="25"/>
        <c:spPr>
          <a:solidFill>
            <a:schemeClr val="accent5">
              <a:lumMod val="20000"/>
              <a:lumOff val="80000"/>
            </a:schemeClr>
          </a:solidFill>
          <a:ln w="19050">
            <a:solidFill>
              <a:schemeClr val="lt1"/>
            </a:solidFill>
          </a:ln>
          <a:effectLst/>
        </c:spPr>
      </c:pivotFmt>
      <c:pivotFmt>
        <c:idx val="26"/>
        <c:spPr>
          <a:solidFill>
            <a:schemeClr val="accent5">
              <a:lumMod val="50000"/>
            </a:schemeClr>
          </a:solidFill>
          <a:ln w="19050">
            <a:solidFill>
              <a:schemeClr val="lt1"/>
            </a:solidFill>
          </a:ln>
          <a:effectLst/>
        </c:spPr>
      </c:pivotFmt>
      <c:pivotFmt>
        <c:idx val="27"/>
        <c:spPr>
          <a:solidFill>
            <a:schemeClr val="accent5">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20000"/>
              <a:lumOff val="80000"/>
            </a:schemeClr>
          </a:solidFill>
          <a:ln w="19050">
            <a:solidFill>
              <a:schemeClr val="lt1"/>
            </a:solidFill>
          </a:ln>
          <a:effectLst/>
        </c:spPr>
      </c:pivotFmt>
      <c:pivotFmt>
        <c:idx val="29"/>
        <c:spPr>
          <a:solidFill>
            <a:schemeClr val="accent5">
              <a:lumMod val="40000"/>
              <a:lumOff val="60000"/>
            </a:schemeClr>
          </a:solidFill>
          <a:ln w="19050">
            <a:solidFill>
              <a:schemeClr val="lt1"/>
            </a:solidFill>
          </a:ln>
          <a:effectLst/>
        </c:spPr>
      </c:pivotFmt>
      <c:pivotFmt>
        <c:idx val="30"/>
        <c:spPr>
          <a:solidFill>
            <a:schemeClr val="accent5">
              <a:lumMod val="60000"/>
              <a:lumOff val="40000"/>
            </a:schemeClr>
          </a:solidFill>
          <a:ln w="19050">
            <a:solidFill>
              <a:schemeClr val="lt1"/>
            </a:solidFill>
          </a:ln>
          <a:effectLst/>
        </c:spPr>
      </c:pivotFmt>
      <c:pivotFmt>
        <c:idx val="31"/>
        <c:spPr>
          <a:solidFill>
            <a:schemeClr val="accent5">
              <a:lumMod val="50000"/>
            </a:schemeClr>
          </a:solidFill>
          <a:ln w="19050">
            <a:solidFill>
              <a:schemeClr val="lt1"/>
            </a:solidFill>
          </a:ln>
          <a:effectLst/>
        </c:spPr>
      </c:pivotFmt>
      <c:pivotFmt>
        <c:idx val="32"/>
        <c:spPr>
          <a:solidFill>
            <a:schemeClr val="accent5">
              <a:lumMod val="75000"/>
            </a:schemeClr>
          </a:solidFill>
          <a:ln w="19050">
            <a:solidFill>
              <a:schemeClr val="lt1"/>
            </a:solidFill>
          </a:ln>
          <a:effectLst/>
        </c:spPr>
      </c:pivotFmt>
      <c:pivotFmt>
        <c:idx val="33"/>
        <c:spPr>
          <a:solidFill>
            <a:schemeClr val="accent5">
              <a:lumMod val="75000"/>
            </a:schemeClr>
          </a:solidFill>
          <a:ln w="19050">
            <a:solidFill>
              <a:schemeClr val="lt1"/>
            </a:solidFill>
          </a:ln>
          <a:effectLst/>
        </c:spPr>
      </c:pivotFmt>
      <c:pivotFmt>
        <c:idx val="34"/>
        <c:spPr>
          <a:solidFill>
            <a:schemeClr val="accent5">
              <a:lumMod val="50000"/>
            </a:schemeClr>
          </a:solidFill>
          <a:ln w="19050">
            <a:solidFill>
              <a:schemeClr val="lt1"/>
            </a:solidFill>
          </a:ln>
          <a:effectLst/>
        </c:spPr>
      </c:pivotFmt>
      <c:pivotFmt>
        <c:idx val="35"/>
        <c:spPr>
          <a:solidFill>
            <a:schemeClr val="accent5">
              <a:lumMod val="50000"/>
            </a:schemeClr>
          </a:solidFill>
          <a:ln w="19050">
            <a:solidFill>
              <a:schemeClr val="lt1"/>
            </a:solidFill>
          </a:ln>
          <a:effectLst/>
        </c:spPr>
      </c:pivotFmt>
      <c:pivotFmt>
        <c:idx val="36"/>
        <c:spPr>
          <a:solidFill>
            <a:schemeClr val="accent5">
              <a:lumMod val="20000"/>
              <a:lumOff val="80000"/>
            </a:schemeClr>
          </a:solidFill>
          <a:ln w="19050">
            <a:solidFill>
              <a:schemeClr val="lt1"/>
            </a:solidFill>
          </a:ln>
          <a:effectLst/>
        </c:spPr>
      </c:pivotFmt>
    </c:pivotFmts>
    <c:plotArea>
      <c:layout>
        <c:manualLayout>
          <c:layoutTarget val="inner"/>
          <c:xMode val="edge"/>
          <c:yMode val="edge"/>
          <c:x val="0.44254687718066127"/>
          <c:y val="0.21251082251082251"/>
          <c:w val="0.35840304696046782"/>
          <c:h val="0.67840576746088554"/>
        </c:manualLayout>
      </c:layout>
      <c:pieChart>
        <c:varyColors val="1"/>
        <c:ser>
          <c:idx val="0"/>
          <c:order val="0"/>
          <c:tx>
            <c:strRef>
              <c:f>'SALES PERFORMANCE BY REGION'!$B$3</c:f>
              <c:strCache>
                <c:ptCount val="1"/>
                <c:pt idx="0">
                  <c:v>Total</c:v>
                </c:pt>
              </c:strCache>
            </c:strRef>
          </c:tx>
          <c:spPr>
            <a:solidFill>
              <a:schemeClr val="accent5">
                <a:lumMod val="50000"/>
              </a:schemeClr>
            </a:solidFill>
          </c:spPr>
          <c:dPt>
            <c:idx val="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1-DD4D-409B-8231-64146542D106}"/>
              </c:ext>
            </c:extLst>
          </c:dPt>
          <c:dPt>
            <c:idx val="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DD4D-409B-8231-64146542D106}"/>
              </c:ext>
            </c:extLst>
          </c:dPt>
          <c:dPt>
            <c:idx val="2"/>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5-DD4D-409B-8231-64146542D106}"/>
              </c:ext>
            </c:extLst>
          </c:dPt>
          <c:dPt>
            <c:idx val="3"/>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7-DD4D-409B-8231-64146542D106}"/>
              </c:ext>
            </c:extLst>
          </c:dPt>
          <c:dPt>
            <c:idx val="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9-DD4D-409B-8231-64146542D106}"/>
              </c:ext>
            </c:extLst>
          </c:dPt>
          <c:dPt>
            <c:idx val="5"/>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B-DD4D-409B-8231-64146542D10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PERFORMANCE BY REGION'!$A$4:$A$8</c:f>
              <c:strCache>
                <c:ptCount val="4"/>
                <c:pt idx="0">
                  <c:v>North</c:v>
                </c:pt>
                <c:pt idx="1">
                  <c:v>East</c:v>
                </c:pt>
                <c:pt idx="2">
                  <c:v>South</c:v>
                </c:pt>
                <c:pt idx="3">
                  <c:v>West</c:v>
                </c:pt>
              </c:strCache>
            </c:strRef>
          </c:cat>
          <c:val>
            <c:numRef>
              <c:f>'SALES PERFORMANCE BY REGION'!$B$4:$B$8</c:f>
              <c:numCache>
                <c:formatCode>"$"#,##0.00</c:formatCode>
                <c:ptCount val="4"/>
                <c:pt idx="0">
                  <c:v>141680.33999999997</c:v>
                </c:pt>
                <c:pt idx="1">
                  <c:v>108275.51</c:v>
                </c:pt>
                <c:pt idx="2">
                  <c:v>93858.329999999987</c:v>
                </c:pt>
                <c:pt idx="3">
                  <c:v>91251.979999999981</c:v>
                </c:pt>
              </c:numCache>
            </c:numRef>
          </c:val>
          <c:extLst>
            <c:ext xmlns:c16="http://schemas.microsoft.com/office/drawing/2014/chart" uri="{C3380CC4-5D6E-409C-BE32-E72D297353CC}">
              <c16:uniqueId val="{0000000C-DD4D-409B-8231-64146542D10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[FlutterCo Sales Data.xlsx]SALES PERFORMANCE BY REGION!PivotTable2</c:name>
    <c:fmtId val="47"/>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50000"/>
            </a:schemeClr>
          </a:solidFill>
          <a:ln w="19050">
            <a:solidFill>
              <a:schemeClr val="lt1"/>
            </a:solidFill>
          </a:ln>
          <a:effectLst/>
        </c:spPr>
      </c:pivotFmt>
      <c:pivotFmt>
        <c:idx val="10"/>
        <c:spPr>
          <a:solidFill>
            <a:schemeClr val="accent5">
              <a:lumMod val="75000"/>
            </a:schemeClr>
          </a:solidFill>
          <a:ln w="19050">
            <a:solidFill>
              <a:schemeClr val="lt1"/>
            </a:solidFill>
          </a:ln>
          <a:effectLst/>
        </c:spPr>
      </c:pivotFmt>
      <c:pivotFmt>
        <c:idx val="11"/>
        <c:spPr>
          <a:solidFill>
            <a:schemeClr val="accent5">
              <a:lumMod val="75000"/>
            </a:schemeClr>
          </a:solidFill>
          <a:ln w="19050">
            <a:solidFill>
              <a:schemeClr val="lt1"/>
            </a:solidFill>
          </a:ln>
          <a:effectLst/>
        </c:spPr>
      </c:pivotFmt>
      <c:pivotFmt>
        <c:idx val="12"/>
        <c:spPr>
          <a:solidFill>
            <a:schemeClr val="accent5">
              <a:lumMod val="60000"/>
              <a:lumOff val="40000"/>
            </a:schemeClr>
          </a:solidFill>
          <a:ln w="19050">
            <a:solidFill>
              <a:schemeClr val="lt1"/>
            </a:solidFill>
          </a:ln>
          <a:effectLst/>
        </c:spPr>
      </c:pivotFmt>
      <c:pivotFmt>
        <c:idx val="13"/>
        <c:spPr>
          <a:solidFill>
            <a:schemeClr val="accent5">
              <a:lumMod val="40000"/>
              <a:lumOff val="60000"/>
            </a:schemeClr>
          </a:solidFill>
          <a:ln w="19050">
            <a:solidFill>
              <a:schemeClr val="lt1"/>
            </a:solidFill>
          </a:ln>
          <a:effectLst/>
        </c:spPr>
      </c:pivotFmt>
      <c:pivotFmt>
        <c:idx val="14"/>
        <c:spPr>
          <a:solidFill>
            <a:schemeClr val="accent5">
              <a:lumMod val="20000"/>
              <a:lumOff val="80000"/>
            </a:schemeClr>
          </a:solidFill>
          <a:ln w="19050">
            <a:solidFill>
              <a:schemeClr val="lt1"/>
            </a:solidFill>
          </a:ln>
          <a:effectLst/>
        </c:spPr>
      </c:pivotFmt>
      <c:pivotFmt>
        <c:idx val="15"/>
        <c:spPr>
          <a:solidFill>
            <a:schemeClr val="accent5">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lumMod val="20000"/>
              <a:lumOff val="80000"/>
            </a:schemeClr>
          </a:solidFill>
          <a:ln w="19050">
            <a:solidFill>
              <a:schemeClr val="lt1"/>
            </a:solidFill>
          </a:ln>
          <a:effectLst/>
        </c:spPr>
      </c:pivotFmt>
      <c:pivotFmt>
        <c:idx val="17"/>
        <c:spPr>
          <a:solidFill>
            <a:schemeClr val="accent5">
              <a:lumMod val="40000"/>
              <a:lumOff val="60000"/>
            </a:schemeClr>
          </a:solidFill>
          <a:ln w="19050">
            <a:solidFill>
              <a:schemeClr val="lt1"/>
            </a:solidFill>
          </a:ln>
          <a:effectLst/>
        </c:spPr>
      </c:pivotFmt>
      <c:pivotFmt>
        <c:idx val="18"/>
        <c:spPr>
          <a:solidFill>
            <a:schemeClr val="accent5">
              <a:lumMod val="60000"/>
              <a:lumOff val="40000"/>
            </a:schemeClr>
          </a:solidFill>
          <a:ln w="19050">
            <a:solidFill>
              <a:schemeClr val="lt1"/>
            </a:solidFill>
          </a:ln>
          <a:effectLst/>
        </c:spPr>
      </c:pivotFmt>
      <c:pivotFmt>
        <c:idx val="19"/>
        <c:spPr>
          <a:solidFill>
            <a:schemeClr val="accent5">
              <a:lumMod val="75000"/>
            </a:schemeClr>
          </a:solidFill>
          <a:ln w="19050">
            <a:solidFill>
              <a:schemeClr val="lt1"/>
            </a:solidFill>
          </a:ln>
          <a:effectLst/>
        </c:spPr>
      </c:pivotFmt>
      <c:pivotFmt>
        <c:idx val="20"/>
        <c:spPr>
          <a:solidFill>
            <a:schemeClr val="accent5">
              <a:lumMod val="75000"/>
            </a:schemeClr>
          </a:solidFill>
          <a:ln w="19050">
            <a:solidFill>
              <a:schemeClr val="lt1"/>
            </a:solidFill>
          </a:ln>
          <a:effectLst/>
        </c:spPr>
      </c:pivotFmt>
      <c:pivotFmt>
        <c:idx val="21"/>
        <c:spPr>
          <a:solidFill>
            <a:schemeClr val="accent5">
              <a:lumMod val="50000"/>
            </a:schemeClr>
          </a:solidFill>
          <a:ln w="19050">
            <a:solidFill>
              <a:schemeClr val="lt1"/>
            </a:solidFill>
          </a:ln>
          <a:effectLst/>
        </c:spPr>
      </c:pivotFmt>
      <c:pivotFmt>
        <c:idx val="22"/>
        <c:spPr>
          <a:solidFill>
            <a:schemeClr val="accent5">
              <a:lumMod val="75000"/>
            </a:schemeClr>
          </a:solidFill>
          <a:ln w="19050">
            <a:solidFill>
              <a:schemeClr val="lt1"/>
            </a:solidFill>
          </a:ln>
          <a:effectLst/>
        </c:spPr>
      </c:pivotFmt>
      <c:pivotFmt>
        <c:idx val="23"/>
        <c:spPr>
          <a:solidFill>
            <a:schemeClr val="accent5">
              <a:lumMod val="60000"/>
              <a:lumOff val="40000"/>
            </a:schemeClr>
          </a:solidFill>
          <a:ln w="19050">
            <a:solidFill>
              <a:schemeClr val="lt1"/>
            </a:solidFill>
          </a:ln>
          <a:effectLst/>
        </c:spPr>
      </c:pivotFmt>
      <c:pivotFmt>
        <c:idx val="24"/>
        <c:spPr>
          <a:solidFill>
            <a:schemeClr val="accent5">
              <a:lumMod val="40000"/>
              <a:lumOff val="60000"/>
            </a:schemeClr>
          </a:solidFill>
          <a:ln w="19050">
            <a:solidFill>
              <a:schemeClr val="lt1"/>
            </a:solidFill>
          </a:ln>
          <a:effectLst/>
        </c:spPr>
      </c:pivotFmt>
      <c:pivotFmt>
        <c:idx val="25"/>
        <c:spPr>
          <a:solidFill>
            <a:schemeClr val="accent5">
              <a:lumMod val="20000"/>
              <a:lumOff val="80000"/>
            </a:schemeClr>
          </a:solidFill>
          <a:ln w="19050">
            <a:solidFill>
              <a:schemeClr val="lt1"/>
            </a:solidFill>
          </a:ln>
          <a:effectLst/>
        </c:spPr>
      </c:pivotFmt>
      <c:pivotFmt>
        <c:idx val="26"/>
        <c:spPr>
          <a:solidFill>
            <a:schemeClr val="accent5">
              <a:lumMod val="50000"/>
            </a:schemeClr>
          </a:solidFill>
          <a:ln w="19050">
            <a:solidFill>
              <a:schemeClr val="lt1"/>
            </a:solidFill>
          </a:ln>
          <a:effectLst/>
        </c:spPr>
      </c:pivotFmt>
      <c:pivotFmt>
        <c:idx val="27"/>
        <c:spPr>
          <a:solidFill>
            <a:schemeClr val="accent5">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20000"/>
              <a:lumOff val="80000"/>
            </a:schemeClr>
          </a:solidFill>
          <a:ln w="19050">
            <a:solidFill>
              <a:schemeClr val="lt1"/>
            </a:solidFill>
          </a:ln>
          <a:effectLst/>
        </c:spPr>
      </c:pivotFmt>
      <c:pivotFmt>
        <c:idx val="29"/>
        <c:spPr>
          <a:solidFill>
            <a:schemeClr val="accent5">
              <a:lumMod val="40000"/>
              <a:lumOff val="60000"/>
            </a:schemeClr>
          </a:solidFill>
          <a:ln w="19050">
            <a:solidFill>
              <a:schemeClr val="lt1"/>
            </a:solidFill>
          </a:ln>
          <a:effectLst/>
        </c:spPr>
      </c:pivotFmt>
      <c:pivotFmt>
        <c:idx val="30"/>
        <c:spPr>
          <a:solidFill>
            <a:schemeClr val="accent5">
              <a:lumMod val="60000"/>
              <a:lumOff val="40000"/>
            </a:schemeClr>
          </a:solidFill>
          <a:ln w="19050">
            <a:solidFill>
              <a:schemeClr val="lt1"/>
            </a:solidFill>
          </a:ln>
          <a:effectLst/>
        </c:spPr>
      </c:pivotFmt>
      <c:pivotFmt>
        <c:idx val="31"/>
        <c:spPr>
          <a:solidFill>
            <a:schemeClr val="accent5">
              <a:lumMod val="50000"/>
            </a:schemeClr>
          </a:solidFill>
          <a:ln w="19050">
            <a:solidFill>
              <a:schemeClr val="lt1"/>
            </a:solidFill>
          </a:ln>
          <a:effectLst/>
        </c:spPr>
      </c:pivotFmt>
      <c:pivotFmt>
        <c:idx val="32"/>
        <c:spPr>
          <a:solidFill>
            <a:schemeClr val="accent5">
              <a:lumMod val="75000"/>
            </a:schemeClr>
          </a:solidFill>
          <a:ln w="19050">
            <a:solidFill>
              <a:schemeClr val="lt1"/>
            </a:solidFill>
          </a:ln>
          <a:effectLst/>
        </c:spPr>
      </c:pivotFmt>
      <c:pivotFmt>
        <c:idx val="33"/>
        <c:spPr>
          <a:solidFill>
            <a:schemeClr val="accent5">
              <a:lumMod val="75000"/>
            </a:schemeClr>
          </a:solidFill>
          <a:ln w="19050">
            <a:solidFill>
              <a:schemeClr val="lt1"/>
            </a:solidFill>
          </a:ln>
          <a:effectLst/>
        </c:spPr>
      </c:pivotFmt>
      <c:pivotFmt>
        <c:idx val="34"/>
        <c:spPr>
          <a:solidFill>
            <a:schemeClr val="accent5">
              <a:lumMod val="50000"/>
            </a:schemeClr>
          </a:solidFill>
          <a:ln w="19050">
            <a:solidFill>
              <a:schemeClr val="lt1"/>
            </a:solidFill>
          </a:ln>
          <a:effectLst/>
        </c:spPr>
      </c:pivotFmt>
      <c:pivotFmt>
        <c:idx val="35"/>
        <c:spPr>
          <a:solidFill>
            <a:schemeClr val="accent5">
              <a:lumMod val="50000"/>
            </a:schemeClr>
          </a:solidFill>
          <a:ln w="19050">
            <a:solidFill>
              <a:schemeClr val="lt1"/>
            </a:solidFill>
          </a:ln>
          <a:effectLst/>
        </c:spPr>
      </c:pivotFmt>
      <c:pivotFmt>
        <c:idx val="36"/>
        <c:spPr>
          <a:solidFill>
            <a:schemeClr val="accent5">
              <a:lumMod val="20000"/>
              <a:lumOff val="80000"/>
            </a:schemeClr>
          </a:solidFill>
          <a:ln w="19050">
            <a:solidFill>
              <a:schemeClr val="lt1"/>
            </a:solidFill>
          </a:ln>
          <a:effectLst/>
        </c:spPr>
      </c:pivotFmt>
      <c:pivotFmt>
        <c:idx val="3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ln w="28575" cap="rnd">
            <a:solidFill>
              <a:schemeClr val="accent1"/>
            </a:solidFill>
            <a:round/>
          </a:ln>
          <a:effectLst/>
        </c:spPr>
        <c:marker>
          <c:symbol val="none"/>
        </c:marker>
        <c:dLbl>
          <c:idx val="0"/>
          <c:layout>
            <c:manualLayout>
              <c:x val="0"/>
              <c:y val="-0.158914728682170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ln w="28575" cap="rnd">
            <a:solidFill>
              <a:schemeClr val="accent1"/>
            </a:solidFill>
            <a:round/>
          </a:ln>
          <a:effectLst/>
        </c:spPr>
        <c:marker>
          <c:symbol val="none"/>
        </c:marker>
        <c:dLbl>
          <c:idx val="0"/>
          <c:layout>
            <c:manualLayout>
              <c:x val="0.2198032617717656"/>
              <c:y val="7.751937984496123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ln w="28575" cap="rnd">
            <a:solidFill>
              <a:schemeClr val="accent1"/>
            </a:solidFill>
            <a:round/>
          </a:ln>
          <a:effectLst/>
        </c:spPr>
        <c:marker>
          <c:symbol val="none"/>
        </c:marker>
        <c:dLbl>
          <c:idx val="0"/>
          <c:layout>
            <c:manualLayout>
              <c:x val="2.2870211549456832E-3"/>
              <c:y val="0.14341085271317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ln w="28575" cap="rnd">
            <a:solidFill>
              <a:schemeClr val="accent1"/>
            </a:solidFill>
            <a:round/>
          </a:ln>
          <a:effectLst/>
        </c:spPr>
        <c:marker>
          <c:symbol val="none"/>
        </c:marker>
        <c:dLbl>
          <c:idx val="0"/>
          <c:layout>
            <c:manualLayout>
              <c:x val="-0.21815644839266887"/>
              <c:y val="-7.75193798449619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8739437158694"/>
          <c:y val="0.21553103827137887"/>
          <c:w val="0.33141223556317889"/>
          <c:h val="0.56166666666666665"/>
        </c:manualLayout>
      </c:layout>
      <c:radarChart>
        <c:radarStyle val="marker"/>
        <c:varyColors val="0"/>
        <c:ser>
          <c:idx val="0"/>
          <c:order val="0"/>
          <c:tx>
            <c:strRef>
              <c:f>'SALES PERFORMANCE BY REGION'!$B$3</c:f>
              <c:strCache>
                <c:ptCount val="1"/>
                <c:pt idx="0">
                  <c:v>Total</c:v>
                </c:pt>
              </c:strCache>
            </c:strRef>
          </c:tx>
          <c:spPr>
            <a:ln w="28575" cap="rnd">
              <a:solidFill>
                <a:schemeClr val="accent1"/>
              </a:solidFill>
              <a:round/>
            </a:ln>
            <a:effectLst/>
          </c:spPr>
          <c:marker>
            <c:symbol val="none"/>
          </c:marker>
          <c:dPt>
            <c:idx val="0"/>
            <c:marker>
              <c:symbol val="none"/>
            </c:marker>
            <c:bubble3D val="0"/>
            <c:spPr>
              <a:ln w="28575" cap="rnd">
                <a:solidFill>
                  <a:schemeClr val="accent1"/>
                </a:solidFill>
                <a:round/>
              </a:ln>
              <a:effectLst/>
            </c:spPr>
            <c:extLst>
              <c:ext xmlns:c16="http://schemas.microsoft.com/office/drawing/2014/chart" uri="{C3380CC4-5D6E-409C-BE32-E72D297353CC}">
                <c16:uniqueId val="{00000001-DD4D-409B-8231-64146542D106}"/>
              </c:ext>
            </c:extLst>
          </c:dPt>
          <c:dPt>
            <c:idx val="1"/>
            <c:marker>
              <c:symbol val="none"/>
            </c:marker>
            <c:bubble3D val="0"/>
            <c:spPr>
              <a:ln w="28575" cap="rnd">
                <a:solidFill>
                  <a:schemeClr val="accent1"/>
                </a:solidFill>
                <a:round/>
              </a:ln>
              <a:effectLst/>
            </c:spPr>
            <c:extLst>
              <c:ext xmlns:c16="http://schemas.microsoft.com/office/drawing/2014/chart" uri="{C3380CC4-5D6E-409C-BE32-E72D297353CC}">
                <c16:uniqueId val="{00000003-DD4D-409B-8231-64146542D106}"/>
              </c:ext>
            </c:extLst>
          </c:dPt>
          <c:dPt>
            <c:idx val="2"/>
            <c:marker>
              <c:symbol val="none"/>
            </c:marker>
            <c:bubble3D val="0"/>
            <c:spPr>
              <a:ln w="28575" cap="rnd">
                <a:solidFill>
                  <a:schemeClr val="accent1"/>
                </a:solidFill>
                <a:round/>
              </a:ln>
              <a:effectLst/>
            </c:spPr>
            <c:extLst>
              <c:ext xmlns:c16="http://schemas.microsoft.com/office/drawing/2014/chart" uri="{C3380CC4-5D6E-409C-BE32-E72D297353CC}">
                <c16:uniqueId val="{00000005-DD4D-409B-8231-64146542D106}"/>
              </c:ext>
            </c:extLst>
          </c:dPt>
          <c:dPt>
            <c:idx val="3"/>
            <c:marker>
              <c:symbol val="none"/>
            </c:marker>
            <c:bubble3D val="0"/>
            <c:spPr>
              <a:ln w="28575" cap="rnd">
                <a:solidFill>
                  <a:schemeClr val="accent1"/>
                </a:solidFill>
                <a:round/>
              </a:ln>
              <a:effectLst/>
            </c:spPr>
            <c:extLst>
              <c:ext xmlns:c16="http://schemas.microsoft.com/office/drawing/2014/chart" uri="{C3380CC4-5D6E-409C-BE32-E72D297353CC}">
                <c16:uniqueId val="{00000007-DD4D-409B-8231-64146542D106}"/>
              </c:ext>
            </c:extLst>
          </c:dPt>
          <c:dPt>
            <c:idx val="4"/>
            <c:marker>
              <c:symbol val="none"/>
            </c:marker>
            <c:bubble3D val="0"/>
            <c:extLst>
              <c:ext xmlns:c16="http://schemas.microsoft.com/office/drawing/2014/chart" uri="{C3380CC4-5D6E-409C-BE32-E72D297353CC}">
                <c16:uniqueId val="{00000009-DD4D-409B-8231-64146542D106}"/>
              </c:ext>
            </c:extLst>
          </c:dPt>
          <c:dPt>
            <c:idx val="5"/>
            <c:marker>
              <c:symbol val="none"/>
            </c:marker>
            <c:bubble3D val="0"/>
            <c:extLst>
              <c:ext xmlns:c16="http://schemas.microsoft.com/office/drawing/2014/chart" uri="{C3380CC4-5D6E-409C-BE32-E72D297353CC}">
                <c16:uniqueId val="{0000000B-DD4D-409B-8231-64146542D106}"/>
              </c:ext>
            </c:extLst>
          </c:dPt>
          <c:dLbls>
            <c:dLbl>
              <c:idx val="0"/>
              <c:layout>
                <c:manualLayout>
                  <c:x val="0"/>
                  <c:y val="-0.1589147286821705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D4D-409B-8231-64146542D106}"/>
                </c:ext>
              </c:extLst>
            </c:dLbl>
            <c:dLbl>
              <c:idx val="1"/>
              <c:layout>
                <c:manualLayout>
                  <c:x val="0.2198032617717656"/>
                  <c:y val="7.751937984496123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D4D-409B-8231-64146542D106}"/>
                </c:ext>
              </c:extLst>
            </c:dLbl>
            <c:dLbl>
              <c:idx val="2"/>
              <c:layout>
                <c:manualLayout>
                  <c:x val="2.2870211549456832E-3"/>
                  <c:y val="0.143410852713178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D4D-409B-8231-64146542D106}"/>
                </c:ext>
              </c:extLst>
            </c:dLbl>
            <c:dLbl>
              <c:idx val="3"/>
              <c:layout>
                <c:manualLayout>
                  <c:x val="-0.21815644839266887"/>
                  <c:y val="-7.75193798449619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D4D-409B-8231-64146542D1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PERFORMANCE BY REGION'!$A$4:$A$8</c:f>
              <c:strCache>
                <c:ptCount val="4"/>
                <c:pt idx="0">
                  <c:v>North</c:v>
                </c:pt>
                <c:pt idx="1">
                  <c:v>East</c:v>
                </c:pt>
                <c:pt idx="2">
                  <c:v>South</c:v>
                </c:pt>
                <c:pt idx="3">
                  <c:v>West</c:v>
                </c:pt>
              </c:strCache>
            </c:strRef>
          </c:cat>
          <c:val>
            <c:numRef>
              <c:f>'SALES PERFORMANCE BY REGION'!$B$4:$B$8</c:f>
              <c:numCache>
                <c:formatCode>"$"#,##0.00</c:formatCode>
                <c:ptCount val="4"/>
                <c:pt idx="0">
                  <c:v>141680.33999999997</c:v>
                </c:pt>
                <c:pt idx="1">
                  <c:v>108275.51</c:v>
                </c:pt>
                <c:pt idx="2">
                  <c:v>93858.329999999987</c:v>
                </c:pt>
                <c:pt idx="3">
                  <c:v>91251.979999999981</c:v>
                </c:pt>
              </c:numCache>
            </c:numRef>
          </c:val>
          <c:extLst>
            <c:ext xmlns:c16="http://schemas.microsoft.com/office/drawing/2014/chart" uri="{C3380CC4-5D6E-409C-BE32-E72D297353CC}">
              <c16:uniqueId val="{0000000C-DD4D-409B-8231-64146542D106}"/>
            </c:ext>
          </c:extLst>
        </c:ser>
        <c:dLbls>
          <c:showLegendKey val="0"/>
          <c:showVal val="0"/>
          <c:showCatName val="0"/>
          <c:showSerName val="0"/>
          <c:showPercent val="0"/>
          <c:showBubbleSize val="0"/>
        </c:dLbls>
        <c:axId val="221186160"/>
        <c:axId val="221205840"/>
      </c:radarChart>
      <c:catAx>
        <c:axId val="2211861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205840"/>
        <c:crosses val="autoZero"/>
        <c:auto val="1"/>
        <c:lblAlgn val="ctr"/>
        <c:lblOffset val="100"/>
        <c:noMultiLvlLbl val="0"/>
      </c:catAx>
      <c:valAx>
        <c:axId val="221205840"/>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 sourceLinked="1"/>
        <c:majorTickMark val="out"/>
        <c:minorTickMark val="none"/>
        <c:tickLblPos val="nextTo"/>
        <c:crossAx val="221186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[FlutterCo Sales Data.xlsx]SALES TREND REPORT!PivotTable2</c:name>
    <c:fmtId val="5"/>
  </c:pivotSource>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US" sz="1050" i="0">
                <a:solidFill>
                  <a:srgbClr val="002060"/>
                </a:solidFill>
                <a:latin typeface="Garamond" panose="02020404030301010803" pitchFamily="18" charset="0"/>
              </a:rPr>
              <a:t>SALES</a:t>
            </a:r>
            <a:r>
              <a:rPr lang="en-US" sz="1050" i="0" baseline="0">
                <a:solidFill>
                  <a:srgbClr val="002060"/>
                </a:solidFill>
                <a:latin typeface="Garamond" panose="02020404030301010803" pitchFamily="18" charset="0"/>
              </a:rPr>
              <a:t> TREND REPORT</a:t>
            </a:r>
            <a:endParaRPr lang="en-US" sz="1050" i="0">
              <a:solidFill>
                <a:srgbClr val="002060"/>
              </a:solidFill>
              <a:latin typeface="Garamond" panose="02020404030301010803" pitchFamily="18" charset="0"/>
            </a:endParaRPr>
          </a:p>
        </c:rich>
      </c:tx>
      <c:layout>
        <c:manualLayout>
          <c:xMode val="edge"/>
          <c:yMode val="edge"/>
          <c:x val="0.39051585841489439"/>
          <c:y val="4.38381794454464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dLbl>
          <c:idx val="0"/>
          <c:layout>
            <c:manualLayout>
              <c:x val="-1.3877787807814457E-17"/>
              <c:y val="1.03092783505154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2187950301008858"/>
                  <c:h val="6.1804259003707E-2"/>
                </c:manualLayout>
              </c15:layout>
            </c:ext>
          </c:extLst>
        </c:dLbl>
      </c:pivotFmt>
      <c:pivotFmt>
        <c:idx val="2"/>
        <c:spPr>
          <a:solidFill>
            <a:schemeClr val="accent5">
              <a:lumMod val="75000"/>
            </a:schemeClr>
          </a:solidFill>
          <a:ln>
            <a:solidFill>
              <a:schemeClr val="accent5">
                <a:lumMod val="60000"/>
                <a:lumOff val="40000"/>
              </a:schemeClr>
            </a:solidFill>
          </a:ln>
          <a:effectLst/>
        </c:spPr>
      </c:pivotFmt>
      <c:pivotFmt>
        <c:idx val="3"/>
        <c:spPr>
          <a:solidFill>
            <a:schemeClr val="accent5">
              <a:lumMod val="75000"/>
            </a:schemeClr>
          </a:solidFill>
          <a:ln>
            <a:solidFill>
              <a:schemeClr val="accent5">
                <a:lumMod val="60000"/>
                <a:lumOff val="40000"/>
              </a:schemeClr>
            </a:solidFill>
          </a:ln>
          <a:effectLst/>
        </c:spPr>
      </c:pivotFmt>
      <c:pivotFmt>
        <c:idx val="4"/>
        <c:spPr>
          <a:solidFill>
            <a:schemeClr val="accent5">
              <a:lumMod val="60000"/>
              <a:lumOff val="40000"/>
            </a:schemeClr>
          </a:solidFill>
          <a:ln>
            <a:solidFill>
              <a:schemeClr val="accent5">
                <a:lumMod val="40000"/>
                <a:lumOff val="60000"/>
              </a:schemeClr>
            </a:solidFill>
          </a:ln>
          <a:effectLst/>
        </c:spPr>
      </c:pivotFmt>
      <c:pivotFmt>
        <c:idx val="5"/>
        <c:spPr>
          <a:solidFill>
            <a:schemeClr val="accent5">
              <a:lumMod val="40000"/>
              <a:lumOff val="6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60000"/>
              <a:lumOff val="40000"/>
            </a:schemeClr>
          </a:solidFill>
          <a:ln>
            <a:noFill/>
          </a:ln>
          <a:effectLst/>
        </c:spPr>
      </c:pivotFmt>
      <c:pivotFmt>
        <c:idx val="8"/>
        <c:spPr>
          <a:solidFill>
            <a:schemeClr val="accent5">
              <a:lumMod val="20000"/>
              <a:lumOff val="80000"/>
            </a:schemeClr>
          </a:solidFill>
          <a:ln>
            <a:noFill/>
          </a:ln>
          <a:effectLst/>
        </c:spPr>
      </c:pivotFmt>
      <c:pivotFmt>
        <c:idx val="9"/>
        <c:spPr>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dLbl>
          <c:idx val="0"/>
          <c:layout>
            <c:manualLayout>
              <c:x val="-1.3877787807814457E-17"/>
              <c:y val="1.03092783505154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2187950301008858"/>
                  <c:h val="6.1804259003707E-2"/>
                </c:manualLayout>
              </c15:layout>
            </c:ext>
          </c:extLst>
        </c:dLbl>
      </c:pivotFmt>
      <c:pivotFmt>
        <c:idx val="11"/>
        <c:spPr>
          <a:solidFill>
            <a:schemeClr val="accent5">
              <a:lumMod val="75000"/>
            </a:schemeClr>
          </a:solidFill>
          <a:ln>
            <a:solidFill>
              <a:schemeClr val="accent5">
                <a:lumMod val="60000"/>
                <a:lumOff val="40000"/>
              </a:schemeClr>
            </a:solidFill>
          </a:ln>
          <a:effectLst/>
        </c:spPr>
      </c:pivotFmt>
      <c:pivotFmt>
        <c:idx val="12"/>
        <c:spPr>
          <a:solidFill>
            <a:schemeClr val="accent5">
              <a:lumMod val="75000"/>
            </a:schemeClr>
          </a:solidFill>
          <a:ln>
            <a:solidFill>
              <a:schemeClr val="accent5">
                <a:lumMod val="60000"/>
                <a:lumOff val="40000"/>
              </a:schemeClr>
            </a:solidFill>
          </a:ln>
          <a:effectLst/>
        </c:spPr>
      </c:pivotFmt>
      <c:pivotFmt>
        <c:idx val="13"/>
        <c:spPr>
          <a:solidFill>
            <a:schemeClr val="accent5">
              <a:lumMod val="60000"/>
              <a:lumOff val="40000"/>
            </a:schemeClr>
          </a:solidFill>
          <a:ln>
            <a:solidFill>
              <a:schemeClr val="accent5">
                <a:lumMod val="40000"/>
                <a:lumOff val="60000"/>
              </a:schemeClr>
            </a:solidFill>
          </a:ln>
          <a:effectLst/>
        </c:spPr>
      </c:pivotFmt>
      <c:pivotFmt>
        <c:idx val="14"/>
        <c:spPr>
          <a:solidFill>
            <a:schemeClr val="accent5">
              <a:lumMod val="40000"/>
              <a:lumOff val="6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60000"/>
              <a:lumOff val="4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5">
              <a:lumMod val="50000"/>
            </a:schemeClr>
          </a:solidFill>
          <a:ln>
            <a:noFill/>
          </a:ln>
          <a:effectLst/>
        </c:spPr>
      </c:pivotFmt>
      <c:pivotFmt>
        <c:idx val="19"/>
        <c:spPr>
          <a:solidFill>
            <a:schemeClr val="accent5">
              <a:lumMod val="75000"/>
            </a:schemeClr>
          </a:solidFill>
          <a:ln>
            <a:noFill/>
          </a:ln>
          <a:effectLst/>
        </c:spPr>
      </c:pivotFmt>
      <c:pivotFmt>
        <c:idx val="20"/>
        <c:spPr>
          <a:solidFill>
            <a:schemeClr val="accent5">
              <a:lumMod val="60000"/>
              <a:lumOff val="40000"/>
            </a:schemeClr>
          </a:solidFill>
          <a:ln>
            <a:noFill/>
          </a:ln>
          <a:effectLst/>
        </c:spPr>
      </c:pivotFmt>
      <c:pivotFmt>
        <c:idx val="21"/>
        <c:spPr>
          <a:solidFill>
            <a:schemeClr val="accent5">
              <a:lumMod val="40000"/>
              <a:lumOff val="60000"/>
            </a:schemeClr>
          </a:solidFill>
          <a:ln>
            <a:noFill/>
          </a:ln>
          <a:effectLst/>
        </c:spPr>
      </c:pivotFmt>
      <c:pivotFmt>
        <c:idx val="22"/>
        <c:spPr>
          <a:ln w="28575" cap="rnd">
            <a:solidFill>
              <a:schemeClr val="accent5">
                <a:lumMod val="50000"/>
              </a:schemeClr>
            </a:solidFill>
            <a:round/>
          </a:ln>
          <a:effectLst/>
        </c:spPr>
        <c:marker>
          <c:symbol val="none"/>
        </c:marker>
      </c:pivotFmt>
      <c:pivotFmt>
        <c:idx val="23"/>
        <c:spPr>
          <a:ln w="28575" cap="rnd">
            <a:solidFill>
              <a:schemeClr val="accent5">
                <a:lumMod val="50000"/>
              </a:schemeClr>
            </a:solidFill>
            <a:round/>
          </a:ln>
          <a:effectLst/>
        </c:spPr>
        <c:marker>
          <c:symbol val="none"/>
        </c:marker>
        <c:dLbl>
          <c:idx val="0"/>
          <c:layout>
            <c:manualLayout>
              <c:x val="0"/>
              <c:y val="-3.35195530726256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ln w="28575" cap="rnd">
            <a:solidFill>
              <a:schemeClr val="accent5">
                <a:lumMod val="50000"/>
              </a:schemeClr>
            </a:solidFill>
            <a:round/>
          </a:ln>
          <a:effectLst/>
        </c:spPr>
        <c:marker>
          <c:symbol val="none"/>
        </c:marker>
      </c:pivotFmt>
      <c:pivotFmt>
        <c:idx val="25"/>
        <c:spPr>
          <a:ln w="28575" cap="rnd">
            <a:solidFill>
              <a:schemeClr val="accent5">
                <a:lumMod val="50000"/>
              </a:schemeClr>
            </a:solidFill>
            <a:round/>
          </a:ln>
          <a:effectLst/>
        </c:spPr>
        <c:marker>
          <c:symbol val="none"/>
        </c:marker>
        <c:dLbl>
          <c:idx val="0"/>
          <c:layout>
            <c:manualLayout>
              <c:x val="-4.9200485651407977E-3"/>
              <c:y val="3.72439478584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ln w="28575" cap="rnd">
            <a:solidFill>
              <a:schemeClr val="accent5">
                <a:lumMod val="50000"/>
              </a:schemeClr>
            </a:solidFill>
            <a:round/>
          </a:ln>
          <a:effectLst/>
        </c:spPr>
        <c:marker>
          <c:symbol val="none"/>
        </c:marker>
        <c:dLbl>
          <c:idx val="0"/>
          <c:layout>
            <c:manualLayout>
              <c:x val="9.8400971302815953E-3"/>
              <c:y val="2.97951582867783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ln w="28575" cap="rnd">
            <a:solidFill>
              <a:schemeClr val="accent5">
                <a:lumMod val="50000"/>
              </a:schemeClr>
            </a:solidFill>
            <a:round/>
          </a:ln>
          <a:effectLst/>
        </c:spPr>
        <c:marker>
          <c:symbol val="none"/>
        </c:marker>
        <c:dLbl>
          <c:idx val="0"/>
          <c:layout>
            <c:manualLayout>
              <c:x val="-9.8400971302815953E-3"/>
              <c:y val="-4.46927374301676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ln w="28575" cap="rnd">
            <a:solidFill>
              <a:schemeClr val="accent5">
                <a:lumMod val="50000"/>
              </a:schemeClr>
            </a:solidFill>
            <a:round/>
          </a:ln>
          <a:effectLst/>
        </c:spPr>
        <c:marker>
          <c:symbol val="none"/>
        </c:marker>
      </c:pivotFmt>
      <c:pivotFmt>
        <c:idx val="29"/>
        <c:spPr>
          <a:ln w="28575" cap="rnd">
            <a:solidFill>
              <a:schemeClr val="accent5">
                <a:lumMod val="50000"/>
              </a:schemeClr>
            </a:solidFill>
            <a:round/>
          </a:ln>
          <a:effectLst/>
        </c:spPr>
        <c:marker>
          <c:symbol val="none"/>
        </c:marker>
      </c:pivotFmt>
      <c:pivotFmt>
        <c:idx val="30"/>
        <c:spPr>
          <a:ln w="28575" cap="rnd">
            <a:solidFill>
              <a:schemeClr val="accent5">
                <a:lumMod val="50000"/>
              </a:schemeClr>
            </a:solidFill>
            <a:round/>
          </a:ln>
          <a:effectLst/>
        </c:spPr>
        <c:marker>
          <c:symbol val="none"/>
        </c:marker>
      </c:pivotFmt>
      <c:pivotFmt>
        <c:idx val="31"/>
        <c:spPr>
          <a:ln w="28575" cap="rnd">
            <a:solidFill>
              <a:schemeClr val="accent5">
                <a:lumMod val="50000"/>
              </a:schemeClr>
            </a:solidFill>
            <a:round/>
          </a:ln>
          <a:effectLst/>
        </c:spPr>
        <c:marker>
          <c:symbol val="none"/>
        </c:marker>
        <c:dLbl>
          <c:idx val="0"/>
          <c:layout>
            <c:manualLayout>
              <c:x val="-1.1480113318661861E-2"/>
              <c:y val="-3.35195530726256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ln w="28575" cap="rnd">
            <a:solidFill>
              <a:schemeClr val="accent5">
                <a:lumMod val="50000"/>
              </a:schemeClr>
            </a:solidFill>
            <a:round/>
          </a:ln>
          <a:effectLst/>
        </c:spPr>
        <c:marker>
          <c:symbol val="none"/>
        </c:marker>
      </c:pivotFmt>
      <c:pivotFmt>
        <c:idx val="33"/>
        <c:spPr>
          <a:ln w="28575" cap="rnd">
            <a:solidFill>
              <a:schemeClr val="accent5">
                <a:lumMod val="50000"/>
              </a:schemeClr>
            </a:solidFill>
            <a:round/>
          </a:ln>
          <a:effectLst/>
        </c:spPr>
        <c:marker>
          <c:symbol val="none"/>
        </c:marker>
      </c:pivotFmt>
      <c:pivotFmt>
        <c:idx val="34"/>
        <c:spPr>
          <a:ln w="28575" cap="rnd">
            <a:solidFill>
              <a:schemeClr val="accent5">
                <a:lumMod val="50000"/>
              </a:schemeClr>
            </a:solidFill>
            <a:round/>
          </a:ln>
          <a:effectLst/>
        </c:spPr>
        <c:marker>
          <c:symbol val="none"/>
        </c:marker>
        <c:dLbl>
          <c:idx val="0"/>
          <c:layout>
            <c:manualLayout>
              <c:x val="-4.9200485651409174E-3"/>
              <c:y val="-3.4139891149997748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352245688915053"/>
          <c:y val="0.16605082185955805"/>
          <c:w val="0.71437224552538414"/>
          <c:h val="0.75499054238331931"/>
        </c:manualLayout>
      </c:layout>
      <c:lineChart>
        <c:grouping val="standard"/>
        <c:varyColors val="0"/>
        <c:ser>
          <c:idx val="0"/>
          <c:order val="0"/>
          <c:tx>
            <c:strRef>
              <c:f>'SALES TREND REPORT'!$B$3</c:f>
              <c:strCache>
                <c:ptCount val="1"/>
                <c:pt idx="0">
                  <c:v>Total</c:v>
                </c:pt>
              </c:strCache>
            </c:strRef>
          </c:tx>
          <c:spPr>
            <a:ln w="28575" cap="rnd">
              <a:solidFill>
                <a:schemeClr val="accent5">
                  <a:lumMod val="50000"/>
                </a:schemeClr>
              </a:solidFill>
              <a:round/>
            </a:ln>
            <a:effectLst/>
          </c:spPr>
          <c:marker>
            <c:symbol val="none"/>
          </c:marker>
          <c:dPt>
            <c:idx val="0"/>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1-A2EE-4BE6-B9AA-0C5BA81717C6}"/>
              </c:ext>
            </c:extLst>
          </c:dPt>
          <c:dPt>
            <c:idx val="1"/>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3-A2EE-4BE6-B9AA-0C5BA81717C6}"/>
              </c:ext>
            </c:extLst>
          </c:dPt>
          <c:dPt>
            <c:idx val="2"/>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5-A2EE-4BE6-B9AA-0C5BA81717C6}"/>
              </c:ext>
            </c:extLst>
          </c:dPt>
          <c:dPt>
            <c:idx val="3"/>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7-A2EE-4BE6-B9AA-0C5BA81717C6}"/>
              </c:ext>
            </c:extLst>
          </c:dPt>
          <c:dPt>
            <c:idx val="4"/>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9-A2EE-4BE6-B9AA-0C5BA81717C6}"/>
              </c:ext>
            </c:extLst>
          </c:dPt>
          <c:dPt>
            <c:idx val="5"/>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B-A2EE-4BE6-B9AA-0C5BA81717C6}"/>
              </c:ext>
            </c:extLst>
          </c:dPt>
          <c:dPt>
            <c:idx val="6"/>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D-A2EE-4BE6-B9AA-0C5BA81717C6}"/>
              </c:ext>
            </c:extLst>
          </c:dPt>
          <c:dPt>
            <c:idx val="7"/>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F-A2EE-4BE6-B9AA-0C5BA81717C6}"/>
              </c:ext>
            </c:extLst>
          </c:dPt>
          <c:dLbls>
            <c:dLbl>
              <c:idx val="0"/>
              <c:layout>
                <c:manualLayout>
                  <c:x val="0"/>
                  <c:y val="-3.35195530726256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2EE-4BE6-B9AA-0C5BA81717C6}"/>
                </c:ext>
              </c:extLst>
            </c:dLbl>
            <c:dLbl>
              <c:idx val="1"/>
              <c:layout>
                <c:manualLayout>
                  <c:x val="-4.9200485651407977E-3"/>
                  <c:y val="3.72439478584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2EE-4BE6-B9AA-0C5BA81717C6}"/>
                </c:ext>
              </c:extLst>
            </c:dLbl>
            <c:dLbl>
              <c:idx val="2"/>
              <c:layout>
                <c:manualLayout>
                  <c:x val="9.8400971302815953E-3"/>
                  <c:y val="2.97951582867783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2EE-4BE6-B9AA-0C5BA81717C6}"/>
                </c:ext>
              </c:extLst>
            </c:dLbl>
            <c:dLbl>
              <c:idx val="3"/>
              <c:layout>
                <c:manualLayout>
                  <c:x val="-9.8400971302815953E-3"/>
                  <c:y val="-4.46927374301676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2EE-4BE6-B9AA-0C5BA81717C6}"/>
                </c:ext>
              </c:extLst>
            </c:dLbl>
            <c:dLbl>
              <c:idx val="7"/>
              <c:layout>
                <c:manualLayout>
                  <c:x val="-1.1480113318661861E-2"/>
                  <c:y val="-3.35195530726256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2EE-4BE6-B9AA-0C5BA81717C6}"/>
                </c:ext>
              </c:extLst>
            </c:dLbl>
            <c:dLbl>
              <c:idx val="10"/>
              <c:layout>
                <c:manualLayout>
                  <c:x val="-4.9200485651409174E-3"/>
                  <c:y val="-3.4139891149997748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A75-48F0-9A35-AFECF66FE81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noFill/>
                      <a:round/>
                    </a:ln>
                    <a:effectLst/>
                  </c:spPr>
                </c15:leaderLines>
              </c:ext>
            </c:extLst>
          </c:dLbls>
          <c:cat>
            <c:strRef>
              <c:f>'SALES TREND REPORT'!$A$4:$A$15</c:f>
              <c:strCache>
                <c:ptCount val="11"/>
                <c:pt idx="0">
                  <c:v>Jan</c:v>
                </c:pt>
                <c:pt idx="1">
                  <c:v>Mar</c:v>
                </c:pt>
                <c:pt idx="2">
                  <c:v>Apr</c:v>
                </c:pt>
                <c:pt idx="3">
                  <c:v>May</c:v>
                </c:pt>
                <c:pt idx="4">
                  <c:v>Jun</c:v>
                </c:pt>
                <c:pt idx="5">
                  <c:v>Jul</c:v>
                </c:pt>
                <c:pt idx="6">
                  <c:v>Aug</c:v>
                </c:pt>
                <c:pt idx="7">
                  <c:v>Sep</c:v>
                </c:pt>
                <c:pt idx="8">
                  <c:v>Oct</c:v>
                </c:pt>
                <c:pt idx="9">
                  <c:v>Nov</c:v>
                </c:pt>
                <c:pt idx="10">
                  <c:v>Dec</c:v>
                </c:pt>
              </c:strCache>
            </c:strRef>
          </c:cat>
          <c:val>
            <c:numRef>
              <c:f>'SALES TREND REPORT'!$B$4:$B$15</c:f>
              <c:numCache>
                <c:formatCode>"$"#,##0.00</c:formatCode>
                <c:ptCount val="11"/>
                <c:pt idx="0">
                  <c:v>1563.9999999999998</c:v>
                </c:pt>
                <c:pt idx="1">
                  <c:v>1352.4</c:v>
                </c:pt>
                <c:pt idx="2">
                  <c:v>1370.8000000000002</c:v>
                </c:pt>
                <c:pt idx="3">
                  <c:v>1506.4</c:v>
                </c:pt>
                <c:pt idx="4">
                  <c:v>1575.6</c:v>
                </c:pt>
                <c:pt idx="5">
                  <c:v>671.2</c:v>
                </c:pt>
                <c:pt idx="6">
                  <c:v>1930</c:v>
                </c:pt>
                <c:pt idx="7">
                  <c:v>2412</c:v>
                </c:pt>
                <c:pt idx="8">
                  <c:v>2270.8000000000002</c:v>
                </c:pt>
                <c:pt idx="9">
                  <c:v>1477.6</c:v>
                </c:pt>
                <c:pt idx="10">
                  <c:v>2922.7999999999997</c:v>
                </c:pt>
              </c:numCache>
            </c:numRef>
          </c:val>
          <c:smooth val="0"/>
          <c:extLst>
            <c:ext xmlns:c16="http://schemas.microsoft.com/office/drawing/2014/chart" uri="{C3380CC4-5D6E-409C-BE32-E72D297353CC}">
              <c16:uniqueId val="{00000010-A2EE-4BE6-B9AA-0C5BA81717C6}"/>
            </c:ext>
          </c:extLst>
        </c:ser>
        <c:dLbls>
          <c:showLegendKey val="0"/>
          <c:showVal val="0"/>
          <c:showCatName val="0"/>
          <c:showSerName val="0"/>
          <c:showPercent val="0"/>
          <c:showBubbleSize val="0"/>
        </c:dLbls>
        <c:smooth val="0"/>
        <c:axId val="66577504"/>
        <c:axId val="66589984"/>
      </c:lineChart>
      <c:catAx>
        <c:axId val="66577504"/>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accent5">
                    <a:lumMod val="50000"/>
                  </a:schemeClr>
                </a:solidFill>
                <a:latin typeface="+mn-lt"/>
                <a:ea typeface="+mn-ea"/>
                <a:cs typeface="+mn-cs"/>
              </a:defRPr>
            </a:pPr>
            <a:endParaRPr lang="en-US"/>
          </a:p>
        </c:txPr>
        <c:crossAx val="66589984"/>
        <c:crosses val="autoZero"/>
        <c:auto val="1"/>
        <c:lblAlgn val="ctr"/>
        <c:lblOffset val="100"/>
        <c:noMultiLvlLbl val="0"/>
      </c:catAx>
      <c:valAx>
        <c:axId val="66589984"/>
        <c:scaling>
          <c:orientation val="minMax"/>
        </c:scaling>
        <c:delete val="0"/>
        <c:axPos val="l"/>
        <c:majorGridlines>
          <c:spPr>
            <a:ln w="9525" cap="flat" cmpd="sng" algn="ctr">
              <a:noFill/>
              <a:round/>
            </a:ln>
            <a:effectLst/>
          </c:spPr>
        </c:majorGridlines>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66577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[FlutterCo Sales Data.xlsx]SALES PERFORMANCE BY REPS!PivotTable2</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dLbl>
          <c:idx val="0"/>
          <c:layout>
            <c:manualLayout>
              <c:x val="0.12698417091286057"/>
              <c:y val="-5.7487284428429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187950301008858"/>
                  <c:h val="6.1804259003707E-2"/>
                </c:manualLayout>
              </c15:layout>
            </c:ext>
          </c:extLst>
        </c:dLbl>
      </c:pivotFmt>
      <c:pivotFmt>
        <c:idx val="2"/>
        <c:spPr>
          <a:solidFill>
            <a:schemeClr val="accent1">
              <a:lumMod val="75000"/>
            </a:schemeClr>
          </a:solidFill>
          <a:ln>
            <a:noFill/>
          </a:ln>
          <a:effectLst/>
        </c:spPr>
        <c:dLbl>
          <c:idx val="0"/>
          <c:layout>
            <c:manualLayout>
              <c:x val="-0.24263029884468054"/>
              <c:y val="-8.66290018832391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20000"/>
              <a:lumOff val="80000"/>
            </a:schemeClr>
          </a:solidFill>
          <a:ln>
            <a:solidFill>
              <a:schemeClr val="accent5">
                <a:lumMod val="60000"/>
                <a:lumOff val="40000"/>
              </a:schemeClr>
            </a:solidFill>
          </a:ln>
          <a:effectLst/>
        </c:spPr>
        <c:dLbl>
          <c:idx val="0"/>
          <c:layout>
            <c:manualLayout>
              <c:x val="-0.14285709184312967"/>
              <c:y val="-5.64971751412429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60000"/>
              <a:lumOff val="40000"/>
            </a:schemeClr>
          </a:solidFill>
          <a:ln>
            <a:solidFill>
              <a:schemeClr val="accent5">
                <a:lumMod val="40000"/>
                <a:lumOff val="60000"/>
              </a:schemeClr>
            </a:solidFill>
          </a:ln>
          <a:effectLst/>
        </c:spPr>
      </c:pivotFmt>
      <c:pivotFmt>
        <c:idx val="5"/>
        <c:spPr>
          <a:solidFill>
            <a:schemeClr val="accent5">
              <a:lumMod val="40000"/>
              <a:lumOff val="6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60000"/>
              <a:lumOff val="40000"/>
            </a:schemeClr>
          </a:solidFill>
          <a:ln>
            <a:noFill/>
          </a:ln>
          <a:effectLst/>
        </c:spPr>
      </c:pivotFmt>
      <c:pivotFmt>
        <c:idx val="8"/>
        <c:spPr>
          <a:solidFill>
            <a:schemeClr val="accent5">
              <a:lumMod val="20000"/>
              <a:lumOff val="80000"/>
            </a:schemeClr>
          </a:solidFill>
          <a:ln>
            <a:noFill/>
          </a:ln>
          <a:effectLst/>
        </c:spPr>
      </c:pivotFmt>
    </c:pivotFmts>
    <c:plotArea>
      <c:layout>
        <c:manualLayout>
          <c:layoutTarget val="inner"/>
          <c:xMode val="edge"/>
          <c:yMode val="edge"/>
          <c:x val="0.14304599673398086"/>
          <c:y val="9.6559158918694474E-2"/>
          <c:w val="0.77042660459041989"/>
          <c:h val="0.80631043256997459"/>
        </c:manualLayout>
      </c:layout>
      <c:doughnutChart>
        <c:varyColors val="1"/>
        <c:ser>
          <c:idx val="0"/>
          <c:order val="0"/>
          <c:tx>
            <c:strRef>
              <c:f>'SALES PERFORMANCE BY REPS'!$B$3</c:f>
              <c:strCache>
                <c:ptCount val="1"/>
                <c:pt idx="0">
                  <c:v>Total</c:v>
                </c:pt>
              </c:strCache>
            </c:strRef>
          </c:tx>
          <c:dPt>
            <c:idx val="0"/>
            <c:bubble3D val="0"/>
            <c:spPr>
              <a:solidFill>
                <a:schemeClr val="accent1">
                  <a:lumMod val="50000"/>
                </a:schemeClr>
              </a:solidFill>
              <a:ln>
                <a:noFill/>
              </a:ln>
              <a:effectLst/>
            </c:spPr>
            <c:extLst>
              <c:ext xmlns:c16="http://schemas.microsoft.com/office/drawing/2014/chart" uri="{C3380CC4-5D6E-409C-BE32-E72D297353CC}">
                <c16:uniqueId val="{00000000-3355-4B79-B762-C803BDBA530A}"/>
              </c:ext>
            </c:extLst>
          </c:dPt>
          <c:dPt>
            <c:idx val="1"/>
            <c:bubble3D val="0"/>
            <c:spPr>
              <a:solidFill>
                <a:schemeClr val="accent1">
                  <a:lumMod val="75000"/>
                </a:schemeClr>
              </a:solidFill>
              <a:ln>
                <a:noFill/>
              </a:ln>
              <a:effectLst/>
            </c:spPr>
            <c:extLst>
              <c:ext xmlns:c16="http://schemas.microsoft.com/office/drawing/2014/chart" uri="{C3380CC4-5D6E-409C-BE32-E72D297353CC}">
                <c16:uniqueId val="{00000001-3355-4B79-B762-C803BDBA530A}"/>
              </c:ext>
            </c:extLst>
          </c:dPt>
          <c:dPt>
            <c:idx val="2"/>
            <c:bubble3D val="0"/>
            <c:spPr>
              <a:solidFill>
                <a:schemeClr val="accent1">
                  <a:lumMod val="20000"/>
                  <a:lumOff val="80000"/>
                </a:schemeClr>
              </a:solidFill>
              <a:ln>
                <a:solidFill>
                  <a:schemeClr val="accent5">
                    <a:lumMod val="60000"/>
                    <a:lumOff val="40000"/>
                  </a:schemeClr>
                </a:solidFill>
              </a:ln>
              <a:effectLst/>
            </c:spPr>
            <c:extLst>
              <c:ext xmlns:c16="http://schemas.microsoft.com/office/drawing/2014/chart" uri="{C3380CC4-5D6E-409C-BE32-E72D297353CC}">
                <c16:uniqueId val="{00000002-3355-4B79-B762-C803BDBA530A}"/>
              </c:ext>
            </c:extLst>
          </c:dPt>
          <c:dPt>
            <c:idx val="3"/>
            <c:bubble3D val="0"/>
            <c:spPr>
              <a:solidFill>
                <a:schemeClr val="accent4"/>
              </a:solidFill>
              <a:ln>
                <a:noFill/>
              </a:ln>
              <a:effectLst/>
            </c:spPr>
            <c:extLst>
              <c:ext xmlns:c16="http://schemas.microsoft.com/office/drawing/2014/chart" uri="{C3380CC4-5D6E-409C-BE32-E72D297353CC}">
                <c16:uniqueId val="{00000003-3355-4B79-B762-C803BDBA530A}"/>
              </c:ext>
            </c:extLst>
          </c:dPt>
          <c:dPt>
            <c:idx val="4"/>
            <c:bubble3D val="0"/>
            <c:spPr>
              <a:solidFill>
                <a:schemeClr val="accent5"/>
              </a:solidFill>
              <a:ln>
                <a:noFill/>
              </a:ln>
              <a:effectLst/>
            </c:spPr>
            <c:extLst>
              <c:ext xmlns:c16="http://schemas.microsoft.com/office/drawing/2014/chart" uri="{C3380CC4-5D6E-409C-BE32-E72D297353CC}">
                <c16:uniqueId val="{00000004-3355-4B79-B762-C803BDBA530A}"/>
              </c:ext>
            </c:extLst>
          </c:dPt>
          <c:dPt>
            <c:idx val="5"/>
            <c:bubble3D val="0"/>
            <c:spPr>
              <a:solidFill>
                <a:schemeClr val="accent6"/>
              </a:solidFill>
              <a:ln>
                <a:noFill/>
              </a:ln>
              <a:effectLst/>
            </c:spPr>
            <c:extLst>
              <c:ext xmlns:c16="http://schemas.microsoft.com/office/drawing/2014/chart" uri="{C3380CC4-5D6E-409C-BE32-E72D297353CC}">
                <c16:uniqueId val="{00000005-3355-4B79-B762-C803BDBA530A}"/>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6-3355-4B79-B762-C803BDBA530A}"/>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7-3355-4B79-B762-C803BDBA530A}"/>
              </c:ext>
            </c:extLst>
          </c:dPt>
          <c:dLbls>
            <c:dLbl>
              <c:idx val="0"/>
              <c:layout>
                <c:manualLayout>
                  <c:x val="0.12698417091286057"/>
                  <c:y val="-5.7487284428429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187950301008858"/>
                      <c:h val="6.1804259003707E-2"/>
                    </c:manualLayout>
                  </c15:layout>
                </c:ext>
                <c:ext xmlns:c16="http://schemas.microsoft.com/office/drawing/2014/chart" uri="{C3380CC4-5D6E-409C-BE32-E72D297353CC}">
                  <c16:uniqueId val="{00000000-3355-4B79-B762-C803BDBA530A}"/>
                </c:ext>
              </c:extLst>
            </c:dLbl>
            <c:dLbl>
              <c:idx val="1"/>
              <c:layout>
                <c:manualLayout>
                  <c:x val="-0.24263029884468054"/>
                  <c:y val="-8.66290018832391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355-4B79-B762-C803BDBA530A}"/>
                </c:ext>
              </c:extLst>
            </c:dLbl>
            <c:dLbl>
              <c:idx val="2"/>
              <c:layout>
                <c:manualLayout>
                  <c:x val="-0.14285709184312967"/>
                  <c:y val="-5.64971751412429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355-4B79-B762-C803BDBA530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PERFORMANCE BY REPS'!$A$4:$A$7</c:f>
              <c:strCache>
                <c:ptCount val="3"/>
                <c:pt idx="0">
                  <c:v>Nancy Freehafer</c:v>
                </c:pt>
                <c:pt idx="1">
                  <c:v>Anne Larsen</c:v>
                </c:pt>
                <c:pt idx="2">
                  <c:v>Andrew Cencini</c:v>
                </c:pt>
              </c:strCache>
            </c:strRef>
          </c:cat>
          <c:val>
            <c:numRef>
              <c:f>'SALES PERFORMANCE BY REPS'!$B$4:$B$7</c:f>
              <c:numCache>
                <c:formatCode>0.00%</c:formatCode>
                <c:ptCount val="3"/>
                <c:pt idx="0">
                  <c:v>0.39297327536382004</c:v>
                </c:pt>
                <c:pt idx="1">
                  <c:v>0.35379364492229431</c:v>
                </c:pt>
                <c:pt idx="2">
                  <c:v>0.25323307971388576</c:v>
                </c:pt>
              </c:numCache>
            </c:numRef>
          </c:val>
          <c:extLst>
            <c:ext xmlns:c16="http://schemas.microsoft.com/office/drawing/2014/chart" uri="{C3380CC4-5D6E-409C-BE32-E72D297353CC}">
              <c16:uniqueId val="{00000000-D342-49FA-AE40-75C23C43962F}"/>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82246779064481557"/>
          <c:y val="0.68337974702314752"/>
          <c:w val="0.14805376183199892"/>
          <c:h val="0.2886077375921229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[FlutterCo Sales Data.xlsx]TOP 10 CUSTOMERS!PivotTable2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i="0">
                <a:latin typeface="Garamond" panose="02020404030301010803" pitchFamily="18" charset="0"/>
              </a:rPr>
              <a:t>TOP</a:t>
            </a:r>
            <a:r>
              <a:rPr lang="en-US" sz="1050" i="0" baseline="0">
                <a:latin typeface="Garamond" panose="02020404030301010803" pitchFamily="18" charset="0"/>
              </a:rPr>
              <a:t> TEN CUSTOMERS</a:t>
            </a:r>
            <a:endParaRPr lang="en-US" sz="1050" i="0">
              <a:latin typeface="Garamond" panose="02020404030301010803" pitchFamily="18" charset="0"/>
            </a:endParaRPr>
          </a:p>
        </c:rich>
      </c:tx>
      <c:layout>
        <c:manualLayout>
          <c:xMode val="edge"/>
          <c:yMode val="edge"/>
          <c:x val="0.34784683364596325"/>
          <c:y val="5.08821179961200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dLbl>
          <c:idx val="0"/>
          <c:layout>
            <c:manualLayout>
              <c:x val="-1.3877787807814457E-17"/>
              <c:y val="1.03092783505154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2187950301008858"/>
                  <c:h val="6.1804259003707E-2"/>
                </c:manualLayout>
              </c15:layout>
            </c:ext>
          </c:extLst>
        </c:dLbl>
      </c:pivotFmt>
      <c:pivotFmt>
        <c:idx val="2"/>
        <c:spPr>
          <a:solidFill>
            <a:schemeClr val="accent5">
              <a:lumMod val="75000"/>
            </a:schemeClr>
          </a:solidFill>
          <a:ln>
            <a:solidFill>
              <a:schemeClr val="accent5">
                <a:lumMod val="60000"/>
                <a:lumOff val="40000"/>
              </a:schemeClr>
            </a:solidFill>
          </a:ln>
          <a:effectLst/>
        </c:spPr>
      </c:pivotFmt>
      <c:pivotFmt>
        <c:idx val="3"/>
        <c:spPr>
          <a:solidFill>
            <a:schemeClr val="accent5">
              <a:lumMod val="75000"/>
            </a:schemeClr>
          </a:solidFill>
          <a:ln>
            <a:solidFill>
              <a:schemeClr val="accent5">
                <a:lumMod val="60000"/>
                <a:lumOff val="40000"/>
              </a:schemeClr>
            </a:solidFill>
          </a:ln>
          <a:effectLst/>
        </c:spPr>
      </c:pivotFmt>
      <c:pivotFmt>
        <c:idx val="4"/>
        <c:spPr>
          <a:solidFill>
            <a:schemeClr val="accent5">
              <a:lumMod val="60000"/>
              <a:lumOff val="40000"/>
            </a:schemeClr>
          </a:solidFill>
          <a:ln>
            <a:solidFill>
              <a:schemeClr val="accent5">
                <a:lumMod val="40000"/>
                <a:lumOff val="60000"/>
              </a:schemeClr>
            </a:solidFill>
          </a:ln>
          <a:effectLst/>
        </c:spPr>
      </c:pivotFmt>
      <c:pivotFmt>
        <c:idx val="5"/>
        <c:spPr>
          <a:solidFill>
            <a:schemeClr val="accent5">
              <a:lumMod val="40000"/>
              <a:lumOff val="6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60000"/>
              <a:lumOff val="40000"/>
            </a:schemeClr>
          </a:solidFill>
          <a:ln>
            <a:noFill/>
          </a:ln>
          <a:effectLst/>
        </c:spPr>
      </c:pivotFmt>
      <c:pivotFmt>
        <c:idx val="8"/>
        <c:spPr>
          <a:solidFill>
            <a:schemeClr val="accent5">
              <a:lumMod val="20000"/>
              <a:lumOff val="8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dLbl>
          <c:idx val="0"/>
          <c:layout>
            <c:manualLayout>
              <c:x val="-1.3877787807814457E-17"/>
              <c:y val="1.03092783505154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2187950301008858"/>
                  <c:h val="6.1804259003707E-2"/>
                </c:manualLayout>
              </c15:layout>
            </c:ext>
          </c:extLst>
        </c:dLbl>
      </c:pivotFmt>
      <c:pivotFmt>
        <c:idx val="11"/>
        <c:spPr>
          <a:solidFill>
            <a:schemeClr val="accent5">
              <a:lumMod val="75000"/>
            </a:schemeClr>
          </a:solidFill>
          <a:ln>
            <a:solidFill>
              <a:schemeClr val="accent5">
                <a:lumMod val="60000"/>
                <a:lumOff val="40000"/>
              </a:schemeClr>
            </a:solidFill>
          </a:ln>
          <a:effectLst/>
        </c:spPr>
      </c:pivotFmt>
      <c:pivotFmt>
        <c:idx val="12"/>
        <c:spPr>
          <a:solidFill>
            <a:schemeClr val="accent5">
              <a:lumMod val="75000"/>
            </a:schemeClr>
          </a:solidFill>
          <a:ln>
            <a:solidFill>
              <a:schemeClr val="accent5">
                <a:lumMod val="60000"/>
                <a:lumOff val="40000"/>
              </a:schemeClr>
            </a:solidFill>
          </a:ln>
          <a:effectLst/>
        </c:spPr>
      </c:pivotFmt>
      <c:pivotFmt>
        <c:idx val="13"/>
        <c:spPr>
          <a:solidFill>
            <a:schemeClr val="accent5">
              <a:lumMod val="60000"/>
              <a:lumOff val="40000"/>
            </a:schemeClr>
          </a:solidFill>
          <a:ln>
            <a:solidFill>
              <a:schemeClr val="accent5">
                <a:lumMod val="40000"/>
                <a:lumOff val="60000"/>
              </a:schemeClr>
            </a:solidFill>
          </a:ln>
          <a:effectLst/>
        </c:spPr>
      </c:pivotFmt>
      <c:pivotFmt>
        <c:idx val="14"/>
        <c:spPr>
          <a:solidFill>
            <a:schemeClr val="accent5">
              <a:lumMod val="40000"/>
              <a:lumOff val="6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60000"/>
              <a:lumOff val="4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5">
              <a:lumMod val="50000"/>
            </a:schemeClr>
          </a:solidFill>
          <a:ln>
            <a:noFill/>
          </a:ln>
          <a:effectLst/>
        </c:spPr>
      </c:pivotFmt>
      <c:pivotFmt>
        <c:idx val="19"/>
        <c:spPr>
          <a:solidFill>
            <a:schemeClr val="accent5">
              <a:lumMod val="75000"/>
            </a:schemeClr>
          </a:solidFill>
          <a:ln>
            <a:noFill/>
          </a:ln>
          <a:effectLst/>
        </c:spPr>
      </c:pivotFmt>
      <c:pivotFmt>
        <c:idx val="20"/>
        <c:spPr>
          <a:solidFill>
            <a:schemeClr val="accent5">
              <a:lumMod val="60000"/>
              <a:lumOff val="40000"/>
            </a:schemeClr>
          </a:solidFill>
          <a:ln>
            <a:noFill/>
          </a:ln>
          <a:effectLst/>
        </c:spPr>
      </c:pivotFmt>
      <c:pivotFmt>
        <c:idx val="21"/>
        <c:spPr>
          <a:solidFill>
            <a:schemeClr val="accent5">
              <a:lumMod val="40000"/>
              <a:lumOff val="60000"/>
            </a:schemeClr>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50000"/>
            </a:schemeClr>
          </a:solidFill>
          <a:ln>
            <a:noFill/>
          </a:ln>
          <a:effectLst/>
        </c:spPr>
      </c:pivotFmt>
      <c:pivotFmt>
        <c:idx val="24"/>
        <c:spPr>
          <a:solidFill>
            <a:schemeClr val="accent5">
              <a:lumMod val="75000"/>
            </a:schemeClr>
          </a:solidFill>
          <a:ln>
            <a:noFill/>
          </a:ln>
          <a:effectLst/>
        </c:spPr>
      </c:pivotFmt>
      <c:pivotFmt>
        <c:idx val="25"/>
        <c:spPr>
          <a:solidFill>
            <a:schemeClr val="accent5">
              <a:lumMod val="60000"/>
              <a:lumOff val="40000"/>
            </a:schemeClr>
          </a:solidFill>
          <a:ln>
            <a:noFill/>
          </a:ln>
          <a:effectLst/>
        </c:spPr>
      </c:pivotFmt>
      <c:pivotFmt>
        <c:idx val="26"/>
        <c:spPr>
          <a:solidFill>
            <a:schemeClr val="accent5">
              <a:lumMod val="40000"/>
              <a:lumOff val="60000"/>
            </a:schemeClr>
          </a:solidFill>
          <a:ln>
            <a:noFill/>
          </a:ln>
          <a:effectLst/>
        </c:spPr>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lumMod val="50000"/>
            </a:schemeClr>
          </a:solidFill>
          <a:ln>
            <a:noFill/>
          </a:ln>
          <a:effectLst/>
        </c:spPr>
      </c:pivotFmt>
      <c:pivotFmt>
        <c:idx val="29"/>
        <c:spPr>
          <a:solidFill>
            <a:schemeClr val="accent5">
              <a:lumMod val="75000"/>
            </a:schemeClr>
          </a:solidFill>
          <a:ln>
            <a:noFill/>
          </a:ln>
          <a:effectLst/>
        </c:spPr>
      </c:pivotFmt>
      <c:pivotFmt>
        <c:idx val="30"/>
        <c:spPr>
          <a:solidFill>
            <a:schemeClr val="accent5">
              <a:lumMod val="40000"/>
              <a:lumOff val="60000"/>
            </a:schemeClr>
          </a:solidFill>
          <a:ln>
            <a:noFill/>
          </a:ln>
          <a:effectLst/>
        </c:spPr>
      </c:pivotFmt>
      <c:pivotFmt>
        <c:idx val="31"/>
        <c:spPr>
          <a:solidFill>
            <a:schemeClr val="accent5">
              <a:lumMod val="75000"/>
            </a:schemeClr>
          </a:solidFill>
          <a:ln>
            <a:noFill/>
          </a:ln>
          <a:effectLst/>
        </c:spPr>
      </c:pivotFmt>
      <c:pivotFmt>
        <c:idx val="32"/>
        <c:spPr>
          <a:solidFill>
            <a:schemeClr val="accent5">
              <a:lumMod val="60000"/>
              <a:lumOff val="40000"/>
            </a:schemeClr>
          </a:solidFill>
          <a:ln>
            <a:noFill/>
          </a:ln>
          <a:effectLst/>
        </c:spPr>
      </c:pivotFmt>
      <c:pivotFmt>
        <c:idx val="33"/>
        <c:spPr>
          <a:solidFill>
            <a:schemeClr val="accent5">
              <a:lumMod val="60000"/>
              <a:lumOff val="40000"/>
            </a:schemeClr>
          </a:solidFill>
          <a:ln>
            <a:noFill/>
          </a:ln>
          <a:effectLst/>
        </c:spPr>
      </c:pivotFmt>
      <c:pivotFmt>
        <c:idx val="34"/>
        <c:spPr>
          <a:solidFill>
            <a:schemeClr val="accent5">
              <a:lumMod val="40000"/>
              <a:lumOff val="60000"/>
            </a:schemeClr>
          </a:solidFill>
          <a:ln>
            <a:noFill/>
          </a:ln>
          <a:effectLst/>
        </c:spPr>
      </c:pivotFmt>
      <c:pivotFmt>
        <c:idx val="35"/>
        <c:spPr>
          <a:solidFill>
            <a:schemeClr val="accent5">
              <a:lumMod val="20000"/>
              <a:lumOff val="80000"/>
            </a:schemeClr>
          </a:solidFill>
          <a:ln>
            <a:noFill/>
          </a:ln>
          <a:effectLst/>
        </c:spPr>
      </c:pivotFmt>
      <c:pivotFmt>
        <c:idx val="36"/>
        <c:spPr>
          <a:solidFill>
            <a:schemeClr val="accent5">
              <a:lumMod val="20000"/>
              <a:lumOff val="80000"/>
            </a:schemeClr>
          </a:solidFill>
          <a:ln>
            <a:noFill/>
          </a:ln>
          <a:effectLst/>
        </c:spPr>
      </c:pivotFmt>
      <c:pivotFmt>
        <c:idx val="37"/>
        <c:spPr>
          <a:solidFill>
            <a:schemeClr val="accent5">
              <a:lumMod val="20000"/>
              <a:lumOff val="80000"/>
            </a:schemeClr>
          </a:solidFill>
          <a:ln>
            <a:noFill/>
          </a:ln>
          <a:effectLst/>
        </c:spPr>
      </c:pivotFmt>
    </c:pivotFmts>
    <c:plotArea>
      <c:layout>
        <c:manualLayout>
          <c:layoutTarget val="inner"/>
          <c:xMode val="edge"/>
          <c:yMode val="edge"/>
          <c:x val="0.19884338048204028"/>
          <c:y val="0.14564760926623305"/>
          <c:w val="0.69322927300260895"/>
          <c:h val="0.72748259728403519"/>
        </c:manualLayout>
      </c:layout>
      <c:doughnutChart>
        <c:varyColors val="1"/>
        <c:ser>
          <c:idx val="0"/>
          <c:order val="0"/>
          <c:tx>
            <c:strRef>
              <c:f>'TOP 10 CUSTOMERS'!$B$3</c:f>
              <c:strCache>
                <c:ptCount val="1"/>
                <c:pt idx="0">
                  <c:v>Total</c:v>
                </c:pt>
              </c:strCache>
            </c:strRef>
          </c:tx>
          <c:dPt>
            <c:idx val="0"/>
            <c:bubble3D val="0"/>
            <c:spPr>
              <a:solidFill>
                <a:schemeClr val="accent1">
                  <a:lumMod val="50000"/>
                </a:schemeClr>
              </a:solidFill>
              <a:ln>
                <a:noFill/>
              </a:ln>
              <a:effectLst/>
            </c:spPr>
            <c:extLst>
              <c:ext xmlns:c16="http://schemas.microsoft.com/office/drawing/2014/chart" uri="{C3380CC4-5D6E-409C-BE32-E72D297353CC}">
                <c16:uniqueId val="{0000001C-FFD9-487F-BE92-CE57633BA267}"/>
              </c:ext>
            </c:extLst>
          </c:dPt>
          <c:dPt>
            <c:idx val="1"/>
            <c:bubble3D val="0"/>
            <c:spPr>
              <a:solidFill>
                <a:schemeClr val="accent5">
                  <a:lumMod val="75000"/>
                </a:schemeClr>
              </a:solidFill>
              <a:ln>
                <a:noFill/>
              </a:ln>
              <a:effectLst/>
            </c:spPr>
            <c:extLst>
              <c:ext xmlns:c16="http://schemas.microsoft.com/office/drawing/2014/chart" uri="{C3380CC4-5D6E-409C-BE32-E72D297353CC}">
                <c16:uniqueId val="{0000001B-FFD9-487F-BE92-CE57633BA267}"/>
              </c:ext>
            </c:extLst>
          </c:dPt>
          <c:dPt>
            <c:idx val="2"/>
            <c:bubble3D val="0"/>
            <c:spPr>
              <a:solidFill>
                <a:schemeClr val="accent5">
                  <a:lumMod val="40000"/>
                  <a:lumOff val="60000"/>
                </a:schemeClr>
              </a:solidFill>
              <a:ln>
                <a:noFill/>
              </a:ln>
              <a:effectLst/>
            </c:spPr>
            <c:extLst>
              <c:ext xmlns:c16="http://schemas.microsoft.com/office/drawing/2014/chart" uri="{C3380CC4-5D6E-409C-BE32-E72D297353CC}">
                <c16:uniqueId val="{0000001A-FFD9-487F-BE92-CE57633BA267}"/>
              </c:ext>
            </c:extLst>
          </c:dPt>
          <c:dPt>
            <c:idx val="3"/>
            <c:bubble3D val="0"/>
            <c:spPr>
              <a:solidFill>
                <a:schemeClr val="accent4"/>
              </a:solidFill>
              <a:ln>
                <a:noFill/>
              </a:ln>
              <a:effectLst/>
            </c:spPr>
            <c:extLst>
              <c:ext xmlns:c16="http://schemas.microsoft.com/office/drawing/2014/chart" uri="{C3380CC4-5D6E-409C-BE32-E72D297353CC}">
                <c16:uniqueId val="{00000019-FFD9-487F-BE92-CE57633BA267}"/>
              </c:ext>
            </c:extLst>
          </c:dPt>
          <c:dPt>
            <c:idx val="4"/>
            <c:bubble3D val="0"/>
            <c:spPr>
              <a:solidFill>
                <a:schemeClr val="accent5"/>
              </a:solidFill>
              <a:ln>
                <a:noFill/>
              </a:ln>
              <a:effectLst/>
            </c:spPr>
            <c:extLst>
              <c:ext xmlns:c16="http://schemas.microsoft.com/office/drawing/2014/chart" uri="{C3380CC4-5D6E-409C-BE32-E72D297353CC}">
                <c16:uniqueId val="{00000018-FFD9-487F-BE92-CE57633BA267}"/>
              </c:ext>
            </c:extLst>
          </c:dPt>
          <c:dPt>
            <c:idx val="5"/>
            <c:bubble3D val="0"/>
            <c:spPr>
              <a:solidFill>
                <a:schemeClr val="accent6"/>
              </a:solidFill>
              <a:ln>
                <a:noFill/>
              </a:ln>
              <a:effectLst/>
            </c:spPr>
            <c:extLst>
              <c:ext xmlns:c16="http://schemas.microsoft.com/office/drawing/2014/chart" uri="{C3380CC4-5D6E-409C-BE32-E72D297353CC}">
                <c16:uniqueId val="{00000017-FFD9-487F-BE92-CE57633BA267}"/>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16-FFD9-487F-BE92-CE57633BA267}"/>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15-FFD9-487F-BE92-CE57633BA267}"/>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4-FFD9-487F-BE92-CE57633BA267}"/>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FFD9-487F-BE92-CE57633BA26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10 CUSTOMERS'!$A$4:$A$7</c:f>
              <c:strCache>
                <c:ptCount val="3"/>
                <c:pt idx="0">
                  <c:v>Company D</c:v>
                </c:pt>
                <c:pt idx="1">
                  <c:v>Company H</c:v>
                </c:pt>
                <c:pt idx="2">
                  <c:v>Company BB</c:v>
                </c:pt>
              </c:strCache>
            </c:strRef>
          </c:cat>
          <c:val>
            <c:numRef>
              <c:f>'TOP 10 CUSTOMERS'!$B$4:$B$7</c:f>
              <c:numCache>
                <c:formatCode>0.00%</c:formatCode>
                <c:ptCount val="3"/>
                <c:pt idx="0">
                  <c:v>0.41700638447044525</c:v>
                </c:pt>
                <c:pt idx="1">
                  <c:v>0.31165594932646645</c:v>
                </c:pt>
                <c:pt idx="2">
                  <c:v>0.2713376662030883</c:v>
                </c:pt>
              </c:numCache>
            </c:numRef>
          </c:val>
          <c:extLst>
            <c:ext xmlns:c16="http://schemas.microsoft.com/office/drawing/2014/chart" uri="{C3380CC4-5D6E-409C-BE32-E72D297353CC}">
              <c16:uniqueId val="{00000011-FFD9-487F-BE92-CE57633BA267}"/>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[FlutterCo Sales Data.xlsx]Top 6 SHIP CITIES BY REVENUE!PivotTable2</c:name>
    <c:fmtId val="28"/>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2000">
                <a:solidFill>
                  <a:schemeClr val="accent5">
                    <a:lumMod val="50000"/>
                  </a:schemeClr>
                </a:solidFill>
                <a:latin typeface="Arial" panose="020B0604020202020204" pitchFamily="34" charset="0"/>
                <a:cs typeface="Arial" panose="020B0604020202020204" pitchFamily="34" charset="0"/>
              </a:rPr>
              <a:t>Top</a:t>
            </a:r>
            <a:r>
              <a:rPr lang="en-US" sz="2000" baseline="0">
                <a:solidFill>
                  <a:schemeClr val="accent5">
                    <a:lumMod val="50000"/>
                  </a:schemeClr>
                </a:solidFill>
                <a:latin typeface="Arial" panose="020B0604020202020204" pitchFamily="34" charset="0"/>
                <a:cs typeface="Arial" panose="020B0604020202020204" pitchFamily="34" charset="0"/>
              </a:rPr>
              <a:t> 6 Ship Cities</a:t>
            </a:r>
            <a:endParaRPr lang="en-US" sz="2000">
              <a:solidFill>
                <a:schemeClr val="accent5">
                  <a:lumMod val="50000"/>
                </a:schemeClr>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dLbl>
          <c:idx val="0"/>
          <c:layout>
            <c:manualLayout>
              <c:x val="-1.3877787807814457E-17"/>
              <c:y val="1.03092783505154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2187950301008858"/>
                  <c:h val="6.1804259003707E-2"/>
                </c:manualLayout>
              </c15:layout>
            </c:ext>
          </c:extLst>
        </c:dLbl>
      </c:pivotFmt>
      <c:pivotFmt>
        <c:idx val="2"/>
        <c:spPr>
          <a:solidFill>
            <a:schemeClr val="accent5">
              <a:lumMod val="75000"/>
            </a:schemeClr>
          </a:solidFill>
          <a:ln>
            <a:solidFill>
              <a:schemeClr val="accent5">
                <a:lumMod val="60000"/>
                <a:lumOff val="40000"/>
              </a:schemeClr>
            </a:solidFill>
          </a:ln>
          <a:effectLst/>
        </c:spPr>
      </c:pivotFmt>
      <c:pivotFmt>
        <c:idx val="3"/>
        <c:spPr>
          <a:solidFill>
            <a:schemeClr val="accent5">
              <a:lumMod val="75000"/>
            </a:schemeClr>
          </a:solidFill>
          <a:ln>
            <a:solidFill>
              <a:schemeClr val="accent5">
                <a:lumMod val="60000"/>
                <a:lumOff val="40000"/>
              </a:schemeClr>
            </a:solidFill>
          </a:ln>
          <a:effectLst/>
        </c:spPr>
      </c:pivotFmt>
      <c:pivotFmt>
        <c:idx val="4"/>
        <c:spPr>
          <a:solidFill>
            <a:schemeClr val="accent5">
              <a:lumMod val="60000"/>
              <a:lumOff val="40000"/>
            </a:schemeClr>
          </a:solidFill>
          <a:ln>
            <a:solidFill>
              <a:schemeClr val="accent5">
                <a:lumMod val="40000"/>
                <a:lumOff val="60000"/>
              </a:schemeClr>
            </a:solidFill>
          </a:ln>
          <a:effectLst/>
        </c:spPr>
      </c:pivotFmt>
      <c:pivotFmt>
        <c:idx val="5"/>
        <c:spPr>
          <a:solidFill>
            <a:schemeClr val="accent5">
              <a:lumMod val="40000"/>
              <a:lumOff val="6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60000"/>
              <a:lumOff val="40000"/>
            </a:schemeClr>
          </a:solidFill>
          <a:ln>
            <a:noFill/>
          </a:ln>
          <a:effectLst/>
        </c:spPr>
      </c:pivotFmt>
      <c:pivotFmt>
        <c:idx val="8"/>
        <c:spPr>
          <a:solidFill>
            <a:schemeClr val="accent5">
              <a:lumMod val="20000"/>
              <a:lumOff val="80000"/>
            </a:schemeClr>
          </a:solidFill>
          <a:ln>
            <a:noFill/>
          </a:ln>
          <a:effectLst/>
        </c:spPr>
      </c:pivotFmt>
      <c:pivotFmt>
        <c:idx val="9"/>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dLbl>
          <c:idx val="0"/>
          <c:layout>
            <c:manualLayout>
              <c:x val="-1.3877787807814457E-17"/>
              <c:y val="1.03092783505154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2187950301008858"/>
                  <c:h val="6.1804259003707E-2"/>
                </c:manualLayout>
              </c15:layout>
            </c:ext>
          </c:extLst>
        </c:dLbl>
      </c:pivotFmt>
      <c:pivotFmt>
        <c:idx val="11"/>
        <c:spPr>
          <a:solidFill>
            <a:schemeClr val="accent5">
              <a:lumMod val="75000"/>
            </a:schemeClr>
          </a:solidFill>
          <a:ln>
            <a:solidFill>
              <a:schemeClr val="accent5">
                <a:lumMod val="60000"/>
                <a:lumOff val="40000"/>
              </a:schemeClr>
            </a:solidFill>
          </a:ln>
          <a:effectLst/>
        </c:spPr>
      </c:pivotFmt>
      <c:pivotFmt>
        <c:idx val="12"/>
        <c:spPr>
          <a:solidFill>
            <a:schemeClr val="accent5">
              <a:lumMod val="75000"/>
            </a:schemeClr>
          </a:solidFill>
          <a:ln>
            <a:solidFill>
              <a:schemeClr val="accent5">
                <a:lumMod val="60000"/>
                <a:lumOff val="40000"/>
              </a:schemeClr>
            </a:solidFill>
          </a:ln>
          <a:effectLst/>
        </c:spPr>
      </c:pivotFmt>
      <c:pivotFmt>
        <c:idx val="13"/>
        <c:spPr>
          <a:solidFill>
            <a:schemeClr val="accent5">
              <a:lumMod val="60000"/>
              <a:lumOff val="40000"/>
            </a:schemeClr>
          </a:solidFill>
          <a:ln>
            <a:solidFill>
              <a:schemeClr val="accent5">
                <a:lumMod val="40000"/>
                <a:lumOff val="60000"/>
              </a:schemeClr>
            </a:solidFill>
          </a:ln>
          <a:effectLst/>
        </c:spPr>
      </c:pivotFmt>
      <c:pivotFmt>
        <c:idx val="14"/>
        <c:spPr>
          <a:solidFill>
            <a:schemeClr val="accent5">
              <a:lumMod val="40000"/>
              <a:lumOff val="6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60000"/>
              <a:lumOff val="4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5">
              <a:lumMod val="50000"/>
            </a:schemeClr>
          </a:solidFill>
          <a:ln>
            <a:noFill/>
          </a:ln>
          <a:effectLst/>
        </c:spPr>
      </c:pivotFmt>
      <c:pivotFmt>
        <c:idx val="19"/>
        <c:spPr>
          <a:solidFill>
            <a:schemeClr val="accent5">
              <a:lumMod val="75000"/>
            </a:schemeClr>
          </a:solidFill>
          <a:ln>
            <a:noFill/>
          </a:ln>
          <a:effectLst/>
        </c:spPr>
      </c:pivotFmt>
      <c:pivotFmt>
        <c:idx val="20"/>
        <c:spPr>
          <a:solidFill>
            <a:schemeClr val="accent5">
              <a:lumMod val="60000"/>
              <a:lumOff val="40000"/>
            </a:schemeClr>
          </a:solidFill>
          <a:ln>
            <a:noFill/>
          </a:ln>
          <a:effectLst/>
        </c:spPr>
      </c:pivotFmt>
      <c:pivotFmt>
        <c:idx val="21"/>
        <c:spPr>
          <a:solidFill>
            <a:schemeClr val="accent5">
              <a:lumMod val="40000"/>
              <a:lumOff val="60000"/>
            </a:schemeClr>
          </a:solidFill>
          <a:ln>
            <a:noFill/>
          </a:ln>
          <a:effectLst/>
        </c:spPr>
      </c:pivotFmt>
      <c:pivotFmt>
        <c:idx val="22"/>
        <c:spPr>
          <a:solidFill>
            <a:schemeClr val="accent1"/>
          </a:solidFill>
          <a:ln w="28575" cap="rnd">
            <a:solidFill>
              <a:schemeClr val="accent5">
                <a:lumMod val="50000"/>
              </a:schemeClr>
            </a:solidFill>
            <a:round/>
          </a:ln>
          <a:effectLst/>
        </c:spPr>
        <c:marker>
          <c:symbol val="none"/>
        </c:marker>
      </c:pivotFmt>
      <c:pivotFmt>
        <c:idx val="23"/>
        <c:spPr>
          <a:solidFill>
            <a:schemeClr val="accent1"/>
          </a:solidFill>
          <a:ln w="28575" cap="rnd">
            <a:solidFill>
              <a:schemeClr val="accent5">
                <a:lumMod val="50000"/>
              </a:schemeClr>
            </a:solidFill>
            <a:round/>
          </a:ln>
          <a:effectLst/>
        </c:spPr>
        <c:marker>
          <c:symbol val="none"/>
        </c:marker>
      </c:pivotFmt>
      <c:pivotFmt>
        <c:idx val="24"/>
        <c:spPr>
          <a:solidFill>
            <a:schemeClr val="accent1"/>
          </a:solidFill>
          <a:ln w="28575" cap="rnd">
            <a:solidFill>
              <a:schemeClr val="accent5">
                <a:lumMod val="50000"/>
              </a:schemeClr>
            </a:solidFill>
            <a:round/>
          </a:ln>
          <a:effectLst/>
        </c:spPr>
        <c:marker>
          <c:symbol val="none"/>
        </c:marker>
      </c:pivotFmt>
      <c:pivotFmt>
        <c:idx val="25"/>
        <c:spPr>
          <a:solidFill>
            <a:schemeClr val="accent1"/>
          </a:solidFill>
          <a:ln w="28575" cap="rnd">
            <a:solidFill>
              <a:schemeClr val="accent5">
                <a:lumMod val="50000"/>
              </a:schemeClr>
            </a:solidFill>
            <a:round/>
          </a:ln>
          <a:effectLst/>
        </c:spPr>
        <c:marker>
          <c:symbol val="none"/>
        </c:marker>
      </c:pivotFmt>
      <c:pivotFmt>
        <c:idx val="26"/>
        <c:spPr>
          <a:solidFill>
            <a:schemeClr val="accent1"/>
          </a:solidFill>
          <a:ln w="28575" cap="rnd">
            <a:solidFill>
              <a:schemeClr val="accent5">
                <a:lumMod val="50000"/>
              </a:schemeClr>
            </a:solidFill>
            <a:round/>
          </a:ln>
          <a:effectLst/>
        </c:spPr>
        <c:marker>
          <c:symbol val="none"/>
        </c:marker>
      </c:pivotFmt>
      <c:pivotFmt>
        <c:idx val="27"/>
        <c:spPr>
          <a:solidFill>
            <a:schemeClr val="accent1"/>
          </a:solidFill>
          <a:ln w="28575" cap="rnd">
            <a:solidFill>
              <a:schemeClr val="accent5">
                <a:lumMod val="50000"/>
              </a:schemeClr>
            </a:solidFill>
            <a:round/>
          </a:ln>
          <a:effectLst/>
        </c:spPr>
        <c:marker>
          <c:symbol val="none"/>
        </c:marker>
      </c:pivotFmt>
      <c:pivotFmt>
        <c:idx val="28"/>
        <c:spPr>
          <a:solidFill>
            <a:schemeClr val="accent1"/>
          </a:solidFill>
          <a:ln w="28575" cap="rnd">
            <a:solidFill>
              <a:schemeClr val="accent5">
                <a:lumMod val="50000"/>
              </a:schemeClr>
            </a:solidFill>
            <a:round/>
          </a:ln>
          <a:effectLst/>
        </c:spPr>
        <c:marker>
          <c:symbol val="none"/>
        </c:marker>
      </c:pivotFmt>
      <c:pivotFmt>
        <c:idx val="29"/>
        <c:spPr>
          <a:solidFill>
            <a:schemeClr val="accent1"/>
          </a:solidFill>
          <a:ln w="28575" cap="rnd">
            <a:solidFill>
              <a:schemeClr val="accent5">
                <a:lumMod val="50000"/>
              </a:schemeClr>
            </a:solidFill>
            <a:round/>
          </a:ln>
          <a:effectLst/>
        </c:spPr>
        <c:marker>
          <c:symbol val="none"/>
        </c:marker>
      </c:pivotFmt>
      <c:pivotFmt>
        <c:idx val="3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marker>
          <c:symbol val="none"/>
        </c:marker>
      </c:pivotFmt>
      <c:pivotFmt>
        <c:idx val="32"/>
        <c:marker>
          <c:symbol val="none"/>
        </c:marker>
      </c:pivotFmt>
      <c:pivotFmt>
        <c:idx val="33"/>
        <c:marker>
          <c:symbol val="none"/>
        </c:marker>
      </c:pivotFmt>
      <c:pivotFmt>
        <c:idx val="34"/>
        <c:marker>
          <c:symbol val="none"/>
        </c:marker>
      </c:pivotFmt>
      <c:pivotFmt>
        <c:idx val="35"/>
        <c:marker>
          <c:symbol val="none"/>
        </c:marker>
      </c:pivotFmt>
      <c:pivotFmt>
        <c:idx val="36"/>
        <c:marker>
          <c:symbol val="none"/>
        </c:marker>
      </c:pivotFmt>
      <c:pivotFmt>
        <c:idx val="37"/>
        <c:marker>
          <c:symbol val="none"/>
        </c:marker>
      </c:pivotFmt>
      <c:pivotFmt>
        <c:idx val="38"/>
        <c:marker>
          <c:symbol val="none"/>
        </c:marker>
      </c:pivotFmt>
      <c:pivotFmt>
        <c:idx val="39"/>
        <c:spPr>
          <a:solidFill>
            <a:schemeClr val="accent5">
              <a:lumMod val="50000"/>
            </a:schemeClr>
          </a:solidFill>
          <a:ln>
            <a:noFill/>
          </a:ln>
          <a:effectLst/>
        </c:spPr>
      </c:pivotFmt>
      <c:pivotFmt>
        <c:idx val="40"/>
        <c:spPr>
          <a:solidFill>
            <a:schemeClr val="accent5">
              <a:lumMod val="75000"/>
            </a:schemeClr>
          </a:solidFill>
          <a:ln>
            <a:noFill/>
          </a:ln>
          <a:effectLst/>
        </c:spPr>
      </c:pivotFmt>
      <c:pivotFmt>
        <c:idx val="41"/>
        <c:spPr>
          <a:solidFill>
            <a:schemeClr val="accent5">
              <a:lumMod val="60000"/>
              <a:lumOff val="40000"/>
            </a:schemeClr>
          </a:solidFill>
          <a:ln>
            <a:noFill/>
          </a:ln>
          <a:effectLst/>
        </c:spPr>
      </c:pivotFmt>
      <c:pivotFmt>
        <c:idx val="42"/>
        <c:spPr>
          <a:solidFill>
            <a:schemeClr val="accent5">
              <a:lumMod val="40000"/>
              <a:lumOff val="60000"/>
            </a:schemeClr>
          </a:solidFill>
          <a:ln>
            <a:noFill/>
          </a:ln>
          <a:effectLst/>
        </c:spPr>
      </c:pivotFmt>
      <c:pivotFmt>
        <c:idx val="43"/>
        <c:spPr>
          <a:solidFill>
            <a:schemeClr val="accent5">
              <a:lumMod val="40000"/>
              <a:lumOff val="60000"/>
            </a:schemeClr>
          </a:solidFill>
          <a:ln>
            <a:noFill/>
          </a:ln>
          <a:effectLst/>
        </c:spPr>
      </c:pivotFmt>
      <c:pivotFmt>
        <c:idx val="44"/>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5">
              <a:lumMod val="75000"/>
            </a:schemeClr>
          </a:solidFill>
          <a:ln>
            <a:noFill/>
          </a:ln>
          <a:effectLst/>
        </c:spPr>
      </c:pivotFmt>
      <c:pivotFmt>
        <c:idx val="46"/>
        <c:spPr>
          <a:solidFill>
            <a:schemeClr val="accent5">
              <a:lumMod val="60000"/>
              <a:lumOff val="40000"/>
            </a:schemeClr>
          </a:solidFill>
          <a:ln>
            <a:noFill/>
          </a:ln>
          <a:effectLst/>
        </c:spPr>
      </c:pivotFmt>
      <c:pivotFmt>
        <c:idx val="47"/>
        <c:spPr>
          <a:solidFill>
            <a:schemeClr val="accent5">
              <a:lumMod val="40000"/>
              <a:lumOff val="60000"/>
            </a:schemeClr>
          </a:solidFill>
          <a:ln>
            <a:noFill/>
          </a:ln>
          <a:effectLst/>
        </c:spPr>
      </c:pivotFmt>
      <c:pivotFmt>
        <c:idx val="48"/>
        <c:spPr>
          <a:solidFill>
            <a:schemeClr val="accent5">
              <a:lumMod val="40000"/>
              <a:lumOff val="60000"/>
            </a:schemeClr>
          </a:solidFill>
          <a:ln>
            <a:noFill/>
          </a:ln>
          <a:effectLst/>
        </c:spPr>
      </c:pivotFmt>
      <c:pivotFmt>
        <c:idx val="49"/>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5">
              <a:lumMod val="75000"/>
            </a:schemeClr>
          </a:solidFill>
          <a:ln>
            <a:noFill/>
          </a:ln>
          <a:effectLst/>
        </c:spPr>
      </c:pivotFmt>
      <c:pivotFmt>
        <c:idx val="51"/>
        <c:spPr>
          <a:solidFill>
            <a:schemeClr val="accent5">
              <a:lumMod val="60000"/>
              <a:lumOff val="40000"/>
            </a:schemeClr>
          </a:solidFill>
          <a:ln>
            <a:noFill/>
          </a:ln>
          <a:effectLst/>
        </c:spPr>
      </c:pivotFmt>
      <c:pivotFmt>
        <c:idx val="52"/>
        <c:spPr>
          <a:solidFill>
            <a:schemeClr val="accent5">
              <a:lumMod val="40000"/>
              <a:lumOff val="60000"/>
            </a:schemeClr>
          </a:solidFill>
          <a:ln>
            <a:noFill/>
          </a:ln>
          <a:effectLst/>
        </c:spPr>
      </c:pivotFmt>
      <c:pivotFmt>
        <c:idx val="53"/>
        <c:spPr>
          <a:solidFill>
            <a:schemeClr val="accent5">
              <a:lumMod val="40000"/>
              <a:lumOff val="60000"/>
            </a:schemeClr>
          </a:solidFill>
          <a:ln>
            <a:noFill/>
          </a:ln>
          <a:effectLst/>
        </c:spPr>
      </c:pivotFmt>
      <c:pivotFmt>
        <c:idx val="54"/>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5">
              <a:lumMod val="75000"/>
            </a:schemeClr>
          </a:solidFill>
          <a:ln>
            <a:noFill/>
          </a:ln>
          <a:effectLst/>
        </c:spPr>
      </c:pivotFmt>
      <c:pivotFmt>
        <c:idx val="56"/>
        <c:spPr>
          <a:solidFill>
            <a:schemeClr val="accent5">
              <a:lumMod val="60000"/>
              <a:lumOff val="40000"/>
            </a:schemeClr>
          </a:solidFill>
          <a:ln>
            <a:noFill/>
          </a:ln>
          <a:effectLst/>
        </c:spPr>
      </c:pivotFmt>
      <c:pivotFmt>
        <c:idx val="57"/>
        <c:spPr>
          <a:solidFill>
            <a:schemeClr val="accent5">
              <a:lumMod val="40000"/>
              <a:lumOff val="60000"/>
            </a:schemeClr>
          </a:solidFill>
          <a:ln>
            <a:noFill/>
          </a:ln>
          <a:effectLst/>
        </c:spPr>
      </c:pivotFmt>
      <c:pivotFmt>
        <c:idx val="58"/>
        <c:spPr>
          <a:solidFill>
            <a:schemeClr val="accent5">
              <a:lumMod val="40000"/>
              <a:lumOff val="60000"/>
            </a:schemeClr>
          </a:solidFill>
          <a:ln>
            <a:noFill/>
          </a:ln>
          <a:effectLst/>
        </c:spPr>
      </c:pivotFmt>
      <c:pivotFmt>
        <c:idx val="59"/>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5">
              <a:lumMod val="75000"/>
            </a:schemeClr>
          </a:solidFill>
          <a:ln>
            <a:noFill/>
          </a:ln>
          <a:effectLst/>
        </c:spPr>
      </c:pivotFmt>
      <c:pivotFmt>
        <c:idx val="61"/>
        <c:spPr>
          <a:solidFill>
            <a:schemeClr val="accent5">
              <a:lumMod val="60000"/>
              <a:lumOff val="40000"/>
            </a:schemeClr>
          </a:solidFill>
          <a:ln>
            <a:noFill/>
          </a:ln>
          <a:effectLst/>
        </c:spPr>
      </c:pivotFmt>
      <c:pivotFmt>
        <c:idx val="62"/>
        <c:spPr>
          <a:solidFill>
            <a:schemeClr val="accent5">
              <a:lumMod val="40000"/>
              <a:lumOff val="60000"/>
            </a:schemeClr>
          </a:solidFill>
          <a:ln>
            <a:noFill/>
          </a:ln>
          <a:effectLst/>
        </c:spPr>
      </c:pivotFmt>
      <c:pivotFmt>
        <c:idx val="63"/>
        <c:spPr>
          <a:solidFill>
            <a:schemeClr val="accent5">
              <a:lumMod val="40000"/>
              <a:lumOff val="60000"/>
            </a:schemeClr>
          </a:solidFill>
          <a:ln>
            <a:noFill/>
          </a:ln>
          <a:effectLst/>
        </c:spPr>
      </c:pivotFmt>
      <c:pivotFmt>
        <c:idx val="64"/>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5">
              <a:lumMod val="75000"/>
            </a:schemeClr>
          </a:solidFill>
          <a:ln>
            <a:noFill/>
          </a:ln>
          <a:effectLst/>
        </c:spPr>
      </c:pivotFmt>
      <c:pivotFmt>
        <c:idx val="66"/>
        <c:spPr>
          <a:solidFill>
            <a:schemeClr val="accent5">
              <a:lumMod val="60000"/>
              <a:lumOff val="40000"/>
            </a:schemeClr>
          </a:solidFill>
          <a:ln>
            <a:noFill/>
          </a:ln>
          <a:effectLst/>
        </c:spPr>
      </c:pivotFmt>
      <c:pivotFmt>
        <c:idx val="67"/>
        <c:spPr>
          <a:solidFill>
            <a:schemeClr val="accent5">
              <a:lumMod val="40000"/>
              <a:lumOff val="60000"/>
            </a:schemeClr>
          </a:solidFill>
          <a:ln>
            <a:noFill/>
          </a:ln>
          <a:effectLst/>
        </c:spPr>
      </c:pivotFmt>
      <c:pivotFmt>
        <c:idx val="68"/>
        <c:spPr>
          <a:solidFill>
            <a:schemeClr val="accent5">
              <a:lumMod val="40000"/>
              <a:lumOff val="60000"/>
            </a:schemeClr>
          </a:solidFill>
          <a:ln>
            <a:noFill/>
          </a:ln>
          <a:effectLst/>
        </c:spPr>
      </c:pivotFmt>
      <c:pivotFmt>
        <c:idx val="69"/>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5">
              <a:lumMod val="75000"/>
            </a:schemeClr>
          </a:solidFill>
          <a:ln>
            <a:noFill/>
          </a:ln>
          <a:effectLst/>
        </c:spPr>
      </c:pivotFmt>
      <c:pivotFmt>
        <c:idx val="71"/>
        <c:spPr>
          <a:solidFill>
            <a:schemeClr val="accent5">
              <a:lumMod val="60000"/>
              <a:lumOff val="40000"/>
            </a:schemeClr>
          </a:solidFill>
          <a:ln>
            <a:noFill/>
          </a:ln>
          <a:effectLst/>
        </c:spPr>
      </c:pivotFmt>
      <c:pivotFmt>
        <c:idx val="72"/>
        <c:spPr>
          <a:solidFill>
            <a:schemeClr val="accent5">
              <a:lumMod val="40000"/>
              <a:lumOff val="60000"/>
            </a:schemeClr>
          </a:solidFill>
          <a:ln>
            <a:noFill/>
          </a:ln>
          <a:effectLst/>
        </c:spPr>
      </c:pivotFmt>
      <c:pivotFmt>
        <c:idx val="73"/>
        <c:spPr>
          <a:solidFill>
            <a:schemeClr val="accent5">
              <a:lumMod val="40000"/>
              <a:lumOff val="60000"/>
            </a:schemeClr>
          </a:solidFill>
          <a:ln>
            <a:noFill/>
          </a:ln>
          <a:effectLst/>
        </c:spPr>
      </c:pivotFmt>
    </c:pivotFmts>
    <c:plotArea>
      <c:layout>
        <c:manualLayout>
          <c:layoutTarget val="inner"/>
          <c:xMode val="edge"/>
          <c:yMode val="edge"/>
          <c:x val="0.13180627061580388"/>
          <c:y val="0.17722400621709997"/>
          <c:w val="0.85060046303900028"/>
          <c:h val="0.75499054238331931"/>
        </c:manualLayout>
      </c:layout>
      <c:barChart>
        <c:barDir val="bar"/>
        <c:grouping val="clustered"/>
        <c:varyColors val="0"/>
        <c:ser>
          <c:idx val="0"/>
          <c:order val="0"/>
          <c:tx>
            <c:strRef>
              <c:f>'Top 6 SHIP CITIES BY REVENUE'!$B$3</c:f>
              <c:strCache>
                <c:ptCount val="1"/>
                <c:pt idx="0">
                  <c:v>Total</c:v>
                </c:pt>
              </c:strCache>
            </c:strRef>
          </c:tx>
          <c:spPr>
            <a:solidFill>
              <a:schemeClr val="accent5">
                <a:lumMod val="50000"/>
              </a:schemeClr>
            </a:solidFill>
            <a:ln>
              <a:noFill/>
            </a:ln>
            <a:effectLst/>
          </c:spPr>
          <c:invertIfNegative val="0"/>
          <c:dPt>
            <c:idx val="0"/>
            <c:invertIfNegative val="0"/>
            <c:bubble3D val="0"/>
            <c:extLst>
              <c:ext xmlns:c16="http://schemas.microsoft.com/office/drawing/2014/chart" uri="{C3380CC4-5D6E-409C-BE32-E72D297353CC}">
                <c16:uniqueId val="{00000000-E1D9-46A7-8FB8-33613E97CE44}"/>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2-E1D9-46A7-8FB8-33613E97CE44}"/>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4-E1D9-46A7-8FB8-33613E97CE44}"/>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6-E1D9-46A7-8FB8-33613E97CE44}"/>
              </c:ext>
            </c:extLst>
          </c:dPt>
          <c:dPt>
            <c:idx val="4"/>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8-E1D9-46A7-8FB8-33613E97CE44}"/>
              </c:ext>
            </c:extLst>
          </c:dPt>
          <c:dPt>
            <c:idx val="5"/>
            <c:invertIfNegative val="0"/>
            <c:bubble3D val="0"/>
            <c:extLst>
              <c:ext xmlns:c16="http://schemas.microsoft.com/office/drawing/2014/chart" uri="{C3380CC4-5D6E-409C-BE32-E72D297353CC}">
                <c16:uniqueId val="{00000009-E1D9-46A7-8FB8-33613E97CE44}"/>
              </c:ext>
            </c:extLst>
          </c:dPt>
          <c:dPt>
            <c:idx val="6"/>
            <c:invertIfNegative val="0"/>
            <c:bubble3D val="0"/>
            <c:extLst>
              <c:ext xmlns:c16="http://schemas.microsoft.com/office/drawing/2014/chart" uri="{C3380CC4-5D6E-409C-BE32-E72D297353CC}">
                <c16:uniqueId val="{0000000A-E1D9-46A7-8FB8-33613E97CE44}"/>
              </c:ext>
            </c:extLst>
          </c:dPt>
          <c:dPt>
            <c:idx val="7"/>
            <c:invertIfNegative val="0"/>
            <c:bubble3D val="0"/>
            <c:extLst>
              <c:ext xmlns:c16="http://schemas.microsoft.com/office/drawing/2014/chart" uri="{C3380CC4-5D6E-409C-BE32-E72D297353CC}">
                <c16:uniqueId val="{0000000B-E1D9-46A7-8FB8-33613E97CE44}"/>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6 SHIP CITIES BY REVENUE'!$A$4:$A$10</c:f>
              <c:strCache>
                <c:ptCount val="6"/>
                <c:pt idx="0">
                  <c:v>New York</c:v>
                </c:pt>
                <c:pt idx="1">
                  <c:v>Portland</c:v>
                </c:pt>
                <c:pt idx="2">
                  <c:v>Miami</c:v>
                </c:pt>
                <c:pt idx="3">
                  <c:v>Memphis</c:v>
                </c:pt>
                <c:pt idx="4">
                  <c:v>Chicago</c:v>
                </c:pt>
                <c:pt idx="5">
                  <c:v>Milwaukee</c:v>
                </c:pt>
              </c:strCache>
            </c:strRef>
          </c:cat>
          <c:val>
            <c:numRef>
              <c:f>'Top 6 SHIP CITIES BY REVENUE'!$B$4:$B$10</c:f>
              <c:numCache>
                <c:formatCode>"$"#,##0.00</c:formatCode>
                <c:ptCount val="6"/>
                <c:pt idx="0">
                  <c:v>67180.5</c:v>
                </c:pt>
                <c:pt idx="1">
                  <c:v>50208.35</c:v>
                </c:pt>
                <c:pt idx="2">
                  <c:v>50145.330000000009</c:v>
                </c:pt>
                <c:pt idx="3">
                  <c:v>43713</c:v>
                </c:pt>
                <c:pt idx="4">
                  <c:v>41095.01</c:v>
                </c:pt>
                <c:pt idx="5">
                  <c:v>37428</c:v>
                </c:pt>
              </c:numCache>
            </c:numRef>
          </c:val>
          <c:extLst>
            <c:ext xmlns:c16="http://schemas.microsoft.com/office/drawing/2014/chart" uri="{C3380CC4-5D6E-409C-BE32-E72D297353CC}">
              <c16:uniqueId val="{0000000C-E1D9-46A7-8FB8-33613E97CE44}"/>
            </c:ext>
          </c:extLst>
        </c:ser>
        <c:dLbls>
          <c:showLegendKey val="0"/>
          <c:showVal val="0"/>
          <c:showCatName val="0"/>
          <c:showSerName val="0"/>
          <c:showPercent val="0"/>
          <c:showBubbleSize val="0"/>
        </c:dLbls>
        <c:gapWidth val="25"/>
        <c:axId val="66577504"/>
        <c:axId val="66589984"/>
      </c:barChart>
      <c:catAx>
        <c:axId val="66577504"/>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crossAx val="66589984"/>
        <c:crosses val="autoZero"/>
        <c:auto val="1"/>
        <c:lblAlgn val="ctr"/>
        <c:lblOffset val="100"/>
        <c:noMultiLvlLbl val="0"/>
      </c:catAx>
      <c:valAx>
        <c:axId val="66589984"/>
        <c:scaling>
          <c:orientation val="minMax"/>
        </c:scaling>
        <c:delete val="1"/>
        <c:axPos val="t"/>
        <c:majorGridlines>
          <c:spPr>
            <a:ln w="9525" cap="flat" cmpd="sng" algn="ctr">
              <a:noFill/>
              <a:round/>
            </a:ln>
            <a:effectLst/>
          </c:spPr>
        </c:majorGridlines>
        <c:numFmt formatCode="&quot;$&quot;#,##0.00" sourceLinked="1"/>
        <c:majorTickMark val="out"/>
        <c:minorTickMark val="none"/>
        <c:tickLblPos val="nextTo"/>
        <c:crossAx val="66577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[FlutterCo Sales Data.xlsx]TRANSACTIONS BY AMOUNT!PivotTable2</c:name>
    <c:fmtId val="3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a:solidFill>
                  <a:srgbClr val="002060"/>
                </a:solidFill>
                <a:latin typeface="Arial" panose="020B0604020202020204" pitchFamily="34" charset="0"/>
                <a:cs typeface="Arial" panose="020B0604020202020204" pitchFamily="34" charset="0"/>
              </a:rPr>
              <a:t>Transactions</a:t>
            </a:r>
            <a:r>
              <a:rPr lang="en-US" sz="2000" baseline="0">
                <a:solidFill>
                  <a:srgbClr val="002060"/>
                </a:solidFill>
                <a:latin typeface="Arial" panose="020B0604020202020204" pitchFamily="34" charset="0"/>
                <a:cs typeface="Arial" panose="020B0604020202020204" pitchFamily="34" charset="0"/>
              </a:rPr>
              <a:t> by Amounts</a:t>
            </a:r>
            <a:endParaRPr lang="en-US" sz="2000">
              <a:solidFill>
                <a:srgbClr val="002060"/>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50000"/>
            </a:schemeClr>
          </a:solidFill>
          <a:ln w="19050">
            <a:solidFill>
              <a:schemeClr val="lt1"/>
            </a:solidFill>
          </a:ln>
          <a:effectLst/>
        </c:spPr>
      </c:pivotFmt>
      <c:pivotFmt>
        <c:idx val="10"/>
        <c:spPr>
          <a:solidFill>
            <a:schemeClr val="accent5">
              <a:lumMod val="75000"/>
            </a:schemeClr>
          </a:solidFill>
          <a:ln w="19050">
            <a:solidFill>
              <a:schemeClr val="lt1"/>
            </a:solidFill>
          </a:ln>
          <a:effectLst/>
        </c:spPr>
      </c:pivotFmt>
      <c:pivotFmt>
        <c:idx val="11"/>
        <c:spPr>
          <a:solidFill>
            <a:schemeClr val="accent5">
              <a:lumMod val="75000"/>
            </a:schemeClr>
          </a:solidFill>
          <a:ln w="19050">
            <a:solidFill>
              <a:schemeClr val="lt1"/>
            </a:solidFill>
          </a:ln>
          <a:effectLst/>
        </c:spPr>
      </c:pivotFmt>
      <c:pivotFmt>
        <c:idx val="12"/>
        <c:spPr>
          <a:solidFill>
            <a:schemeClr val="accent5">
              <a:lumMod val="60000"/>
              <a:lumOff val="40000"/>
            </a:schemeClr>
          </a:solidFill>
          <a:ln w="19050">
            <a:solidFill>
              <a:schemeClr val="lt1"/>
            </a:solidFill>
          </a:ln>
          <a:effectLst/>
        </c:spPr>
      </c:pivotFmt>
      <c:pivotFmt>
        <c:idx val="13"/>
        <c:spPr>
          <a:solidFill>
            <a:schemeClr val="accent5">
              <a:lumMod val="40000"/>
              <a:lumOff val="60000"/>
            </a:schemeClr>
          </a:solidFill>
          <a:ln w="19050">
            <a:solidFill>
              <a:schemeClr val="lt1"/>
            </a:solidFill>
          </a:ln>
          <a:effectLst/>
        </c:spPr>
      </c:pivotFmt>
      <c:pivotFmt>
        <c:idx val="14"/>
        <c:spPr>
          <a:solidFill>
            <a:schemeClr val="accent5">
              <a:lumMod val="20000"/>
              <a:lumOff val="80000"/>
            </a:schemeClr>
          </a:solidFill>
          <a:ln w="19050">
            <a:solidFill>
              <a:schemeClr val="lt1"/>
            </a:solidFill>
          </a:ln>
          <a:effectLst/>
        </c:spPr>
      </c:pivotFmt>
      <c:pivotFmt>
        <c:idx val="15"/>
        <c:spPr>
          <a:solidFill>
            <a:schemeClr val="accent5">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lumMod val="20000"/>
              <a:lumOff val="80000"/>
            </a:schemeClr>
          </a:solidFill>
          <a:ln w="19050">
            <a:solidFill>
              <a:schemeClr val="lt1"/>
            </a:solidFill>
          </a:ln>
          <a:effectLst/>
        </c:spPr>
      </c:pivotFmt>
      <c:pivotFmt>
        <c:idx val="17"/>
        <c:spPr>
          <a:solidFill>
            <a:schemeClr val="accent5">
              <a:lumMod val="40000"/>
              <a:lumOff val="60000"/>
            </a:schemeClr>
          </a:solidFill>
          <a:ln w="19050">
            <a:solidFill>
              <a:schemeClr val="lt1"/>
            </a:solidFill>
          </a:ln>
          <a:effectLst/>
        </c:spPr>
      </c:pivotFmt>
      <c:pivotFmt>
        <c:idx val="18"/>
        <c:spPr>
          <a:solidFill>
            <a:schemeClr val="accent5">
              <a:lumMod val="60000"/>
              <a:lumOff val="40000"/>
            </a:schemeClr>
          </a:solidFill>
          <a:ln w="19050">
            <a:solidFill>
              <a:schemeClr val="lt1"/>
            </a:solidFill>
          </a:ln>
          <a:effectLst/>
        </c:spPr>
      </c:pivotFmt>
      <c:pivotFmt>
        <c:idx val="19"/>
        <c:spPr>
          <a:solidFill>
            <a:schemeClr val="accent5">
              <a:lumMod val="75000"/>
            </a:schemeClr>
          </a:solidFill>
          <a:ln w="19050">
            <a:solidFill>
              <a:schemeClr val="lt1"/>
            </a:solidFill>
          </a:ln>
          <a:effectLst/>
        </c:spPr>
      </c:pivotFmt>
      <c:pivotFmt>
        <c:idx val="20"/>
        <c:spPr>
          <a:solidFill>
            <a:schemeClr val="accent5">
              <a:lumMod val="75000"/>
            </a:schemeClr>
          </a:solidFill>
          <a:ln w="19050">
            <a:solidFill>
              <a:schemeClr val="lt1"/>
            </a:solidFill>
          </a:ln>
          <a:effectLst/>
        </c:spPr>
      </c:pivotFmt>
      <c:pivotFmt>
        <c:idx val="21"/>
        <c:spPr>
          <a:solidFill>
            <a:schemeClr val="accent5">
              <a:lumMod val="50000"/>
            </a:schemeClr>
          </a:solidFill>
          <a:ln w="19050">
            <a:solidFill>
              <a:schemeClr val="lt1"/>
            </a:solidFill>
          </a:ln>
          <a:effectLst/>
        </c:spPr>
      </c:pivotFmt>
      <c:pivotFmt>
        <c:idx val="22"/>
        <c:spPr>
          <a:solidFill>
            <a:schemeClr val="accent5">
              <a:lumMod val="75000"/>
            </a:schemeClr>
          </a:solidFill>
          <a:ln w="19050">
            <a:solidFill>
              <a:schemeClr val="lt1"/>
            </a:solidFill>
          </a:ln>
          <a:effectLst/>
        </c:spPr>
      </c:pivotFmt>
      <c:pivotFmt>
        <c:idx val="23"/>
        <c:spPr>
          <a:solidFill>
            <a:schemeClr val="accent5">
              <a:lumMod val="60000"/>
              <a:lumOff val="40000"/>
            </a:schemeClr>
          </a:solidFill>
          <a:ln w="19050">
            <a:solidFill>
              <a:schemeClr val="lt1"/>
            </a:solidFill>
          </a:ln>
          <a:effectLst/>
        </c:spPr>
      </c:pivotFmt>
      <c:pivotFmt>
        <c:idx val="24"/>
        <c:spPr>
          <a:solidFill>
            <a:schemeClr val="accent5">
              <a:lumMod val="40000"/>
              <a:lumOff val="60000"/>
            </a:schemeClr>
          </a:solidFill>
          <a:ln w="19050">
            <a:solidFill>
              <a:schemeClr val="lt1"/>
            </a:solidFill>
          </a:ln>
          <a:effectLst/>
        </c:spPr>
      </c:pivotFmt>
      <c:pivotFmt>
        <c:idx val="25"/>
        <c:spPr>
          <a:solidFill>
            <a:schemeClr val="accent5">
              <a:lumMod val="20000"/>
              <a:lumOff val="80000"/>
            </a:schemeClr>
          </a:solidFill>
          <a:ln w="19050">
            <a:solidFill>
              <a:schemeClr val="lt1"/>
            </a:solidFill>
          </a:ln>
          <a:effectLst/>
        </c:spPr>
      </c:pivotFmt>
      <c:pivotFmt>
        <c:idx val="26"/>
        <c:spPr>
          <a:solidFill>
            <a:schemeClr val="accent5">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5">
              <a:lumMod val="75000"/>
            </a:schemeClr>
          </a:solidFill>
          <a:ln w="19050">
            <a:solidFill>
              <a:schemeClr val="lt1"/>
            </a:solidFill>
          </a:ln>
          <a:effectLst/>
        </c:spPr>
      </c:pivotFmt>
      <c:pivotFmt>
        <c:idx val="28"/>
        <c:spPr>
          <a:solidFill>
            <a:schemeClr val="accent5">
              <a:lumMod val="60000"/>
              <a:lumOff val="40000"/>
            </a:schemeClr>
          </a:solidFill>
          <a:ln w="19050">
            <a:solidFill>
              <a:schemeClr val="lt1"/>
            </a:solidFill>
          </a:ln>
          <a:effectLst/>
        </c:spPr>
      </c:pivotFmt>
      <c:pivotFmt>
        <c:idx val="29"/>
        <c:spPr>
          <a:solidFill>
            <a:schemeClr val="accent5">
              <a:lumMod val="40000"/>
              <a:lumOff val="60000"/>
            </a:schemeClr>
          </a:solidFill>
          <a:ln w="19050">
            <a:solidFill>
              <a:schemeClr val="lt1"/>
            </a:solidFill>
          </a:ln>
          <a:effectLst/>
        </c:spPr>
      </c:pivotFmt>
      <c:pivotFmt>
        <c:idx val="30"/>
        <c:spPr>
          <a:solidFill>
            <a:schemeClr val="accent5">
              <a:lumMod val="20000"/>
              <a:lumOff val="80000"/>
            </a:schemeClr>
          </a:solidFill>
          <a:ln w="19050">
            <a:solidFill>
              <a:schemeClr val="lt1"/>
            </a:solidFill>
          </a:ln>
          <a:effectLst/>
        </c:spPr>
      </c:pivotFmt>
      <c:pivotFmt>
        <c:idx val="31"/>
        <c:spPr>
          <a:solidFill>
            <a:schemeClr val="accent5">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5">
              <a:lumMod val="75000"/>
            </a:schemeClr>
          </a:solidFill>
          <a:ln w="19050">
            <a:solidFill>
              <a:schemeClr val="lt1"/>
            </a:solidFill>
          </a:ln>
          <a:effectLst/>
        </c:spPr>
      </c:pivotFmt>
      <c:pivotFmt>
        <c:idx val="33"/>
        <c:spPr>
          <a:solidFill>
            <a:schemeClr val="accent5">
              <a:lumMod val="60000"/>
              <a:lumOff val="40000"/>
            </a:schemeClr>
          </a:solidFill>
          <a:ln w="19050">
            <a:solidFill>
              <a:schemeClr val="lt1"/>
            </a:solidFill>
          </a:ln>
          <a:effectLst/>
        </c:spPr>
      </c:pivotFmt>
      <c:pivotFmt>
        <c:idx val="34"/>
        <c:spPr>
          <a:solidFill>
            <a:schemeClr val="accent5">
              <a:lumMod val="40000"/>
              <a:lumOff val="60000"/>
            </a:schemeClr>
          </a:solidFill>
          <a:ln w="19050">
            <a:solidFill>
              <a:schemeClr val="lt1"/>
            </a:solidFill>
          </a:ln>
          <a:effectLst/>
        </c:spPr>
      </c:pivotFmt>
      <c:pivotFmt>
        <c:idx val="35"/>
        <c:spPr>
          <a:solidFill>
            <a:schemeClr val="accent5">
              <a:lumMod val="20000"/>
              <a:lumOff val="80000"/>
            </a:schemeClr>
          </a:solidFill>
          <a:ln w="19050">
            <a:solidFill>
              <a:schemeClr val="lt1"/>
            </a:solidFill>
          </a:ln>
          <a:effectLst/>
        </c:spPr>
      </c:pivotFmt>
      <c:pivotFmt>
        <c:idx val="36"/>
        <c:spPr>
          <a:solidFill>
            <a:schemeClr val="accent5">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5">
              <a:lumMod val="75000"/>
            </a:schemeClr>
          </a:solidFill>
          <a:ln w="19050">
            <a:solidFill>
              <a:schemeClr val="lt1"/>
            </a:solidFill>
          </a:ln>
          <a:effectLst/>
        </c:spPr>
      </c:pivotFmt>
      <c:pivotFmt>
        <c:idx val="38"/>
        <c:spPr>
          <a:solidFill>
            <a:schemeClr val="accent5">
              <a:lumMod val="60000"/>
              <a:lumOff val="40000"/>
            </a:schemeClr>
          </a:solidFill>
          <a:ln w="19050">
            <a:solidFill>
              <a:schemeClr val="lt1"/>
            </a:solidFill>
          </a:ln>
          <a:effectLst/>
        </c:spPr>
      </c:pivotFmt>
      <c:pivotFmt>
        <c:idx val="39"/>
        <c:spPr>
          <a:solidFill>
            <a:schemeClr val="accent5">
              <a:lumMod val="40000"/>
              <a:lumOff val="60000"/>
            </a:schemeClr>
          </a:solidFill>
          <a:ln w="19050">
            <a:solidFill>
              <a:schemeClr val="lt1"/>
            </a:solidFill>
          </a:ln>
          <a:effectLst/>
        </c:spPr>
      </c:pivotFmt>
      <c:pivotFmt>
        <c:idx val="40"/>
        <c:spPr>
          <a:solidFill>
            <a:schemeClr val="accent5">
              <a:lumMod val="20000"/>
              <a:lumOff val="80000"/>
            </a:schemeClr>
          </a:solidFill>
          <a:ln w="19050">
            <a:solidFill>
              <a:schemeClr val="lt1"/>
            </a:solidFill>
          </a:ln>
          <a:effectLst/>
        </c:spPr>
      </c:pivotFmt>
      <c:pivotFmt>
        <c:idx val="41"/>
        <c:spPr>
          <a:solidFill>
            <a:schemeClr val="accent5">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5">
              <a:lumMod val="75000"/>
            </a:schemeClr>
          </a:solidFill>
          <a:ln w="19050">
            <a:solidFill>
              <a:schemeClr val="lt1"/>
            </a:solidFill>
          </a:ln>
          <a:effectLst/>
        </c:spPr>
      </c:pivotFmt>
      <c:pivotFmt>
        <c:idx val="43"/>
        <c:spPr>
          <a:solidFill>
            <a:schemeClr val="accent5">
              <a:lumMod val="60000"/>
              <a:lumOff val="40000"/>
            </a:schemeClr>
          </a:solidFill>
          <a:ln w="19050">
            <a:solidFill>
              <a:schemeClr val="lt1"/>
            </a:solidFill>
          </a:ln>
          <a:effectLst/>
        </c:spPr>
      </c:pivotFmt>
      <c:pivotFmt>
        <c:idx val="44"/>
        <c:spPr>
          <a:solidFill>
            <a:schemeClr val="accent5">
              <a:lumMod val="40000"/>
              <a:lumOff val="60000"/>
            </a:schemeClr>
          </a:solidFill>
          <a:ln w="19050">
            <a:solidFill>
              <a:schemeClr val="lt1"/>
            </a:solidFill>
          </a:ln>
          <a:effectLst/>
        </c:spPr>
      </c:pivotFmt>
      <c:pivotFmt>
        <c:idx val="45"/>
        <c:spPr>
          <a:solidFill>
            <a:schemeClr val="accent5">
              <a:lumMod val="20000"/>
              <a:lumOff val="80000"/>
            </a:schemeClr>
          </a:solidFill>
          <a:ln w="19050">
            <a:solidFill>
              <a:schemeClr val="lt1"/>
            </a:solidFill>
          </a:ln>
          <a:effectLst/>
        </c:spPr>
      </c:pivotFmt>
      <c:pivotFmt>
        <c:idx val="46"/>
        <c:spPr>
          <a:solidFill>
            <a:schemeClr val="accent5">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5">
              <a:lumMod val="75000"/>
            </a:schemeClr>
          </a:solidFill>
          <a:ln w="19050">
            <a:solidFill>
              <a:schemeClr val="lt1"/>
            </a:solidFill>
          </a:ln>
          <a:effectLst/>
        </c:spPr>
      </c:pivotFmt>
      <c:pivotFmt>
        <c:idx val="48"/>
        <c:spPr>
          <a:solidFill>
            <a:schemeClr val="accent5">
              <a:lumMod val="60000"/>
              <a:lumOff val="40000"/>
            </a:schemeClr>
          </a:solidFill>
          <a:ln w="19050">
            <a:solidFill>
              <a:schemeClr val="lt1"/>
            </a:solidFill>
          </a:ln>
          <a:effectLst/>
        </c:spPr>
      </c:pivotFmt>
      <c:pivotFmt>
        <c:idx val="49"/>
        <c:spPr>
          <a:solidFill>
            <a:schemeClr val="accent5">
              <a:lumMod val="40000"/>
              <a:lumOff val="60000"/>
            </a:schemeClr>
          </a:solidFill>
          <a:ln w="19050">
            <a:solidFill>
              <a:schemeClr val="lt1"/>
            </a:solidFill>
          </a:ln>
          <a:effectLst/>
        </c:spPr>
      </c:pivotFmt>
      <c:pivotFmt>
        <c:idx val="50"/>
        <c:spPr>
          <a:solidFill>
            <a:schemeClr val="accent5">
              <a:lumMod val="20000"/>
              <a:lumOff val="80000"/>
            </a:schemeClr>
          </a:solidFill>
          <a:ln w="19050">
            <a:solidFill>
              <a:schemeClr val="lt1"/>
            </a:solidFill>
          </a:ln>
          <a:effectLst/>
        </c:spPr>
      </c:pivotFmt>
      <c:pivotFmt>
        <c:idx val="51"/>
        <c:spPr>
          <a:solidFill>
            <a:schemeClr val="accent5">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5">
              <a:lumMod val="75000"/>
            </a:schemeClr>
          </a:solidFill>
          <a:ln w="19050">
            <a:solidFill>
              <a:schemeClr val="lt1"/>
            </a:solidFill>
          </a:ln>
          <a:effectLst/>
        </c:spPr>
      </c:pivotFmt>
      <c:pivotFmt>
        <c:idx val="53"/>
        <c:spPr>
          <a:solidFill>
            <a:schemeClr val="accent5">
              <a:lumMod val="60000"/>
              <a:lumOff val="40000"/>
            </a:schemeClr>
          </a:solidFill>
          <a:ln w="19050">
            <a:solidFill>
              <a:schemeClr val="lt1"/>
            </a:solidFill>
          </a:ln>
          <a:effectLst/>
        </c:spPr>
      </c:pivotFmt>
      <c:pivotFmt>
        <c:idx val="54"/>
        <c:spPr>
          <a:solidFill>
            <a:schemeClr val="accent5">
              <a:lumMod val="40000"/>
              <a:lumOff val="60000"/>
            </a:schemeClr>
          </a:solidFill>
          <a:ln w="19050">
            <a:solidFill>
              <a:schemeClr val="lt1"/>
            </a:solidFill>
          </a:ln>
          <a:effectLst/>
        </c:spPr>
      </c:pivotFmt>
      <c:pivotFmt>
        <c:idx val="55"/>
        <c:spPr>
          <a:solidFill>
            <a:schemeClr val="accent5">
              <a:lumMod val="20000"/>
              <a:lumOff val="80000"/>
            </a:schemeClr>
          </a:solidFill>
          <a:ln w="19050">
            <a:solidFill>
              <a:schemeClr val="lt1"/>
            </a:solidFill>
          </a:ln>
          <a:effectLst/>
        </c:spPr>
      </c:pivotFmt>
    </c:pivotFmts>
    <c:plotArea>
      <c:layout>
        <c:manualLayout>
          <c:layoutTarget val="inner"/>
          <c:xMode val="edge"/>
          <c:yMode val="edge"/>
          <c:x val="2.5326217512121482E-2"/>
          <c:y val="0.15175212841707031"/>
          <c:w val="0.95120546837783149"/>
          <c:h val="0.73901182806694621"/>
        </c:manualLayout>
      </c:layout>
      <c:barChart>
        <c:barDir val="col"/>
        <c:grouping val="clustered"/>
        <c:varyColors val="0"/>
        <c:ser>
          <c:idx val="0"/>
          <c:order val="0"/>
          <c:tx>
            <c:strRef>
              <c:f>'TRANSACTIONS BY AMOUNT'!$B$3</c:f>
              <c:strCache>
                <c:ptCount val="1"/>
                <c:pt idx="0">
                  <c:v>Total</c:v>
                </c:pt>
              </c:strCache>
            </c:strRef>
          </c:tx>
          <c:spPr>
            <a:solidFill>
              <a:schemeClr val="accent5">
                <a:lumMod val="50000"/>
              </a:schemeClr>
            </a:solidFill>
            <a:ln w="19050">
              <a:solidFill>
                <a:schemeClr val="lt1"/>
              </a:solidFill>
            </a:ln>
            <a:effectLst/>
          </c:spPr>
          <c:invertIfNegative val="0"/>
          <c:dPt>
            <c:idx val="0"/>
            <c:invertIfNegative val="0"/>
            <c:bubble3D val="0"/>
            <c:extLst>
              <c:ext xmlns:c16="http://schemas.microsoft.com/office/drawing/2014/chart" uri="{C3380CC4-5D6E-409C-BE32-E72D297353CC}">
                <c16:uniqueId val="{00000000-1254-41E6-A054-CD08439F010F}"/>
              </c:ext>
            </c:extLst>
          </c:dPt>
          <c:dPt>
            <c:idx val="1"/>
            <c:invertIfNegative val="0"/>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2-1254-41E6-A054-CD08439F010F}"/>
              </c:ext>
            </c:extLst>
          </c:dPt>
          <c:dPt>
            <c:idx val="2"/>
            <c:invertIfNegative val="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4-1254-41E6-A054-CD08439F010F}"/>
              </c:ext>
            </c:extLst>
          </c:dPt>
          <c:dPt>
            <c:idx val="3"/>
            <c:invertIfNegative val="0"/>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6-1254-41E6-A054-CD08439F010F}"/>
              </c:ext>
            </c:extLst>
          </c:dPt>
          <c:dPt>
            <c:idx val="4"/>
            <c:invertIfNegative val="0"/>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8-1254-41E6-A054-CD08439F010F}"/>
              </c:ext>
            </c:extLst>
          </c:dPt>
          <c:dPt>
            <c:idx val="5"/>
            <c:invertIfNegative val="0"/>
            <c:bubble3D val="0"/>
            <c:extLst>
              <c:ext xmlns:c16="http://schemas.microsoft.com/office/drawing/2014/chart" uri="{C3380CC4-5D6E-409C-BE32-E72D297353CC}">
                <c16:uniqueId val="{00000009-1254-41E6-A054-CD08439F010F}"/>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'TRANSACTIONS BY AMOUNT'!$A$4:$A$11</c:f>
              <c:strCache>
                <c:ptCount val="7"/>
                <c:pt idx="0">
                  <c:v>&lt;1000</c:v>
                </c:pt>
                <c:pt idx="1">
                  <c:v>1000-2000</c:v>
                </c:pt>
                <c:pt idx="2">
                  <c:v>2000-3000</c:v>
                </c:pt>
                <c:pt idx="3">
                  <c:v>3000-4000</c:v>
                </c:pt>
                <c:pt idx="4">
                  <c:v>4000-5000</c:v>
                </c:pt>
                <c:pt idx="5">
                  <c:v>6000-7000</c:v>
                </c:pt>
                <c:pt idx="6">
                  <c:v>7000-8000</c:v>
                </c:pt>
              </c:strCache>
            </c:strRef>
          </c:cat>
          <c:val>
            <c:numRef>
              <c:f>'TRANSACTIONS BY AMOUNT'!$B$4:$B$11</c:f>
              <c:numCache>
                <c:formatCode>General</c:formatCode>
                <c:ptCount val="7"/>
                <c:pt idx="0">
                  <c:v>218</c:v>
                </c:pt>
                <c:pt idx="1">
                  <c:v>85</c:v>
                </c:pt>
                <c:pt idx="2">
                  <c:v>31</c:v>
                </c:pt>
                <c:pt idx="3">
                  <c:v>24</c:v>
                </c:pt>
                <c:pt idx="4">
                  <c:v>8</c:v>
                </c:pt>
                <c:pt idx="5">
                  <c:v>2</c:v>
                </c:pt>
                <c:pt idx="6">
                  <c:v>1</c:v>
                </c:pt>
              </c:numCache>
            </c:numRef>
          </c:val>
          <c:extLst>
            <c:ext xmlns:c16="http://schemas.microsoft.com/office/drawing/2014/chart" uri="{C3380CC4-5D6E-409C-BE32-E72D297353CC}">
              <c16:uniqueId val="{0000000A-1254-41E6-A054-CD08439F010F}"/>
            </c:ext>
          </c:extLst>
        </c:ser>
        <c:dLbls>
          <c:showLegendKey val="0"/>
          <c:showVal val="0"/>
          <c:showCatName val="0"/>
          <c:showSerName val="0"/>
          <c:showPercent val="0"/>
          <c:showBubbleSize val="0"/>
        </c:dLbls>
        <c:gapWidth val="22"/>
        <c:axId val="2021683760"/>
        <c:axId val="2021686640"/>
      </c:barChart>
      <c:valAx>
        <c:axId val="2021686640"/>
        <c:scaling>
          <c:orientation val="minMax"/>
        </c:scaling>
        <c:delete val="1"/>
        <c:axPos val="l"/>
        <c:majorGridlines>
          <c:spPr>
            <a:ln w="9525" cap="flat" cmpd="sng" algn="ctr">
              <a:noFill/>
              <a:round/>
            </a:ln>
            <a:effectLst/>
          </c:spPr>
        </c:majorGridlines>
        <c:numFmt formatCode="General" sourceLinked="1"/>
        <c:majorTickMark val="out"/>
        <c:minorTickMark val="none"/>
        <c:tickLblPos val="nextTo"/>
        <c:crossAx val="2021683760"/>
        <c:crosses val="autoZero"/>
        <c:crossBetween val="between"/>
      </c:valAx>
      <c:catAx>
        <c:axId val="20216837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crossAx val="202168664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[FlutterCo Sales Data.xlsx]SALES PERFORMANCE BY REGION!PivotTable2</c:name>
    <c:fmtId val="5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a:solidFill>
                  <a:schemeClr val="accent5">
                    <a:lumMod val="50000"/>
                  </a:schemeClr>
                </a:solidFill>
                <a:latin typeface="Arial" panose="020B0604020202020204" pitchFamily="34" charset="0"/>
                <a:cs typeface="Arial" panose="020B0604020202020204" pitchFamily="34" charset="0"/>
              </a:rPr>
              <a:t>Sales</a:t>
            </a:r>
            <a:r>
              <a:rPr lang="en-US" sz="2000" baseline="0">
                <a:solidFill>
                  <a:schemeClr val="accent5">
                    <a:lumMod val="50000"/>
                  </a:schemeClr>
                </a:solidFill>
                <a:latin typeface="Arial" panose="020B0604020202020204" pitchFamily="34" charset="0"/>
                <a:cs typeface="Arial" panose="020B0604020202020204" pitchFamily="34" charset="0"/>
              </a:rPr>
              <a:t> Performance by Region</a:t>
            </a:r>
            <a:endParaRPr lang="en-US" sz="2000">
              <a:solidFill>
                <a:schemeClr val="accent5">
                  <a:lumMod val="50000"/>
                </a:schemeClr>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50000"/>
            </a:schemeClr>
          </a:solidFill>
          <a:ln w="19050">
            <a:solidFill>
              <a:schemeClr val="lt1"/>
            </a:solidFill>
          </a:ln>
          <a:effectLst/>
        </c:spPr>
      </c:pivotFmt>
      <c:pivotFmt>
        <c:idx val="10"/>
        <c:spPr>
          <a:solidFill>
            <a:schemeClr val="accent5">
              <a:lumMod val="75000"/>
            </a:schemeClr>
          </a:solidFill>
          <a:ln w="19050">
            <a:solidFill>
              <a:schemeClr val="lt1"/>
            </a:solidFill>
          </a:ln>
          <a:effectLst/>
        </c:spPr>
      </c:pivotFmt>
      <c:pivotFmt>
        <c:idx val="11"/>
        <c:spPr>
          <a:solidFill>
            <a:schemeClr val="accent5">
              <a:lumMod val="75000"/>
            </a:schemeClr>
          </a:solidFill>
          <a:ln w="19050">
            <a:solidFill>
              <a:schemeClr val="lt1"/>
            </a:solidFill>
          </a:ln>
          <a:effectLst/>
        </c:spPr>
      </c:pivotFmt>
      <c:pivotFmt>
        <c:idx val="12"/>
        <c:spPr>
          <a:solidFill>
            <a:schemeClr val="accent5">
              <a:lumMod val="60000"/>
              <a:lumOff val="40000"/>
            </a:schemeClr>
          </a:solidFill>
          <a:ln w="19050">
            <a:solidFill>
              <a:schemeClr val="lt1"/>
            </a:solidFill>
          </a:ln>
          <a:effectLst/>
        </c:spPr>
      </c:pivotFmt>
      <c:pivotFmt>
        <c:idx val="13"/>
        <c:spPr>
          <a:solidFill>
            <a:schemeClr val="accent5">
              <a:lumMod val="40000"/>
              <a:lumOff val="60000"/>
            </a:schemeClr>
          </a:solidFill>
          <a:ln w="19050">
            <a:solidFill>
              <a:schemeClr val="lt1"/>
            </a:solidFill>
          </a:ln>
          <a:effectLst/>
        </c:spPr>
      </c:pivotFmt>
      <c:pivotFmt>
        <c:idx val="14"/>
        <c:spPr>
          <a:solidFill>
            <a:schemeClr val="accent5">
              <a:lumMod val="20000"/>
              <a:lumOff val="80000"/>
            </a:schemeClr>
          </a:solidFill>
          <a:ln w="19050">
            <a:solidFill>
              <a:schemeClr val="lt1"/>
            </a:solidFill>
          </a:ln>
          <a:effectLst/>
        </c:spPr>
      </c:pivotFmt>
      <c:pivotFmt>
        <c:idx val="15"/>
        <c:spPr>
          <a:solidFill>
            <a:schemeClr val="accent5">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lumMod val="20000"/>
              <a:lumOff val="80000"/>
            </a:schemeClr>
          </a:solidFill>
          <a:ln w="19050">
            <a:solidFill>
              <a:schemeClr val="lt1"/>
            </a:solidFill>
          </a:ln>
          <a:effectLst/>
        </c:spPr>
      </c:pivotFmt>
      <c:pivotFmt>
        <c:idx val="17"/>
        <c:spPr>
          <a:solidFill>
            <a:schemeClr val="accent5">
              <a:lumMod val="40000"/>
              <a:lumOff val="60000"/>
            </a:schemeClr>
          </a:solidFill>
          <a:ln w="19050">
            <a:solidFill>
              <a:schemeClr val="lt1"/>
            </a:solidFill>
          </a:ln>
          <a:effectLst/>
        </c:spPr>
      </c:pivotFmt>
      <c:pivotFmt>
        <c:idx val="18"/>
        <c:spPr>
          <a:solidFill>
            <a:schemeClr val="accent5">
              <a:lumMod val="60000"/>
              <a:lumOff val="40000"/>
            </a:schemeClr>
          </a:solidFill>
          <a:ln w="19050">
            <a:solidFill>
              <a:schemeClr val="lt1"/>
            </a:solidFill>
          </a:ln>
          <a:effectLst/>
        </c:spPr>
      </c:pivotFmt>
      <c:pivotFmt>
        <c:idx val="19"/>
        <c:spPr>
          <a:solidFill>
            <a:schemeClr val="accent5">
              <a:lumMod val="75000"/>
            </a:schemeClr>
          </a:solidFill>
          <a:ln w="19050">
            <a:solidFill>
              <a:schemeClr val="lt1"/>
            </a:solidFill>
          </a:ln>
          <a:effectLst/>
        </c:spPr>
      </c:pivotFmt>
      <c:pivotFmt>
        <c:idx val="20"/>
        <c:spPr>
          <a:solidFill>
            <a:schemeClr val="accent5">
              <a:lumMod val="75000"/>
            </a:schemeClr>
          </a:solidFill>
          <a:ln w="19050">
            <a:solidFill>
              <a:schemeClr val="lt1"/>
            </a:solidFill>
          </a:ln>
          <a:effectLst/>
        </c:spPr>
      </c:pivotFmt>
      <c:pivotFmt>
        <c:idx val="21"/>
        <c:spPr>
          <a:solidFill>
            <a:schemeClr val="accent5">
              <a:lumMod val="50000"/>
            </a:schemeClr>
          </a:solidFill>
          <a:ln w="19050">
            <a:solidFill>
              <a:schemeClr val="lt1"/>
            </a:solidFill>
          </a:ln>
          <a:effectLst/>
        </c:spPr>
      </c:pivotFmt>
      <c:pivotFmt>
        <c:idx val="22"/>
        <c:spPr>
          <a:solidFill>
            <a:schemeClr val="accent5">
              <a:lumMod val="75000"/>
            </a:schemeClr>
          </a:solidFill>
          <a:ln w="19050">
            <a:solidFill>
              <a:schemeClr val="lt1"/>
            </a:solidFill>
          </a:ln>
          <a:effectLst/>
        </c:spPr>
      </c:pivotFmt>
      <c:pivotFmt>
        <c:idx val="23"/>
        <c:spPr>
          <a:solidFill>
            <a:schemeClr val="accent5">
              <a:lumMod val="60000"/>
              <a:lumOff val="40000"/>
            </a:schemeClr>
          </a:solidFill>
          <a:ln w="19050">
            <a:solidFill>
              <a:schemeClr val="lt1"/>
            </a:solidFill>
          </a:ln>
          <a:effectLst/>
        </c:spPr>
      </c:pivotFmt>
      <c:pivotFmt>
        <c:idx val="24"/>
        <c:spPr>
          <a:solidFill>
            <a:schemeClr val="accent5">
              <a:lumMod val="40000"/>
              <a:lumOff val="60000"/>
            </a:schemeClr>
          </a:solidFill>
          <a:ln w="19050">
            <a:solidFill>
              <a:schemeClr val="lt1"/>
            </a:solidFill>
          </a:ln>
          <a:effectLst/>
        </c:spPr>
      </c:pivotFmt>
      <c:pivotFmt>
        <c:idx val="25"/>
        <c:spPr>
          <a:solidFill>
            <a:schemeClr val="accent5">
              <a:lumMod val="20000"/>
              <a:lumOff val="80000"/>
            </a:schemeClr>
          </a:solidFill>
          <a:ln w="19050">
            <a:solidFill>
              <a:schemeClr val="lt1"/>
            </a:solidFill>
          </a:ln>
          <a:effectLst/>
        </c:spPr>
      </c:pivotFmt>
      <c:pivotFmt>
        <c:idx val="26"/>
        <c:spPr>
          <a:solidFill>
            <a:schemeClr val="accent5">
              <a:lumMod val="50000"/>
            </a:schemeClr>
          </a:solidFill>
          <a:ln w="19050">
            <a:solidFill>
              <a:schemeClr val="lt1"/>
            </a:solidFill>
          </a:ln>
          <a:effectLst/>
        </c:spPr>
      </c:pivotFmt>
      <c:pivotFmt>
        <c:idx val="27"/>
        <c:spPr>
          <a:solidFill>
            <a:schemeClr val="accent5">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20000"/>
              <a:lumOff val="80000"/>
            </a:schemeClr>
          </a:solidFill>
          <a:ln w="19050">
            <a:solidFill>
              <a:schemeClr val="lt1"/>
            </a:solidFill>
          </a:ln>
          <a:effectLst/>
        </c:spPr>
      </c:pivotFmt>
      <c:pivotFmt>
        <c:idx val="29"/>
        <c:spPr>
          <a:solidFill>
            <a:schemeClr val="accent5">
              <a:lumMod val="40000"/>
              <a:lumOff val="60000"/>
            </a:schemeClr>
          </a:solidFill>
          <a:ln w="19050">
            <a:solidFill>
              <a:schemeClr val="lt1"/>
            </a:solidFill>
          </a:ln>
          <a:effectLst/>
        </c:spPr>
      </c:pivotFmt>
      <c:pivotFmt>
        <c:idx val="30"/>
        <c:spPr>
          <a:solidFill>
            <a:schemeClr val="accent5">
              <a:lumMod val="60000"/>
              <a:lumOff val="40000"/>
            </a:schemeClr>
          </a:solidFill>
          <a:ln w="19050">
            <a:solidFill>
              <a:schemeClr val="lt1"/>
            </a:solidFill>
          </a:ln>
          <a:effectLst/>
        </c:spPr>
      </c:pivotFmt>
      <c:pivotFmt>
        <c:idx val="31"/>
        <c:spPr>
          <a:solidFill>
            <a:schemeClr val="accent5">
              <a:lumMod val="50000"/>
            </a:schemeClr>
          </a:solidFill>
          <a:ln w="19050">
            <a:solidFill>
              <a:schemeClr val="lt1"/>
            </a:solidFill>
          </a:ln>
          <a:effectLst/>
        </c:spPr>
      </c:pivotFmt>
      <c:pivotFmt>
        <c:idx val="32"/>
        <c:spPr>
          <a:solidFill>
            <a:schemeClr val="accent5">
              <a:lumMod val="75000"/>
            </a:schemeClr>
          </a:solidFill>
          <a:ln w="19050">
            <a:solidFill>
              <a:schemeClr val="lt1"/>
            </a:solidFill>
          </a:ln>
          <a:effectLst/>
        </c:spPr>
      </c:pivotFmt>
      <c:pivotFmt>
        <c:idx val="33"/>
        <c:spPr>
          <a:solidFill>
            <a:schemeClr val="accent5">
              <a:lumMod val="75000"/>
            </a:schemeClr>
          </a:solidFill>
          <a:ln w="19050">
            <a:solidFill>
              <a:schemeClr val="lt1"/>
            </a:solidFill>
          </a:ln>
          <a:effectLst/>
        </c:spPr>
      </c:pivotFmt>
      <c:pivotFmt>
        <c:idx val="34"/>
        <c:spPr>
          <a:solidFill>
            <a:schemeClr val="accent5">
              <a:lumMod val="50000"/>
            </a:schemeClr>
          </a:solidFill>
          <a:ln w="19050">
            <a:solidFill>
              <a:schemeClr val="lt1"/>
            </a:solidFill>
          </a:ln>
          <a:effectLst/>
        </c:spPr>
      </c:pivotFmt>
      <c:pivotFmt>
        <c:idx val="35"/>
        <c:spPr>
          <a:solidFill>
            <a:schemeClr val="accent5">
              <a:lumMod val="60000"/>
              <a:lumOff val="40000"/>
            </a:schemeClr>
          </a:solidFill>
          <a:ln w="19050">
            <a:solidFill>
              <a:schemeClr val="lt1"/>
            </a:solidFill>
          </a:ln>
          <a:effectLst/>
        </c:spPr>
      </c:pivotFmt>
      <c:pivotFmt>
        <c:idx val="36"/>
        <c:spPr>
          <a:solidFill>
            <a:schemeClr val="accent5">
              <a:lumMod val="20000"/>
              <a:lumOff val="80000"/>
            </a:schemeClr>
          </a:solidFill>
          <a:ln w="19050">
            <a:solidFill>
              <a:schemeClr val="lt1"/>
            </a:solidFill>
          </a:ln>
          <a:effectLst/>
        </c:spPr>
      </c:pivotFmt>
      <c:pivotFmt>
        <c:idx val="37"/>
        <c:spPr>
          <a:solidFill>
            <a:schemeClr val="accent5">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5">
              <a:lumMod val="50000"/>
            </a:schemeClr>
          </a:solidFill>
          <a:ln w="19050">
            <a:solidFill>
              <a:schemeClr val="lt1"/>
            </a:solidFill>
          </a:ln>
          <a:effectLst/>
        </c:spPr>
      </c:pivotFmt>
      <c:pivotFmt>
        <c:idx val="39"/>
        <c:spPr>
          <a:solidFill>
            <a:schemeClr val="accent5">
              <a:lumMod val="75000"/>
            </a:schemeClr>
          </a:solidFill>
          <a:ln w="19050">
            <a:solidFill>
              <a:schemeClr val="lt1"/>
            </a:solidFill>
          </a:ln>
          <a:effectLst/>
        </c:spPr>
      </c:pivotFmt>
      <c:pivotFmt>
        <c:idx val="40"/>
        <c:spPr>
          <a:solidFill>
            <a:schemeClr val="accent5">
              <a:lumMod val="60000"/>
              <a:lumOff val="40000"/>
            </a:schemeClr>
          </a:solidFill>
          <a:ln w="19050">
            <a:solidFill>
              <a:schemeClr val="lt1"/>
            </a:solidFill>
          </a:ln>
          <a:effectLst/>
        </c:spPr>
      </c:pivotFmt>
      <c:pivotFmt>
        <c:idx val="41"/>
        <c:spPr>
          <a:solidFill>
            <a:schemeClr val="accent5">
              <a:lumMod val="20000"/>
              <a:lumOff val="80000"/>
            </a:schemeClr>
          </a:solidFill>
          <a:ln w="19050">
            <a:solidFill>
              <a:schemeClr val="lt1"/>
            </a:solidFill>
          </a:ln>
          <a:effectLst/>
        </c:spPr>
      </c:pivotFmt>
      <c:pivotFmt>
        <c:idx val="42"/>
        <c:spPr>
          <a:solidFill>
            <a:schemeClr val="accent5">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5">
              <a:lumMod val="50000"/>
            </a:schemeClr>
          </a:solidFill>
          <a:ln w="19050">
            <a:solidFill>
              <a:schemeClr val="lt1"/>
            </a:solidFill>
          </a:ln>
          <a:effectLst/>
        </c:spPr>
      </c:pivotFmt>
      <c:pivotFmt>
        <c:idx val="44"/>
        <c:spPr>
          <a:solidFill>
            <a:schemeClr val="accent5">
              <a:lumMod val="75000"/>
            </a:schemeClr>
          </a:solidFill>
          <a:ln w="19050">
            <a:solidFill>
              <a:schemeClr val="lt1"/>
            </a:solidFill>
          </a:ln>
          <a:effectLst/>
        </c:spPr>
      </c:pivotFmt>
      <c:pivotFmt>
        <c:idx val="45"/>
        <c:spPr>
          <a:solidFill>
            <a:schemeClr val="accent5">
              <a:lumMod val="60000"/>
              <a:lumOff val="40000"/>
            </a:schemeClr>
          </a:solidFill>
          <a:ln w="19050">
            <a:solidFill>
              <a:schemeClr val="lt1"/>
            </a:solidFill>
          </a:ln>
          <a:effectLst/>
        </c:spPr>
      </c:pivotFmt>
      <c:pivotFmt>
        <c:idx val="46"/>
        <c:spPr>
          <a:solidFill>
            <a:schemeClr val="accent5">
              <a:lumMod val="20000"/>
              <a:lumOff val="80000"/>
            </a:schemeClr>
          </a:solidFill>
          <a:ln w="19050">
            <a:solidFill>
              <a:schemeClr val="lt1"/>
            </a:solidFill>
          </a:ln>
          <a:effectLst/>
        </c:spPr>
      </c:pivotFmt>
      <c:pivotFmt>
        <c:idx val="47"/>
        <c:spPr>
          <a:solidFill>
            <a:schemeClr val="accent5">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lumMod val="50000"/>
            </a:schemeClr>
          </a:solidFill>
          <a:ln w="19050">
            <a:solidFill>
              <a:schemeClr val="lt1"/>
            </a:solidFill>
          </a:ln>
          <a:effectLst/>
        </c:spPr>
      </c:pivotFmt>
      <c:pivotFmt>
        <c:idx val="49"/>
        <c:spPr>
          <a:solidFill>
            <a:schemeClr val="accent5">
              <a:lumMod val="75000"/>
            </a:schemeClr>
          </a:solidFill>
          <a:ln w="19050">
            <a:solidFill>
              <a:schemeClr val="lt1"/>
            </a:solidFill>
          </a:ln>
          <a:effectLst/>
        </c:spPr>
      </c:pivotFmt>
      <c:pivotFmt>
        <c:idx val="50"/>
        <c:spPr>
          <a:solidFill>
            <a:schemeClr val="accent5">
              <a:lumMod val="60000"/>
              <a:lumOff val="40000"/>
            </a:schemeClr>
          </a:solidFill>
          <a:ln w="19050">
            <a:solidFill>
              <a:schemeClr val="lt1"/>
            </a:solidFill>
          </a:ln>
          <a:effectLst/>
        </c:spPr>
      </c:pivotFmt>
      <c:pivotFmt>
        <c:idx val="51"/>
        <c:spPr>
          <a:solidFill>
            <a:schemeClr val="accent5">
              <a:lumMod val="20000"/>
              <a:lumOff val="80000"/>
            </a:schemeClr>
          </a:solidFill>
          <a:ln w="19050">
            <a:solidFill>
              <a:schemeClr val="lt1"/>
            </a:solidFill>
          </a:ln>
          <a:effectLst/>
        </c:spPr>
      </c:pivotFmt>
      <c:pivotFmt>
        <c:idx val="52"/>
        <c:spPr>
          <a:solidFill>
            <a:schemeClr val="accent5">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5">
              <a:lumMod val="50000"/>
            </a:schemeClr>
          </a:solidFill>
          <a:ln w="19050">
            <a:solidFill>
              <a:schemeClr val="lt1"/>
            </a:solidFill>
          </a:ln>
          <a:effectLst/>
        </c:spPr>
      </c:pivotFmt>
      <c:pivotFmt>
        <c:idx val="54"/>
        <c:spPr>
          <a:solidFill>
            <a:schemeClr val="accent5">
              <a:lumMod val="75000"/>
            </a:schemeClr>
          </a:solidFill>
          <a:ln w="19050">
            <a:solidFill>
              <a:schemeClr val="lt1"/>
            </a:solidFill>
          </a:ln>
          <a:effectLst/>
        </c:spPr>
      </c:pivotFmt>
      <c:pivotFmt>
        <c:idx val="55"/>
        <c:spPr>
          <a:solidFill>
            <a:schemeClr val="accent5">
              <a:lumMod val="60000"/>
              <a:lumOff val="40000"/>
            </a:schemeClr>
          </a:solidFill>
          <a:ln w="19050">
            <a:solidFill>
              <a:schemeClr val="lt1"/>
            </a:solidFill>
          </a:ln>
          <a:effectLst/>
        </c:spPr>
      </c:pivotFmt>
      <c:pivotFmt>
        <c:idx val="56"/>
        <c:spPr>
          <a:solidFill>
            <a:schemeClr val="accent5">
              <a:lumMod val="20000"/>
              <a:lumOff val="80000"/>
            </a:schemeClr>
          </a:solidFill>
          <a:ln w="19050">
            <a:solidFill>
              <a:schemeClr val="lt1"/>
            </a:solidFill>
          </a:ln>
          <a:effectLst/>
        </c:spPr>
      </c:pivotFmt>
      <c:pivotFmt>
        <c:idx val="57"/>
        <c:spPr>
          <a:solidFill>
            <a:schemeClr val="accent5">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5">
              <a:lumMod val="50000"/>
            </a:schemeClr>
          </a:solidFill>
          <a:ln w="19050">
            <a:solidFill>
              <a:schemeClr val="lt1"/>
            </a:solidFill>
          </a:ln>
          <a:effectLst/>
        </c:spPr>
      </c:pivotFmt>
      <c:pivotFmt>
        <c:idx val="59"/>
        <c:spPr>
          <a:solidFill>
            <a:schemeClr val="accent5">
              <a:lumMod val="75000"/>
            </a:schemeClr>
          </a:solidFill>
          <a:ln w="19050">
            <a:solidFill>
              <a:schemeClr val="lt1"/>
            </a:solidFill>
          </a:ln>
          <a:effectLst/>
        </c:spPr>
      </c:pivotFmt>
      <c:pivotFmt>
        <c:idx val="60"/>
        <c:spPr>
          <a:solidFill>
            <a:schemeClr val="accent5">
              <a:lumMod val="60000"/>
              <a:lumOff val="40000"/>
            </a:schemeClr>
          </a:solidFill>
          <a:ln w="19050">
            <a:solidFill>
              <a:schemeClr val="lt1"/>
            </a:solidFill>
          </a:ln>
          <a:effectLst/>
        </c:spPr>
      </c:pivotFmt>
      <c:pivotFmt>
        <c:idx val="61"/>
        <c:spPr>
          <a:solidFill>
            <a:schemeClr val="accent5">
              <a:lumMod val="20000"/>
              <a:lumOff val="80000"/>
            </a:schemeClr>
          </a:solidFill>
          <a:ln w="19050">
            <a:solidFill>
              <a:schemeClr val="lt1"/>
            </a:solidFill>
          </a:ln>
          <a:effectLst/>
        </c:spPr>
      </c:pivotFmt>
      <c:pivotFmt>
        <c:idx val="62"/>
        <c:spPr>
          <a:solidFill>
            <a:schemeClr val="accent5">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5">
              <a:lumMod val="50000"/>
            </a:schemeClr>
          </a:solidFill>
          <a:ln w="19050">
            <a:solidFill>
              <a:schemeClr val="lt1"/>
            </a:solidFill>
          </a:ln>
          <a:effectLst/>
        </c:spPr>
      </c:pivotFmt>
      <c:pivotFmt>
        <c:idx val="64"/>
        <c:spPr>
          <a:solidFill>
            <a:schemeClr val="accent5">
              <a:lumMod val="75000"/>
            </a:schemeClr>
          </a:solidFill>
          <a:ln w="19050">
            <a:solidFill>
              <a:schemeClr val="lt1"/>
            </a:solidFill>
          </a:ln>
          <a:effectLst/>
        </c:spPr>
      </c:pivotFmt>
      <c:pivotFmt>
        <c:idx val="65"/>
        <c:spPr>
          <a:solidFill>
            <a:schemeClr val="accent5">
              <a:lumMod val="60000"/>
              <a:lumOff val="40000"/>
            </a:schemeClr>
          </a:solidFill>
          <a:ln w="19050">
            <a:solidFill>
              <a:schemeClr val="lt1"/>
            </a:solidFill>
          </a:ln>
          <a:effectLst/>
        </c:spPr>
      </c:pivotFmt>
      <c:pivotFmt>
        <c:idx val="66"/>
        <c:spPr>
          <a:solidFill>
            <a:schemeClr val="accent5">
              <a:lumMod val="20000"/>
              <a:lumOff val="80000"/>
            </a:schemeClr>
          </a:solidFill>
          <a:ln w="19050">
            <a:solidFill>
              <a:schemeClr val="lt1"/>
            </a:solidFill>
          </a:ln>
          <a:effectLst/>
        </c:spPr>
      </c:pivotFmt>
    </c:pivotFmts>
    <c:plotArea>
      <c:layout>
        <c:manualLayout>
          <c:layoutTarget val="inner"/>
          <c:xMode val="edge"/>
          <c:yMode val="edge"/>
          <c:x val="0.31565661208514684"/>
          <c:y val="0.20512329943473925"/>
          <c:w val="0.33372289248629838"/>
          <c:h val="0.72757609723684735"/>
        </c:manualLayout>
      </c:layout>
      <c:pieChart>
        <c:varyColors val="1"/>
        <c:ser>
          <c:idx val="0"/>
          <c:order val="0"/>
          <c:tx>
            <c:strRef>
              <c:f>'SALES PERFORMANCE BY REGION'!$B$3</c:f>
              <c:strCache>
                <c:ptCount val="1"/>
                <c:pt idx="0">
                  <c:v>Total</c:v>
                </c:pt>
              </c:strCache>
            </c:strRef>
          </c:tx>
          <c:spPr>
            <a:solidFill>
              <a:schemeClr val="accent5">
                <a:lumMod val="50000"/>
              </a:schemeClr>
            </a:solidFill>
          </c:spPr>
          <c:dPt>
            <c:idx val="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1-EB3C-4BA0-8CD3-E6E77A049025}"/>
              </c:ext>
            </c:extLst>
          </c:dPt>
          <c:dPt>
            <c:idx val="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EB3C-4BA0-8CD3-E6E77A049025}"/>
              </c:ext>
            </c:extLst>
          </c:dPt>
          <c:dPt>
            <c:idx val="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5-EB3C-4BA0-8CD3-E6E77A049025}"/>
              </c:ext>
            </c:extLst>
          </c:dPt>
          <c:dPt>
            <c:idx val="3"/>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7-EB3C-4BA0-8CD3-E6E77A049025}"/>
              </c:ext>
            </c:extLst>
          </c:dPt>
          <c:dPt>
            <c:idx val="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9-EB3C-4BA0-8CD3-E6E77A049025}"/>
              </c:ext>
            </c:extLst>
          </c:dPt>
          <c:dPt>
            <c:idx val="5"/>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B-EB3C-4BA0-8CD3-E6E77A049025}"/>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extLst>
          </c:dLbls>
          <c:cat>
            <c:strRef>
              <c:f>'SALES PERFORMANCE BY REGION'!$A$4:$A$8</c:f>
              <c:strCache>
                <c:ptCount val="4"/>
                <c:pt idx="0">
                  <c:v>North</c:v>
                </c:pt>
                <c:pt idx="1">
                  <c:v>East</c:v>
                </c:pt>
                <c:pt idx="2">
                  <c:v>South</c:v>
                </c:pt>
                <c:pt idx="3">
                  <c:v>West</c:v>
                </c:pt>
              </c:strCache>
            </c:strRef>
          </c:cat>
          <c:val>
            <c:numRef>
              <c:f>'SALES PERFORMANCE BY REGION'!$B$4:$B$8</c:f>
              <c:numCache>
                <c:formatCode>"$"#,##0.00</c:formatCode>
                <c:ptCount val="4"/>
                <c:pt idx="0">
                  <c:v>141680.33999999997</c:v>
                </c:pt>
                <c:pt idx="1">
                  <c:v>108275.51</c:v>
                </c:pt>
                <c:pt idx="2">
                  <c:v>93858.329999999987</c:v>
                </c:pt>
                <c:pt idx="3">
                  <c:v>91251.979999999981</c:v>
                </c:pt>
              </c:numCache>
            </c:numRef>
          </c:val>
          <c:extLst>
            <c:ext xmlns:c16="http://schemas.microsoft.com/office/drawing/2014/chart" uri="{C3380CC4-5D6E-409C-BE32-E72D297353CC}">
              <c16:uniqueId val="{0000000C-EB3C-4BA0-8CD3-E6E77A049025}"/>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88406112766264411"/>
          <c:y val="0.53180397015376091"/>
          <c:w val="0.10734383108961772"/>
          <c:h val="0.40798344105239914"/>
        </c:manualLayout>
      </c:layout>
      <c:overlay val="0"/>
      <c:spPr>
        <a:noFill/>
        <a:ln>
          <a:noFill/>
        </a:ln>
        <a:effectLst/>
      </c:spPr>
      <c:txPr>
        <a:bodyPr rot="0" spcFirstLastPara="1" vertOverflow="ellipsis" vert="horz" wrap="square" anchor="ctr" anchorCtr="1"/>
        <a:lstStyle/>
        <a:p>
          <a:pPr>
            <a:defRPr sz="1200" b="0"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[FlutterCo Sales Data.xlsx]TOP 10 CUSTOMERS!PivotTable2</c:name>
    <c:fmtId val="3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i="0">
                <a:solidFill>
                  <a:schemeClr val="accent5">
                    <a:lumMod val="50000"/>
                  </a:schemeClr>
                </a:solidFill>
                <a:latin typeface="Arial" panose="020B0604020202020204" pitchFamily="34" charset="0"/>
                <a:cs typeface="Arial" panose="020B0604020202020204" pitchFamily="34" charset="0"/>
              </a:rPr>
              <a:t>Top</a:t>
            </a:r>
            <a:r>
              <a:rPr lang="en-US" sz="2000" i="0" baseline="0">
                <a:solidFill>
                  <a:schemeClr val="accent5">
                    <a:lumMod val="50000"/>
                  </a:schemeClr>
                </a:solidFill>
                <a:latin typeface="Arial" panose="020B0604020202020204" pitchFamily="34" charset="0"/>
                <a:cs typeface="Arial" panose="020B0604020202020204" pitchFamily="34" charset="0"/>
              </a:rPr>
              <a:t> 10 Customers</a:t>
            </a:r>
            <a:endParaRPr lang="en-US" sz="2000" i="0">
              <a:solidFill>
                <a:schemeClr val="accent5">
                  <a:lumMod val="50000"/>
                </a:schemeClr>
              </a:solidFill>
              <a:latin typeface="Arial" panose="020B0604020202020204" pitchFamily="34" charset="0"/>
              <a:cs typeface="Arial" panose="020B0604020202020204" pitchFamily="34" charset="0"/>
            </a:endParaRPr>
          </a:p>
        </c:rich>
      </c:tx>
      <c:layout>
        <c:manualLayout>
          <c:xMode val="edge"/>
          <c:yMode val="edge"/>
          <c:x val="0.34784683364596325"/>
          <c:y val="5.08821179961200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dLbl>
          <c:idx val="0"/>
          <c:layout>
            <c:manualLayout>
              <c:x val="-1.3877787807814457E-17"/>
              <c:y val="1.03092783505154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2187950301008858"/>
                  <c:h val="6.1804259003707E-2"/>
                </c:manualLayout>
              </c15:layout>
            </c:ext>
          </c:extLst>
        </c:dLbl>
      </c:pivotFmt>
      <c:pivotFmt>
        <c:idx val="2"/>
        <c:spPr>
          <a:solidFill>
            <a:schemeClr val="accent5">
              <a:lumMod val="75000"/>
            </a:schemeClr>
          </a:solidFill>
          <a:ln>
            <a:solidFill>
              <a:schemeClr val="accent5">
                <a:lumMod val="60000"/>
                <a:lumOff val="40000"/>
              </a:schemeClr>
            </a:solidFill>
          </a:ln>
          <a:effectLst/>
        </c:spPr>
      </c:pivotFmt>
      <c:pivotFmt>
        <c:idx val="3"/>
        <c:spPr>
          <a:solidFill>
            <a:schemeClr val="accent5">
              <a:lumMod val="75000"/>
            </a:schemeClr>
          </a:solidFill>
          <a:ln>
            <a:solidFill>
              <a:schemeClr val="accent5">
                <a:lumMod val="60000"/>
                <a:lumOff val="40000"/>
              </a:schemeClr>
            </a:solidFill>
          </a:ln>
          <a:effectLst/>
        </c:spPr>
      </c:pivotFmt>
      <c:pivotFmt>
        <c:idx val="4"/>
        <c:spPr>
          <a:solidFill>
            <a:schemeClr val="accent5">
              <a:lumMod val="60000"/>
              <a:lumOff val="40000"/>
            </a:schemeClr>
          </a:solidFill>
          <a:ln>
            <a:solidFill>
              <a:schemeClr val="accent5">
                <a:lumMod val="40000"/>
                <a:lumOff val="60000"/>
              </a:schemeClr>
            </a:solidFill>
          </a:ln>
          <a:effectLst/>
        </c:spPr>
      </c:pivotFmt>
      <c:pivotFmt>
        <c:idx val="5"/>
        <c:spPr>
          <a:solidFill>
            <a:schemeClr val="accent5">
              <a:lumMod val="40000"/>
              <a:lumOff val="6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60000"/>
              <a:lumOff val="40000"/>
            </a:schemeClr>
          </a:solidFill>
          <a:ln>
            <a:noFill/>
          </a:ln>
          <a:effectLst/>
        </c:spPr>
      </c:pivotFmt>
      <c:pivotFmt>
        <c:idx val="8"/>
        <c:spPr>
          <a:solidFill>
            <a:schemeClr val="accent5">
              <a:lumMod val="20000"/>
              <a:lumOff val="8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dLbl>
          <c:idx val="0"/>
          <c:layout>
            <c:manualLayout>
              <c:x val="-1.3877787807814457E-17"/>
              <c:y val="1.03092783505154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2187950301008858"/>
                  <c:h val="6.1804259003707E-2"/>
                </c:manualLayout>
              </c15:layout>
            </c:ext>
          </c:extLst>
        </c:dLbl>
      </c:pivotFmt>
      <c:pivotFmt>
        <c:idx val="11"/>
        <c:spPr>
          <a:solidFill>
            <a:schemeClr val="accent5">
              <a:lumMod val="75000"/>
            </a:schemeClr>
          </a:solidFill>
          <a:ln>
            <a:solidFill>
              <a:schemeClr val="accent5">
                <a:lumMod val="60000"/>
                <a:lumOff val="40000"/>
              </a:schemeClr>
            </a:solidFill>
          </a:ln>
          <a:effectLst/>
        </c:spPr>
      </c:pivotFmt>
      <c:pivotFmt>
        <c:idx val="12"/>
        <c:spPr>
          <a:solidFill>
            <a:schemeClr val="accent5">
              <a:lumMod val="75000"/>
            </a:schemeClr>
          </a:solidFill>
          <a:ln>
            <a:solidFill>
              <a:schemeClr val="accent5">
                <a:lumMod val="60000"/>
                <a:lumOff val="40000"/>
              </a:schemeClr>
            </a:solidFill>
          </a:ln>
          <a:effectLst/>
        </c:spPr>
      </c:pivotFmt>
      <c:pivotFmt>
        <c:idx val="13"/>
        <c:spPr>
          <a:solidFill>
            <a:schemeClr val="accent5">
              <a:lumMod val="60000"/>
              <a:lumOff val="40000"/>
            </a:schemeClr>
          </a:solidFill>
          <a:ln>
            <a:solidFill>
              <a:schemeClr val="accent5">
                <a:lumMod val="40000"/>
                <a:lumOff val="60000"/>
              </a:schemeClr>
            </a:solidFill>
          </a:ln>
          <a:effectLst/>
        </c:spPr>
      </c:pivotFmt>
      <c:pivotFmt>
        <c:idx val="14"/>
        <c:spPr>
          <a:solidFill>
            <a:schemeClr val="accent5">
              <a:lumMod val="40000"/>
              <a:lumOff val="6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60000"/>
              <a:lumOff val="4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5">
              <a:lumMod val="50000"/>
            </a:schemeClr>
          </a:solidFill>
          <a:ln>
            <a:noFill/>
          </a:ln>
          <a:effectLst/>
        </c:spPr>
      </c:pivotFmt>
      <c:pivotFmt>
        <c:idx val="19"/>
        <c:spPr>
          <a:solidFill>
            <a:schemeClr val="accent5">
              <a:lumMod val="75000"/>
            </a:schemeClr>
          </a:solidFill>
          <a:ln>
            <a:noFill/>
          </a:ln>
          <a:effectLst/>
        </c:spPr>
      </c:pivotFmt>
      <c:pivotFmt>
        <c:idx val="20"/>
        <c:spPr>
          <a:solidFill>
            <a:schemeClr val="accent5">
              <a:lumMod val="60000"/>
              <a:lumOff val="40000"/>
            </a:schemeClr>
          </a:solidFill>
          <a:ln>
            <a:noFill/>
          </a:ln>
          <a:effectLst/>
        </c:spPr>
      </c:pivotFmt>
      <c:pivotFmt>
        <c:idx val="21"/>
        <c:spPr>
          <a:solidFill>
            <a:schemeClr val="accent5">
              <a:lumMod val="40000"/>
              <a:lumOff val="60000"/>
            </a:schemeClr>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50000"/>
            </a:schemeClr>
          </a:solidFill>
          <a:ln>
            <a:noFill/>
          </a:ln>
          <a:effectLst/>
        </c:spPr>
      </c:pivotFmt>
      <c:pivotFmt>
        <c:idx val="24"/>
        <c:spPr>
          <a:solidFill>
            <a:schemeClr val="accent5">
              <a:lumMod val="75000"/>
            </a:schemeClr>
          </a:solidFill>
          <a:ln>
            <a:noFill/>
          </a:ln>
          <a:effectLst/>
        </c:spPr>
      </c:pivotFmt>
      <c:pivotFmt>
        <c:idx val="25"/>
        <c:spPr>
          <a:solidFill>
            <a:schemeClr val="accent5">
              <a:lumMod val="60000"/>
              <a:lumOff val="40000"/>
            </a:schemeClr>
          </a:solidFill>
          <a:ln>
            <a:noFill/>
          </a:ln>
          <a:effectLst/>
        </c:spPr>
      </c:pivotFmt>
      <c:pivotFmt>
        <c:idx val="26"/>
        <c:spPr>
          <a:solidFill>
            <a:schemeClr val="accent5">
              <a:lumMod val="40000"/>
              <a:lumOff val="60000"/>
            </a:schemeClr>
          </a:solidFill>
          <a:ln>
            <a:noFill/>
          </a:ln>
          <a:effectLst/>
        </c:spPr>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lumMod val="50000"/>
            </a:schemeClr>
          </a:solidFill>
          <a:ln>
            <a:noFill/>
          </a:ln>
          <a:effectLst/>
        </c:spPr>
      </c:pivotFmt>
      <c:pivotFmt>
        <c:idx val="29"/>
        <c:spPr>
          <a:solidFill>
            <a:schemeClr val="accent5">
              <a:lumMod val="75000"/>
            </a:schemeClr>
          </a:solidFill>
          <a:ln>
            <a:noFill/>
          </a:ln>
          <a:effectLst/>
        </c:spPr>
      </c:pivotFmt>
      <c:pivotFmt>
        <c:idx val="30"/>
        <c:spPr>
          <a:solidFill>
            <a:schemeClr val="accent5">
              <a:lumMod val="75000"/>
            </a:schemeClr>
          </a:solidFill>
          <a:ln>
            <a:noFill/>
          </a:ln>
          <a:effectLst/>
        </c:spPr>
      </c:pivotFmt>
      <c:pivotFmt>
        <c:idx val="31"/>
        <c:spPr>
          <a:solidFill>
            <a:schemeClr val="accent5">
              <a:lumMod val="75000"/>
            </a:schemeClr>
          </a:solidFill>
          <a:ln>
            <a:noFill/>
          </a:ln>
          <a:effectLst/>
        </c:spPr>
      </c:pivotFmt>
      <c:pivotFmt>
        <c:idx val="32"/>
        <c:spPr>
          <a:solidFill>
            <a:schemeClr val="accent5">
              <a:lumMod val="60000"/>
              <a:lumOff val="40000"/>
            </a:schemeClr>
          </a:solidFill>
          <a:ln>
            <a:noFill/>
          </a:ln>
          <a:effectLst/>
        </c:spPr>
      </c:pivotFmt>
      <c:pivotFmt>
        <c:idx val="33"/>
        <c:spPr>
          <a:solidFill>
            <a:schemeClr val="accent5">
              <a:lumMod val="60000"/>
              <a:lumOff val="40000"/>
            </a:schemeClr>
          </a:solidFill>
          <a:ln>
            <a:noFill/>
          </a:ln>
          <a:effectLst/>
        </c:spPr>
      </c:pivotFmt>
      <c:pivotFmt>
        <c:idx val="34"/>
        <c:spPr>
          <a:solidFill>
            <a:schemeClr val="accent5">
              <a:lumMod val="40000"/>
              <a:lumOff val="60000"/>
            </a:schemeClr>
          </a:solidFill>
          <a:ln>
            <a:noFill/>
          </a:ln>
          <a:effectLst/>
        </c:spPr>
      </c:pivotFmt>
      <c:pivotFmt>
        <c:idx val="35"/>
        <c:spPr>
          <a:solidFill>
            <a:schemeClr val="accent5">
              <a:lumMod val="40000"/>
              <a:lumOff val="60000"/>
            </a:schemeClr>
          </a:solidFill>
          <a:ln>
            <a:noFill/>
          </a:ln>
          <a:effectLst/>
        </c:spPr>
      </c:pivotFmt>
      <c:pivotFmt>
        <c:idx val="36"/>
        <c:spPr>
          <a:solidFill>
            <a:schemeClr val="accent5">
              <a:lumMod val="20000"/>
              <a:lumOff val="80000"/>
            </a:schemeClr>
          </a:solidFill>
          <a:ln>
            <a:noFill/>
          </a:ln>
          <a:effectLst/>
        </c:spPr>
      </c:pivotFmt>
      <c:pivotFmt>
        <c:idx val="37"/>
        <c:spPr>
          <a:solidFill>
            <a:schemeClr val="accent5">
              <a:lumMod val="20000"/>
              <a:lumOff val="80000"/>
            </a:schemeClr>
          </a:solidFill>
          <a:ln>
            <a:noFill/>
          </a:ln>
          <a:effectLst/>
        </c:spP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5">
              <a:lumMod val="20000"/>
              <a:lumOff val="80000"/>
            </a:schemeClr>
          </a:solidFill>
          <a:ln>
            <a:noFill/>
          </a:ln>
          <a:effectLst/>
        </c:spPr>
      </c:pivotFmt>
      <c:pivotFmt>
        <c:idx val="40"/>
        <c:spPr>
          <a:solidFill>
            <a:schemeClr val="accent5">
              <a:lumMod val="20000"/>
              <a:lumOff val="80000"/>
            </a:schemeClr>
          </a:solidFill>
          <a:ln>
            <a:noFill/>
          </a:ln>
          <a:effectLst/>
        </c:spPr>
      </c:pivotFmt>
      <c:pivotFmt>
        <c:idx val="41"/>
        <c:spPr>
          <a:solidFill>
            <a:schemeClr val="accent5">
              <a:lumMod val="40000"/>
              <a:lumOff val="60000"/>
            </a:schemeClr>
          </a:solidFill>
          <a:ln>
            <a:noFill/>
          </a:ln>
          <a:effectLst/>
        </c:spPr>
      </c:pivotFmt>
      <c:pivotFmt>
        <c:idx val="42"/>
        <c:spPr>
          <a:solidFill>
            <a:schemeClr val="accent5">
              <a:lumMod val="40000"/>
              <a:lumOff val="60000"/>
            </a:schemeClr>
          </a:solidFill>
          <a:ln>
            <a:noFill/>
          </a:ln>
          <a:effectLst/>
        </c:spPr>
      </c:pivotFmt>
      <c:pivotFmt>
        <c:idx val="43"/>
        <c:spPr>
          <a:solidFill>
            <a:schemeClr val="accent5">
              <a:lumMod val="60000"/>
              <a:lumOff val="40000"/>
            </a:schemeClr>
          </a:solidFill>
          <a:ln>
            <a:noFill/>
          </a:ln>
          <a:effectLst/>
        </c:spPr>
      </c:pivotFmt>
      <c:pivotFmt>
        <c:idx val="44"/>
        <c:spPr>
          <a:solidFill>
            <a:schemeClr val="accent5">
              <a:lumMod val="60000"/>
              <a:lumOff val="40000"/>
            </a:schemeClr>
          </a:solidFill>
          <a:ln>
            <a:noFill/>
          </a:ln>
          <a:effectLst/>
        </c:spPr>
      </c:pivotFmt>
      <c:pivotFmt>
        <c:idx val="45"/>
        <c:spPr>
          <a:solidFill>
            <a:schemeClr val="accent5">
              <a:lumMod val="75000"/>
            </a:schemeClr>
          </a:solidFill>
          <a:ln>
            <a:noFill/>
          </a:ln>
          <a:effectLst/>
        </c:spPr>
      </c:pivotFmt>
      <c:pivotFmt>
        <c:idx val="46"/>
        <c:spPr>
          <a:solidFill>
            <a:schemeClr val="accent5">
              <a:lumMod val="75000"/>
            </a:schemeClr>
          </a:solidFill>
          <a:ln>
            <a:noFill/>
          </a:ln>
          <a:effectLst/>
        </c:spPr>
      </c:pivotFmt>
      <c:pivotFmt>
        <c:idx val="47"/>
        <c:spPr>
          <a:solidFill>
            <a:schemeClr val="accent5">
              <a:lumMod val="75000"/>
            </a:schemeClr>
          </a:solidFill>
          <a:ln>
            <a:noFill/>
          </a:ln>
          <a:effectLst/>
        </c:spPr>
      </c:pivotFmt>
      <c:pivotFmt>
        <c:idx val="48"/>
        <c:spPr>
          <a:solidFill>
            <a:schemeClr val="accent1">
              <a:lumMod val="50000"/>
            </a:schemeClr>
          </a:solidFill>
          <a:ln>
            <a:noFill/>
          </a:ln>
          <a:effectLst/>
        </c:spPr>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5">
              <a:lumMod val="20000"/>
              <a:lumOff val="80000"/>
            </a:schemeClr>
          </a:solidFill>
          <a:ln>
            <a:noFill/>
          </a:ln>
          <a:effectLst/>
        </c:spPr>
      </c:pivotFmt>
      <c:pivotFmt>
        <c:idx val="51"/>
        <c:spPr>
          <a:solidFill>
            <a:schemeClr val="accent5">
              <a:lumMod val="20000"/>
              <a:lumOff val="80000"/>
            </a:schemeClr>
          </a:solidFill>
          <a:ln>
            <a:noFill/>
          </a:ln>
          <a:effectLst/>
        </c:spPr>
      </c:pivotFmt>
      <c:pivotFmt>
        <c:idx val="52"/>
        <c:spPr>
          <a:solidFill>
            <a:schemeClr val="accent5">
              <a:lumMod val="40000"/>
              <a:lumOff val="60000"/>
            </a:schemeClr>
          </a:solidFill>
          <a:ln>
            <a:noFill/>
          </a:ln>
          <a:effectLst/>
        </c:spPr>
      </c:pivotFmt>
      <c:pivotFmt>
        <c:idx val="53"/>
        <c:spPr>
          <a:solidFill>
            <a:schemeClr val="accent5">
              <a:lumMod val="40000"/>
              <a:lumOff val="60000"/>
            </a:schemeClr>
          </a:solidFill>
          <a:ln>
            <a:noFill/>
          </a:ln>
          <a:effectLst/>
        </c:spPr>
      </c:pivotFmt>
      <c:pivotFmt>
        <c:idx val="54"/>
        <c:spPr>
          <a:solidFill>
            <a:schemeClr val="accent5">
              <a:lumMod val="60000"/>
              <a:lumOff val="40000"/>
            </a:schemeClr>
          </a:solidFill>
          <a:ln>
            <a:noFill/>
          </a:ln>
          <a:effectLst/>
        </c:spPr>
      </c:pivotFmt>
      <c:pivotFmt>
        <c:idx val="55"/>
        <c:spPr>
          <a:solidFill>
            <a:schemeClr val="accent5">
              <a:lumMod val="60000"/>
              <a:lumOff val="40000"/>
            </a:schemeClr>
          </a:solidFill>
          <a:ln>
            <a:noFill/>
          </a:ln>
          <a:effectLst/>
        </c:spPr>
      </c:pivotFmt>
      <c:pivotFmt>
        <c:idx val="56"/>
        <c:spPr>
          <a:solidFill>
            <a:schemeClr val="accent5">
              <a:lumMod val="75000"/>
            </a:schemeClr>
          </a:solidFill>
          <a:ln>
            <a:noFill/>
          </a:ln>
          <a:effectLst/>
        </c:spPr>
      </c:pivotFmt>
      <c:pivotFmt>
        <c:idx val="57"/>
        <c:spPr>
          <a:solidFill>
            <a:schemeClr val="accent5">
              <a:lumMod val="75000"/>
            </a:schemeClr>
          </a:solidFill>
          <a:ln>
            <a:noFill/>
          </a:ln>
          <a:effectLst/>
        </c:spPr>
      </c:pivotFmt>
      <c:pivotFmt>
        <c:idx val="58"/>
        <c:spPr>
          <a:solidFill>
            <a:schemeClr val="accent5">
              <a:lumMod val="75000"/>
            </a:schemeClr>
          </a:solidFill>
          <a:ln>
            <a:noFill/>
          </a:ln>
          <a:effectLst/>
        </c:spPr>
      </c:pivotFmt>
      <c:pivotFmt>
        <c:idx val="59"/>
        <c:spPr>
          <a:solidFill>
            <a:schemeClr val="accent1">
              <a:lumMod val="50000"/>
            </a:schemeClr>
          </a:solidFill>
          <a:ln>
            <a:noFill/>
          </a:ln>
          <a:effectLst/>
        </c:spPr>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5">
              <a:lumMod val="20000"/>
              <a:lumOff val="80000"/>
            </a:schemeClr>
          </a:solidFill>
          <a:ln>
            <a:noFill/>
          </a:ln>
          <a:effectLst/>
        </c:spPr>
      </c:pivotFmt>
      <c:pivotFmt>
        <c:idx val="62"/>
        <c:spPr>
          <a:solidFill>
            <a:schemeClr val="accent5">
              <a:lumMod val="20000"/>
              <a:lumOff val="80000"/>
            </a:schemeClr>
          </a:solidFill>
          <a:ln>
            <a:noFill/>
          </a:ln>
          <a:effectLst/>
        </c:spPr>
      </c:pivotFmt>
      <c:pivotFmt>
        <c:idx val="63"/>
        <c:spPr>
          <a:solidFill>
            <a:schemeClr val="accent5">
              <a:lumMod val="40000"/>
              <a:lumOff val="60000"/>
            </a:schemeClr>
          </a:solidFill>
          <a:ln>
            <a:noFill/>
          </a:ln>
          <a:effectLst/>
        </c:spPr>
      </c:pivotFmt>
      <c:pivotFmt>
        <c:idx val="64"/>
        <c:spPr>
          <a:solidFill>
            <a:schemeClr val="accent5">
              <a:lumMod val="40000"/>
              <a:lumOff val="60000"/>
            </a:schemeClr>
          </a:solidFill>
          <a:ln>
            <a:noFill/>
          </a:ln>
          <a:effectLst/>
        </c:spPr>
      </c:pivotFmt>
      <c:pivotFmt>
        <c:idx val="65"/>
        <c:spPr>
          <a:solidFill>
            <a:schemeClr val="accent5">
              <a:lumMod val="60000"/>
              <a:lumOff val="40000"/>
            </a:schemeClr>
          </a:solidFill>
          <a:ln>
            <a:noFill/>
          </a:ln>
          <a:effectLst/>
        </c:spPr>
      </c:pivotFmt>
      <c:pivotFmt>
        <c:idx val="66"/>
        <c:spPr>
          <a:solidFill>
            <a:schemeClr val="accent5">
              <a:lumMod val="60000"/>
              <a:lumOff val="40000"/>
            </a:schemeClr>
          </a:solidFill>
          <a:ln>
            <a:noFill/>
          </a:ln>
          <a:effectLst/>
        </c:spPr>
      </c:pivotFmt>
      <c:pivotFmt>
        <c:idx val="67"/>
        <c:spPr>
          <a:solidFill>
            <a:schemeClr val="accent5">
              <a:lumMod val="75000"/>
            </a:schemeClr>
          </a:solidFill>
          <a:ln>
            <a:noFill/>
          </a:ln>
          <a:effectLst/>
        </c:spPr>
      </c:pivotFmt>
      <c:pivotFmt>
        <c:idx val="68"/>
        <c:spPr>
          <a:solidFill>
            <a:schemeClr val="accent5">
              <a:lumMod val="75000"/>
            </a:schemeClr>
          </a:solidFill>
          <a:ln>
            <a:noFill/>
          </a:ln>
          <a:effectLst/>
        </c:spPr>
      </c:pivotFmt>
      <c:pivotFmt>
        <c:idx val="69"/>
        <c:spPr>
          <a:solidFill>
            <a:schemeClr val="accent5">
              <a:lumMod val="75000"/>
            </a:schemeClr>
          </a:solidFill>
          <a:ln>
            <a:noFill/>
          </a:ln>
          <a:effectLst/>
        </c:spPr>
      </c:pivotFmt>
      <c:pivotFmt>
        <c:idx val="70"/>
        <c:spPr>
          <a:solidFill>
            <a:schemeClr val="accent1">
              <a:lumMod val="50000"/>
            </a:schemeClr>
          </a:solidFill>
          <a:ln>
            <a:noFill/>
          </a:ln>
          <a:effectLst/>
        </c:spPr>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5">
              <a:lumMod val="20000"/>
              <a:lumOff val="80000"/>
            </a:schemeClr>
          </a:solidFill>
          <a:ln>
            <a:noFill/>
          </a:ln>
          <a:effectLst/>
        </c:spPr>
      </c:pivotFmt>
      <c:pivotFmt>
        <c:idx val="73"/>
        <c:spPr>
          <a:solidFill>
            <a:schemeClr val="accent5">
              <a:lumMod val="20000"/>
              <a:lumOff val="80000"/>
            </a:schemeClr>
          </a:solidFill>
          <a:ln>
            <a:noFill/>
          </a:ln>
          <a:effectLst/>
        </c:spPr>
      </c:pivotFmt>
      <c:pivotFmt>
        <c:idx val="74"/>
        <c:spPr>
          <a:solidFill>
            <a:schemeClr val="accent5">
              <a:lumMod val="40000"/>
              <a:lumOff val="60000"/>
            </a:schemeClr>
          </a:solidFill>
          <a:ln>
            <a:noFill/>
          </a:ln>
          <a:effectLst/>
        </c:spPr>
      </c:pivotFmt>
      <c:pivotFmt>
        <c:idx val="75"/>
        <c:spPr>
          <a:solidFill>
            <a:schemeClr val="accent5">
              <a:lumMod val="40000"/>
              <a:lumOff val="60000"/>
            </a:schemeClr>
          </a:solidFill>
          <a:ln>
            <a:noFill/>
          </a:ln>
          <a:effectLst/>
        </c:spPr>
      </c:pivotFmt>
      <c:pivotFmt>
        <c:idx val="76"/>
        <c:spPr>
          <a:solidFill>
            <a:schemeClr val="accent5">
              <a:lumMod val="60000"/>
              <a:lumOff val="40000"/>
            </a:schemeClr>
          </a:solidFill>
          <a:ln>
            <a:noFill/>
          </a:ln>
          <a:effectLst/>
        </c:spPr>
      </c:pivotFmt>
      <c:pivotFmt>
        <c:idx val="77"/>
        <c:spPr>
          <a:solidFill>
            <a:schemeClr val="accent5">
              <a:lumMod val="60000"/>
              <a:lumOff val="40000"/>
            </a:schemeClr>
          </a:solidFill>
          <a:ln>
            <a:noFill/>
          </a:ln>
          <a:effectLst/>
        </c:spPr>
      </c:pivotFmt>
      <c:pivotFmt>
        <c:idx val="78"/>
        <c:spPr>
          <a:solidFill>
            <a:schemeClr val="accent5">
              <a:lumMod val="75000"/>
            </a:schemeClr>
          </a:solidFill>
          <a:ln>
            <a:noFill/>
          </a:ln>
          <a:effectLst/>
        </c:spPr>
      </c:pivotFmt>
      <c:pivotFmt>
        <c:idx val="79"/>
        <c:spPr>
          <a:solidFill>
            <a:schemeClr val="accent5">
              <a:lumMod val="75000"/>
            </a:schemeClr>
          </a:solidFill>
          <a:ln>
            <a:noFill/>
          </a:ln>
          <a:effectLst/>
        </c:spPr>
      </c:pivotFmt>
      <c:pivotFmt>
        <c:idx val="80"/>
        <c:spPr>
          <a:solidFill>
            <a:schemeClr val="accent5">
              <a:lumMod val="75000"/>
            </a:schemeClr>
          </a:solidFill>
          <a:ln>
            <a:noFill/>
          </a:ln>
          <a:effectLst/>
        </c:spPr>
      </c:pivotFmt>
      <c:pivotFmt>
        <c:idx val="81"/>
        <c:spPr>
          <a:solidFill>
            <a:schemeClr val="accent1">
              <a:lumMod val="50000"/>
            </a:schemeClr>
          </a:solidFill>
          <a:ln>
            <a:noFill/>
          </a:ln>
          <a:effectLst/>
        </c:spPr>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1">
              <a:lumMod val="50000"/>
            </a:schemeClr>
          </a:solidFill>
          <a:ln>
            <a:noFill/>
          </a:ln>
          <a:effectLst/>
        </c:spPr>
      </c:pivotFmt>
      <c:pivotFmt>
        <c:idx val="84"/>
        <c:spPr>
          <a:solidFill>
            <a:schemeClr val="accent5">
              <a:lumMod val="75000"/>
            </a:schemeClr>
          </a:solidFill>
          <a:ln>
            <a:noFill/>
          </a:ln>
          <a:effectLst/>
        </c:spPr>
      </c:pivotFmt>
      <c:pivotFmt>
        <c:idx val="85"/>
        <c:spPr>
          <a:solidFill>
            <a:schemeClr val="accent5">
              <a:lumMod val="75000"/>
            </a:schemeClr>
          </a:solidFill>
          <a:ln>
            <a:noFill/>
          </a:ln>
          <a:effectLst/>
        </c:spPr>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1">
              <a:lumMod val="50000"/>
            </a:schemeClr>
          </a:solidFill>
          <a:ln>
            <a:noFill/>
          </a:ln>
          <a:effectLst/>
        </c:spPr>
      </c:pivotFmt>
      <c:pivotFmt>
        <c:idx val="88"/>
        <c:spPr>
          <a:solidFill>
            <a:schemeClr val="accent5">
              <a:lumMod val="75000"/>
            </a:schemeClr>
          </a:solidFill>
          <a:ln>
            <a:noFill/>
          </a:ln>
          <a:effectLst/>
        </c:spPr>
      </c:pivotFmt>
      <c:pivotFmt>
        <c:idx val="89"/>
        <c:spPr>
          <a:solidFill>
            <a:schemeClr val="accent5">
              <a:lumMod val="75000"/>
            </a:schemeClr>
          </a:solidFill>
          <a:ln>
            <a:noFill/>
          </a:ln>
          <a:effectLst/>
        </c:spPr>
      </c:pivotFmt>
    </c:pivotFmts>
    <c:plotArea>
      <c:layout>
        <c:manualLayout>
          <c:layoutTarget val="inner"/>
          <c:xMode val="edge"/>
          <c:yMode val="edge"/>
          <c:x val="6.6772342479873806E-2"/>
          <c:y val="0.14564760926623305"/>
          <c:w val="0.83254031413061058"/>
          <c:h val="0.72748259728403519"/>
        </c:manualLayout>
      </c:layout>
      <c:barChart>
        <c:barDir val="bar"/>
        <c:grouping val="clustered"/>
        <c:varyColors val="0"/>
        <c:ser>
          <c:idx val="0"/>
          <c:order val="0"/>
          <c:tx>
            <c:strRef>
              <c:f>'TOP 10 CUSTOMERS'!$B$3</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50000"/>
                </a:schemeClr>
              </a:solidFill>
              <a:ln>
                <a:noFill/>
              </a:ln>
              <a:effectLst/>
            </c:spPr>
            <c:extLst>
              <c:ext xmlns:c16="http://schemas.microsoft.com/office/drawing/2014/chart" uri="{C3380CC4-5D6E-409C-BE32-E72D297353CC}">
                <c16:uniqueId val="{00000001-995B-4231-ABFB-CDAD6124A3CF}"/>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995B-4231-ABFB-CDAD6124A3CF}"/>
              </c:ext>
            </c:extLst>
          </c:dPt>
          <c:dPt>
            <c:idx val="2"/>
            <c:invertIfNegative val="0"/>
            <c:bubble3D val="0"/>
            <c:spPr>
              <a:solidFill>
                <a:schemeClr val="accent5">
                  <a:lumMod val="75000"/>
                </a:schemeClr>
              </a:solidFill>
              <a:ln>
                <a:noFill/>
              </a:ln>
              <a:effectLst/>
            </c:spPr>
            <c:extLst>
              <c:ext xmlns:c16="http://schemas.microsoft.com/office/drawing/2014/chart" uri="{C3380CC4-5D6E-409C-BE32-E72D297353CC}">
                <c16:uniqueId val="{00000005-995B-4231-ABFB-CDAD6124A3CF}"/>
              </c:ext>
            </c:extLst>
          </c:dPt>
          <c:dPt>
            <c:idx val="3"/>
            <c:invertIfNegative val="0"/>
            <c:bubble3D val="0"/>
            <c:extLst>
              <c:ext xmlns:c16="http://schemas.microsoft.com/office/drawing/2014/chart" uri="{C3380CC4-5D6E-409C-BE32-E72D297353CC}">
                <c16:uniqueId val="{00000006-995B-4231-ABFB-CDAD6124A3CF}"/>
              </c:ext>
            </c:extLst>
          </c:dPt>
          <c:dPt>
            <c:idx val="4"/>
            <c:invertIfNegative val="0"/>
            <c:bubble3D val="0"/>
            <c:extLst>
              <c:ext xmlns:c16="http://schemas.microsoft.com/office/drawing/2014/chart" uri="{C3380CC4-5D6E-409C-BE32-E72D297353CC}">
                <c16:uniqueId val="{00000007-995B-4231-ABFB-CDAD6124A3CF}"/>
              </c:ext>
            </c:extLst>
          </c:dPt>
          <c:dPt>
            <c:idx val="5"/>
            <c:invertIfNegative val="0"/>
            <c:bubble3D val="0"/>
            <c:extLst>
              <c:ext xmlns:c16="http://schemas.microsoft.com/office/drawing/2014/chart" uri="{C3380CC4-5D6E-409C-BE32-E72D297353CC}">
                <c16:uniqueId val="{00000008-995B-4231-ABFB-CDAD6124A3CF}"/>
              </c:ext>
            </c:extLst>
          </c:dPt>
          <c:dPt>
            <c:idx val="6"/>
            <c:invertIfNegative val="0"/>
            <c:bubble3D val="0"/>
            <c:extLst>
              <c:ext xmlns:c16="http://schemas.microsoft.com/office/drawing/2014/chart" uri="{C3380CC4-5D6E-409C-BE32-E72D297353CC}">
                <c16:uniqueId val="{00000009-995B-4231-ABFB-CDAD6124A3CF}"/>
              </c:ext>
            </c:extLst>
          </c:dPt>
          <c:dPt>
            <c:idx val="7"/>
            <c:invertIfNegative val="0"/>
            <c:bubble3D val="0"/>
            <c:extLst>
              <c:ext xmlns:c16="http://schemas.microsoft.com/office/drawing/2014/chart" uri="{C3380CC4-5D6E-409C-BE32-E72D297353CC}">
                <c16:uniqueId val="{0000000A-995B-4231-ABFB-CDAD6124A3CF}"/>
              </c:ext>
            </c:extLst>
          </c:dPt>
          <c:dPt>
            <c:idx val="8"/>
            <c:invertIfNegative val="0"/>
            <c:bubble3D val="0"/>
            <c:extLst>
              <c:ext xmlns:c16="http://schemas.microsoft.com/office/drawing/2014/chart" uri="{C3380CC4-5D6E-409C-BE32-E72D297353CC}">
                <c16:uniqueId val="{0000000B-995B-4231-ABFB-CDAD6124A3CF}"/>
              </c:ext>
            </c:extLst>
          </c:dPt>
          <c:dPt>
            <c:idx val="9"/>
            <c:invertIfNegative val="0"/>
            <c:bubble3D val="0"/>
            <c:extLst>
              <c:ext xmlns:c16="http://schemas.microsoft.com/office/drawing/2014/chart" uri="{C3380CC4-5D6E-409C-BE32-E72D297353CC}">
                <c16:uniqueId val="{0000000C-995B-4231-ABFB-CDAD6124A3CF}"/>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CUSTOMERS'!$A$4:$A$7</c:f>
              <c:strCache>
                <c:ptCount val="3"/>
                <c:pt idx="0">
                  <c:v>Company D</c:v>
                </c:pt>
                <c:pt idx="1">
                  <c:v>Company H</c:v>
                </c:pt>
                <c:pt idx="2">
                  <c:v>Company BB</c:v>
                </c:pt>
              </c:strCache>
            </c:strRef>
          </c:cat>
          <c:val>
            <c:numRef>
              <c:f>'TOP 10 CUSTOMERS'!$B$4:$B$7</c:f>
              <c:numCache>
                <c:formatCode>0.00%</c:formatCode>
                <c:ptCount val="3"/>
                <c:pt idx="0">
                  <c:v>0.41700638447044525</c:v>
                </c:pt>
                <c:pt idx="1">
                  <c:v>0.31165594932646645</c:v>
                </c:pt>
                <c:pt idx="2">
                  <c:v>0.2713376662030883</c:v>
                </c:pt>
              </c:numCache>
            </c:numRef>
          </c:val>
          <c:extLst>
            <c:ext xmlns:c16="http://schemas.microsoft.com/office/drawing/2014/chart" uri="{C3380CC4-5D6E-409C-BE32-E72D297353CC}">
              <c16:uniqueId val="{0000000D-995B-4231-ABFB-CDAD6124A3CF}"/>
            </c:ext>
          </c:extLst>
        </c:ser>
        <c:dLbls>
          <c:showLegendKey val="0"/>
          <c:showVal val="0"/>
          <c:showCatName val="0"/>
          <c:showSerName val="0"/>
          <c:showPercent val="0"/>
          <c:showBubbleSize val="0"/>
        </c:dLbls>
        <c:gapWidth val="100"/>
        <c:axId val="1789857904"/>
        <c:axId val="1789881904"/>
      </c:barChart>
      <c:valAx>
        <c:axId val="1789881904"/>
        <c:scaling>
          <c:orientation val="minMax"/>
        </c:scaling>
        <c:delete val="1"/>
        <c:axPos val="b"/>
        <c:majorGridlines>
          <c:spPr>
            <a:ln w="9525" cap="flat" cmpd="sng" algn="ctr">
              <a:noFill/>
              <a:round/>
            </a:ln>
            <a:effectLst/>
          </c:spPr>
        </c:majorGridlines>
        <c:numFmt formatCode="0.00%" sourceLinked="1"/>
        <c:majorTickMark val="out"/>
        <c:minorTickMark val="none"/>
        <c:tickLblPos val="nextTo"/>
        <c:crossAx val="1789857904"/>
        <c:crosses val="autoZero"/>
        <c:crossBetween val="between"/>
      </c:valAx>
      <c:catAx>
        <c:axId val="1789857904"/>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crossAx val="1789881904"/>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[FlutterCo Sales Data.xlsx]SALES PERFORMANCE BY REPS!PivotTable2</c:name>
    <c:fmtId val="15"/>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2000" i="0">
                <a:solidFill>
                  <a:srgbClr val="002060"/>
                </a:solidFill>
                <a:latin typeface="Arial" panose="020B0604020202020204" pitchFamily="34" charset="0"/>
                <a:cs typeface="Arial" panose="020B0604020202020204" pitchFamily="34" charset="0"/>
              </a:rPr>
              <a:t>Sales</a:t>
            </a:r>
            <a:r>
              <a:rPr lang="en-US" sz="2000" i="0" baseline="0">
                <a:solidFill>
                  <a:srgbClr val="002060"/>
                </a:solidFill>
                <a:latin typeface="Arial" panose="020B0604020202020204" pitchFamily="34" charset="0"/>
                <a:cs typeface="Arial" panose="020B0604020202020204" pitchFamily="34" charset="0"/>
              </a:rPr>
              <a:t> Performance by Reps</a:t>
            </a:r>
            <a:endParaRPr lang="en-US" sz="2000" i="0">
              <a:solidFill>
                <a:srgbClr val="002060"/>
              </a:solidFill>
              <a:latin typeface="Arial" panose="020B0604020202020204" pitchFamily="34" charset="0"/>
              <a:cs typeface="Arial" panose="020B0604020202020204" pitchFamily="34" charset="0"/>
            </a:endParaRPr>
          </a:p>
        </c:rich>
      </c:tx>
      <c:layout>
        <c:manualLayout>
          <c:xMode val="edge"/>
          <c:yMode val="edge"/>
          <c:x val="0.42947597372827356"/>
          <c:y val="3.4326767070743405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dLbl>
          <c:idx val="0"/>
          <c:layout>
            <c:manualLayout>
              <c:x val="-1.3877787807814457E-17"/>
              <c:y val="1.03092783505154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2187950301008858"/>
                  <c:h val="6.1804259003707E-2"/>
                </c:manualLayout>
              </c15:layout>
            </c:ext>
          </c:extLst>
        </c:dLbl>
      </c:pivotFmt>
      <c:pivotFmt>
        <c:idx val="2"/>
        <c:spPr>
          <a:solidFill>
            <a:schemeClr val="accent5">
              <a:lumMod val="75000"/>
            </a:schemeClr>
          </a:solidFill>
          <a:ln>
            <a:solidFill>
              <a:schemeClr val="accent5">
                <a:lumMod val="60000"/>
                <a:lumOff val="40000"/>
              </a:schemeClr>
            </a:solidFill>
          </a:ln>
          <a:effectLst/>
        </c:spPr>
      </c:pivotFmt>
      <c:pivotFmt>
        <c:idx val="3"/>
        <c:spPr>
          <a:solidFill>
            <a:schemeClr val="accent5">
              <a:lumMod val="75000"/>
            </a:schemeClr>
          </a:solidFill>
          <a:ln>
            <a:solidFill>
              <a:schemeClr val="accent5">
                <a:lumMod val="60000"/>
                <a:lumOff val="40000"/>
              </a:schemeClr>
            </a:solidFill>
          </a:ln>
          <a:effectLst/>
        </c:spPr>
      </c:pivotFmt>
      <c:pivotFmt>
        <c:idx val="4"/>
        <c:spPr>
          <a:solidFill>
            <a:schemeClr val="accent5">
              <a:lumMod val="60000"/>
              <a:lumOff val="40000"/>
            </a:schemeClr>
          </a:solidFill>
          <a:ln>
            <a:solidFill>
              <a:schemeClr val="accent5">
                <a:lumMod val="40000"/>
                <a:lumOff val="60000"/>
              </a:schemeClr>
            </a:solidFill>
          </a:ln>
          <a:effectLst/>
        </c:spPr>
      </c:pivotFmt>
      <c:pivotFmt>
        <c:idx val="5"/>
        <c:spPr>
          <a:solidFill>
            <a:schemeClr val="accent5">
              <a:lumMod val="40000"/>
              <a:lumOff val="6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60000"/>
              <a:lumOff val="40000"/>
            </a:schemeClr>
          </a:solidFill>
          <a:ln>
            <a:noFill/>
          </a:ln>
          <a:effectLst/>
        </c:spPr>
      </c:pivotFmt>
      <c:pivotFmt>
        <c:idx val="8"/>
        <c:spPr>
          <a:solidFill>
            <a:schemeClr val="accent5">
              <a:lumMod val="20000"/>
              <a:lumOff val="8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dLbl>
          <c:idx val="0"/>
          <c:layout>
            <c:manualLayout>
              <c:x val="-1.3877787807814457E-17"/>
              <c:y val="1.03092783505154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2187950301008858"/>
                  <c:h val="6.1804259003707E-2"/>
                </c:manualLayout>
              </c15:layout>
            </c:ext>
          </c:extLst>
        </c:dLbl>
      </c:pivotFmt>
      <c:pivotFmt>
        <c:idx val="11"/>
        <c:spPr>
          <a:solidFill>
            <a:schemeClr val="accent5">
              <a:lumMod val="75000"/>
            </a:schemeClr>
          </a:solidFill>
          <a:ln>
            <a:solidFill>
              <a:schemeClr val="accent5">
                <a:lumMod val="60000"/>
                <a:lumOff val="40000"/>
              </a:schemeClr>
            </a:solidFill>
          </a:ln>
          <a:effectLst/>
        </c:spPr>
      </c:pivotFmt>
      <c:pivotFmt>
        <c:idx val="12"/>
        <c:spPr>
          <a:solidFill>
            <a:schemeClr val="accent5">
              <a:lumMod val="75000"/>
            </a:schemeClr>
          </a:solidFill>
          <a:ln>
            <a:solidFill>
              <a:schemeClr val="accent5">
                <a:lumMod val="60000"/>
                <a:lumOff val="40000"/>
              </a:schemeClr>
            </a:solidFill>
          </a:ln>
          <a:effectLst/>
        </c:spPr>
      </c:pivotFmt>
      <c:pivotFmt>
        <c:idx val="13"/>
        <c:spPr>
          <a:solidFill>
            <a:schemeClr val="accent5">
              <a:lumMod val="60000"/>
              <a:lumOff val="40000"/>
            </a:schemeClr>
          </a:solidFill>
          <a:ln>
            <a:solidFill>
              <a:schemeClr val="accent5">
                <a:lumMod val="40000"/>
                <a:lumOff val="60000"/>
              </a:schemeClr>
            </a:solidFill>
          </a:ln>
          <a:effectLst/>
        </c:spPr>
      </c:pivotFmt>
      <c:pivotFmt>
        <c:idx val="14"/>
        <c:spPr>
          <a:solidFill>
            <a:schemeClr val="accent5">
              <a:lumMod val="40000"/>
              <a:lumOff val="6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60000"/>
              <a:lumOff val="4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5">
              <a:lumMod val="50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12187950301008858"/>
                  <c:h val="6.1804259003707E-2"/>
                </c:manualLayout>
              </c15:layout>
            </c:ext>
          </c:extLst>
        </c:dLbl>
      </c:pivotFmt>
      <c:pivotFmt>
        <c:idx val="20"/>
        <c:spPr>
          <a:solidFill>
            <a:schemeClr val="accent5">
              <a:lumMod val="75000"/>
            </a:schemeClr>
          </a:solidFill>
          <a:ln>
            <a:solidFill>
              <a:schemeClr val="accent5">
                <a:lumMod val="60000"/>
                <a:lumOff val="40000"/>
              </a:schemeClr>
            </a:solidFill>
          </a:ln>
          <a:effectLst/>
        </c:spPr>
      </c:pivotFmt>
      <c:pivotFmt>
        <c:idx val="21"/>
        <c:spPr>
          <a:solidFill>
            <a:schemeClr val="accent5">
              <a:lumMod val="75000"/>
            </a:schemeClr>
          </a:solidFill>
          <a:ln>
            <a:solidFill>
              <a:schemeClr val="accent5">
                <a:lumMod val="60000"/>
                <a:lumOff val="40000"/>
              </a:schemeClr>
            </a:solidFill>
          </a:ln>
          <a:effectLst/>
        </c:spPr>
      </c:pivotFmt>
      <c:pivotFmt>
        <c:idx val="22"/>
        <c:spPr>
          <a:solidFill>
            <a:schemeClr val="accent5">
              <a:lumMod val="60000"/>
              <a:lumOff val="40000"/>
            </a:schemeClr>
          </a:solidFill>
          <a:ln>
            <a:solidFill>
              <a:schemeClr val="accent5">
                <a:lumMod val="40000"/>
                <a:lumOff val="60000"/>
              </a:schemeClr>
            </a:solidFill>
          </a:ln>
          <a:effectLst/>
        </c:spPr>
      </c:pivotFmt>
      <c:pivotFmt>
        <c:idx val="23"/>
        <c:spPr>
          <a:solidFill>
            <a:schemeClr val="accent5">
              <a:lumMod val="40000"/>
              <a:lumOff val="60000"/>
            </a:schemeClr>
          </a:solidFill>
          <a:ln>
            <a:noFill/>
          </a:ln>
          <a:effectLst/>
        </c:spPr>
      </c:pivotFmt>
      <c:pivotFmt>
        <c:idx val="24"/>
        <c:spPr>
          <a:solidFill>
            <a:schemeClr val="accent5">
              <a:lumMod val="40000"/>
              <a:lumOff val="60000"/>
            </a:schemeClr>
          </a:solidFill>
          <a:ln>
            <a:noFill/>
          </a:ln>
          <a:effectLst/>
        </c:spPr>
      </c:pivotFmt>
      <c:pivotFmt>
        <c:idx val="25"/>
        <c:spPr>
          <a:solidFill>
            <a:schemeClr val="accent5">
              <a:lumMod val="60000"/>
              <a:lumOff val="40000"/>
            </a:schemeClr>
          </a:solidFill>
          <a:ln>
            <a:noFill/>
          </a:ln>
          <a:effectLst/>
        </c:spPr>
      </c:pivotFmt>
      <c:pivotFmt>
        <c:idx val="26"/>
        <c:spPr>
          <a:solidFill>
            <a:schemeClr val="accent5">
              <a:lumMod val="20000"/>
              <a:lumOff val="80000"/>
            </a:schemeClr>
          </a:solidFill>
          <a:ln>
            <a:noFill/>
          </a:ln>
          <a:effectLst/>
        </c:spPr>
        <c:dLbl>
          <c:idx val="0"/>
          <c:layout>
            <c:manualLayout>
              <c:x val="1.5972495276820862E-3"/>
              <c:y val="1.0300598945493351E-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50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12187950301008858"/>
                  <c:h val="6.1804259003707E-2"/>
                </c:manualLayout>
              </c15:layout>
            </c:ext>
          </c:extLst>
        </c:dLbl>
      </c:pivotFmt>
      <c:pivotFmt>
        <c:idx val="29"/>
        <c:spPr>
          <a:solidFill>
            <a:schemeClr val="accent5">
              <a:lumMod val="75000"/>
            </a:schemeClr>
          </a:solidFill>
          <a:ln>
            <a:solidFill>
              <a:schemeClr val="accent5">
                <a:lumMod val="60000"/>
                <a:lumOff val="40000"/>
              </a:schemeClr>
            </a:solidFill>
          </a:ln>
          <a:effectLst/>
        </c:spPr>
      </c:pivotFmt>
      <c:pivotFmt>
        <c:idx val="30"/>
        <c:spPr>
          <a:solidFill>
            <a:schemeClr val="accent5">
              <a:lumMod val="75000"/>
            </a:schemeClr>
          </a:solidFill>
          <a:ln>
            <a:solidFill>
              <a:schemeClr val="accent5">
                <a:lumMod val="60000"/>
                <a:lumOff val="40000"/>
              </a:schemeClr>
            </a:solidFill>
          </a:ln>
          <a:effectLst/>
        </c:spPr>
      </c:pivotFmt>
      <c:pivotFmt>
        <c:idx val="31"/>
        <c:spPr>
          <a:solidFill>
            <a:schemeClr val="accent5">
              <a:lumMod val="60000"/>
              <a:lumOff val="40000"/>
            </a:schemeClr>
          </a:solidFill>
          <a:ln>
            <a:solidFill>
              <a:schemeClr val="accent5">
                <a:lumMod val="40000"/>
                <a:lumOff val="60000"/>
              </a:schemeClr>
            </a:solidFill>
          </a:ln>
          <a:effectLst/>
        </c:spPr>
      </c:pivotFmt>
      <c:pivotFmt>
        <c:idx val="32"/>
        <c:spPr>
          <a:solidFill>
            <a:schemeClr val="accent5">
              <a:lumMod val="40000"/>
              <a:lumOff val="60000"/>
            </a:schemeClr>
          </a:solidFill>
          <a:ln>
            <a:noFill/>
          </a:ln>
          <a:effectLst/>
        </c:spPr>
      </c:pivotFmt>
      <c:pivotFmt>
        <c:idx val="33"/>
        <c:spPr>
          <a:solidFill>
            <a:schemeClr val="accent5">
              <a:lumMod val="40000"/>
              <a:lumOff val="60000"/>
            </a:schemeClr>
          </a:solidFill>
          <a:ln>
            <a:noFill/>
          </a:ln>
          <a:effectLst/>
        </c:spPr>
      </c:pivotFmt>
      <c:pivotFmt>
        <c:idx val="34"/>
        <c:spPr>
          <a:solidFill>
            <a:schemeClr val="accent5">
              <a:lumMod val="60000"/>
              <a:lumOff val="40000"/>
            </a:schemeClr>
          </a:solidFill>
          <a:ln>
            <a:noFill/>
          </a:ln>
          <a:effectLst/>
        </c:spPr>
      </c:pivotFmt>
      <c:pivotFmt>
        <c:idx val="35"/>
        <c:spPr>
          <a:solidFill>
            <a:schemeClr val="accent5">
              <a:lumMod val="20000"/>
              <a:lumOff val="80000"/>
            </a:schemeClr>
          </a:solidFill>
          <a:ln>
            <a:noFill/>
          </a:ln>
          <a:effectLst/>
        </c:spPr>
        <c:dLbl>
          <c:idx val="0"/>
          <c:layout>
            <c:manualLayout>
              <c:x val="1.5972495276820862E-3"/>
              <c:y val="1.0300598945493351E-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5">
              <a:lumMod val="50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12187950301008858"/>
                  <c:h val="6.1804259003707E-2"/>
                </c:manualLayout>
              </c15:layout>
            </c:ext>
          </c:extLst>
        </c:dLbl>
      </c:pivotFmt>
      <c:pivotFmt>
        <c:idx val="38"/>
        <c:spPr>
          <a:solidFill>
            <a:schemeClr val="accent5">
              <a:lumMod val="75000"/>
            </a:schemeClr>
          </a:solidFill>
          <a:ln>
            <a:solidFill>
              <a:schemeClr val="accent5">
                <a:lumMod val="60000"/>
                <a:lumOff val="40000"/>
              </a:schemeClr>
            </a:solidFill>
          </a:ln>
          <a:effectLst/>
        </c:spPr>
      </c:pivotFmt>
      <c:pivotFmt>
        <c:idx val="39"/>
        <c:spPr>
          <a:solidFill>
            <a:schemeClr val="accent5">
              <a:lumMod val="75000"/>
            </a:schemeClr>
          </a:solidFill>
          <a:ln>
            <a:solidFill>
              <a:schemeClr val="accent5">
                <a:lumMod val="60000"/>
                <a:lumOff val="40000"/>
              </a:schemeClr>
            </a:solidFill>
          </a:ln>
          <a:effectLst/>
        </c:spPr>
      </c:pivotFmt>
      <c:pivotFmt>
        <c:idx val="40"/>
        <c:spPr>
          <a:solidFill>
            <a:schemeClr val="accent5">
              <a:lumMod val="60000"/>
              <a:lumOff val="40000"/>
            </a:schemeClr>
          </a:solidFill>
          <a:ln>
            <a:solidFill>
              <a:schemeClr val="accent5">
                <a:lumMod val="40000"/>
                <a:lumOff val="60000"/>
              </a:schemeClr>
            </a:solidFill>
          </a:ln>
          <a:effectLst/>
        </c:spPr>
      </c:pivotFmt>
      <c:pivotFmt>
        <c:idx val="41"/>
        <c:spPr>
          <a:solidFill>
            <a:schemeClr val="accent5">
              <a:lumMod val="40000"/>
              <a:lumOff val="60000"/>
            </a:schemeClr>
          </a:solidFill>
          <a:ln>
            <a:noFill/>
          </a:ln>
          <a:effectLst/>
        </c:spPr>
      </c:pivotFmt>
      <c:pivotFmt>
        <c:idx val="42"/>
        <c:spPr>
          <a:solidFill>
            <a:schemeClr val="accent5">
              <a:lumMod val="40000"/>
              <a:lumOff val="60000"/>
            </a:schemeClr>
          </a:solidFill>
          <a:ln>
            <a:noFill/>
          </a:ln>
          <a:effectLst/>
        </c:spPr>
      </c:pivotFmt>
      <c:pivotFmt>
        <c:idx val="43"/>
        <c:spPr>
          <a:solidFill>
            <a:schemeClr val="accent5">
              <a:lumMod val="60000"/>
              <a:lumOff val="40000"/>
            </a:schemeClr>
          </a:solidFill>
          <a:ln>
            <a:noFill/>
          </a:ln>
          <a:effectLst/>
        </c:spPr>
      </c:pivotFmt>
      <c:pivotFmt>
        <c:idx val="44"/>
        <c:spPr>
          <a:solidFill>
            <a:schemeClr val="accent5">
              <a:lumMod val="20000"/>
              <a:lumOff val="80000"/>
            </a:schemeClr>
          </a:solidFill>
          <a:ln>
            <a:noFill/>
          </a:ln>
          <a:effectLst/>
        </c:spPr>
        <c:dLbl>
          <c:idx val="0"/>
          <c:layout>
            <c:manualLayout>
              <c:x val="1.5972495276820862E-3"/>
              <c:y val="1.0300598945493351E-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5">
              <a:lumMod val="50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12187950301008858"/>
                  <c:h val="6.1804259003707E-2"/>
                </c:manualLayout>
              </c15:layout>
            </c:ext>
          </c:extLst>
        </c:dLbl>
      </c:pivotFmt>
      <c:pivotFmt>
        <c:idx val="47"/>
        <c:spPr>
          <a:solidFill>
            <a:schemeClr val="accent5">
              <a:lumMod val="75000"/>
            </a:schemeClr>
          </a:solidFill>
          <a:ln>
            <a:solidFill>
              <a:schemeClr val="accent5">
                <a:lumMod val="60000"/>
                <a:lumOff val="40000"/>
              </a:schemeClr>
            </a:solidFill>
          </a:ln>
          <a:effectLst/>
        </c:spPr>
      </c:pivotFmt>
      <c:pivotFmt>
        <c:idx val="48"/>
        <c:spPr>
          <a:solidFill>
            <a:schemeClr val="accent5">
              <a:lumMod val="75000"/>
            </a:schemeClr>
          </a:solidFill>
          <a:ln>
            <a:solidFill>
              <a:schemeClr val="accent5">
                <a:lumMod val="60000"/>
                <a:lumOff val="40000"/>
              </a:schemeClr>
            </a:solidFill>
          </a:ln>
          <a:effectLst/>
        </c:spPr>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5">
              <a:lumMod val="50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12187950301008858"/>
                  <c:h val="6.1804259003707E-2"/>
                </c:manualLayout>
              </c15:layout>
            </c:ext>
          </c:extLst>
        </c:dLbl>
      </c:pivotFmt>
      <c:pivotFmt>
        <c:idx val="51"/>
        <c:spPr>
          <a:solidFill>
            <a:schemeClr val="accent5">
              <a:lumMod val="75000"/>
            </a:schemeClr>
          </a:solidFill>
          <a:ln>
            <a:solidFill>
              <a:schemeClr val="accent5">
                <a:lumMod val="60000"/>
                <a:lumOff val="40000"/>
              </a:schemeClr>
            </a:solidFill>
          </a:ln>
          <a:effectLst/>
        </c:spPr>
      </c:pivotFmt>
      <c:pivotFmt>
        <c:idx val="52"/>
        <c:spPr>
          <a:solidFill>
            <a:schemeClr val="accent5">
              <a:lumMod val="75000"/>
            </a:schemeClr>
          </a:solidFill>
          <a:ln>
            <a:solidFill>
              <a:schemeClr val="accent5">
                <a:lumMod val="60000"/>
                <a:lumOff val="40000"/>
              </a:schemeClr>
            </a:solidFill>
          </a:ln>
          <a:effectLst/>
        </c:spPr>
      </c:pivotFmt>
    </c:pivotFmts>
    <c:plotArea>
      <c:layout>
        <c:manualLayout>
          <c:layoutTarget val="inner"/>
          <c:xMode val="edge"/>
          <c:yMode val="edge"/>
          <c:x val="0.17355633345413701"/>
          <c:y val="0.21197427821522311"/>
          <c:w val="0.81914493684846501"/>
          <c:h val="0.72631023622047242"/>
        </c:manualLayout>
      </c:layout>
      <c:barChart>
        <c:barDir val="bar"/>
        <c:grouping val="clustered"/>
        <c:varyColors val="0"/>
        <c:ser>
          <c:idx val="0"/>
          <c:order val="0"/>
          <c:tx>
            <c:strRef>
              <c:f>'SALES PERFORMANCE BY REPS'!$B$3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C29F-4313-822C-8B28512ADC92}"/>
              </c:ext>
            </c:extLst>
          </c:dPt>
          <c:dPt>
            <c:idx val="1"/>
            <c:invertIfNegative val="0"/>
            <c:bubble3D val="0"/>
            <c:spPr>
              <a:solidFill>
                <a:schemeClr val="accent5">
                  <a:lumMod val="75000"/>
                </a:schemeClr>
              </a:solidFill>
              <a:ln>
                <a:solidFill>
                  <a:schemeClr val="accent5">
                    <a:lumMod val="60000"/>
                    <a:lumOff val="40000"/>
                  </a:schemeClr>
                </a:solidFill>
              </a:ln>
              <a:effectLst/>
            </c:spPr>
            <c:extLst>
              <c:ext xmlns:c16="http://schemas.microsoft.com/office/drawing/2014/chart" uri="{C3380CC4-5D6E-409C-BE32-E72D297353CC}">
                <c16:uniqueId val="{00000003-C29F-4313-822C-8B28512ADC92}"/>
              </c:ext>
            </c:extLst>
          </c:dPt>
          <c:dPt>
            <c:idx val="2"/>
            <c:invertIfNegative val="0"/>
            <c:bubble3D val="0"/>
            <c:spPr>
              <a:solidFill>
                <a:schemeClr val="accent5">
                  <a:lumMod val="75000"/>
                </a:schemeClr>
              </a:solidFill>
              <a:ln>
                <a:solidFill>
                  <a:schemeClr val="accent5">
                    <a:lumMod val="60000"/>
                    <a:lumOff val="40000"/>
                  </a:schemeClr>
                </a:solidFill>
              </a:ln>
              <a:effectLst/>
            </c:spPr>
            <c:extLst>
              <c:ext xmlns:c16="http://schemas.microsoft.com/office/drawing/2014/chart" uri="{C3380CC4-5D6E-409C-BE32-E72D297353CC}">
                <c16:uniqueId val="{00000005-C29F-4313-822C-8B28512ADC92}"/>
              </c:ext>
            </c:extLst>
          </c:dPt>
          <c:dPt>
            <c:idx val="3"/>
            <c:invertIfNegative val="0"/>
            <c:bubble3D val="0"/>
            <c:extLst>
              <c:ext xmlns:c16="http://schemas.microsoft.com/office/drawing/2014/chart" uri="{C3380CC4-5D6E-409C-BE32-E72D297353CC}">
                <c16:uniqueId val="{00000006-C29F-4313-822C-8B28512ADC92}"/>
              </c:ext>
            </c:extLst>
          </c:dPt>
          <c:dPt>
            <c:idx val="4"/>
            <c:invertIfNegative val="0"/>
            <c:bubble3D val="0"/>
            <c:extLst>
              <c:ext xmlns:c16="http://schemas.microsoft.com/office/drawing/2014/chart" uri="{C3380CC4-5D6E-409C-BE32-E72D297353CC}">
                <c16:uniqueId val="{00000007-C29F-4313-822C-8B28512ADC92}"/>
              </c:ext>
            </c:extLst>
          </c:dPt>
          <c:dPt>
            <c:idx val="5"/>
            <c:invertIfNegative val="0"/>
            <c:bubble3D val="0"/>
            <c:extLst>
              <c:ext xmlns:c16="http://schemas.microsoft.com/office/drawing/2014/chart" uri="{C3380CC4-5D6E-409C-BE32-E72D297353CC}">
                <c16:uniqueId val="{00000008-C29F-4313-822C-8B28512ADC92}"/>
              </c:ext>
            </c:extLst>
          </c:dPt>
          <c:dPt>
            <c:idx val="6"/>
            <c:invertIfNegative val="0"/>
            <c:bubble3D val="0"/>
            <c:extLst>
              <c:ext xmlns:c16="http://schemas.microsoft.com/office/drawing/2014/chart" uri="{C3380CC4-5D6E-409C-BE32-E72D297353CC}">
                <c16:uniqueId val="{00000009-C29F-4313-822C-8B28512ADC92}"/>
              </c:ext>
            </c:extLst>
          </c:dPt>
          <c:dPt>
            <c:idx val="7"/>
            <c:invertIfNegative val="0"/>
            <c:bubble3D val="0"/>
            <c:extLst>
              <c:ext xmlns:c16="http://schemas.microsoft.com/office/drawing/2014/chart" uri="{C3380CC4-5D6E-409C-BE32-E72D297353CC}">
                <c16:uniqueId val="{0000000A-C29F-4313-822C-8B28512ADC92}"/>
              </c:ext>
            </c:extLst>
          </c:dPt>
          <c:dLbls>
            <c:dLbl>
              <c:idx val="0"/>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12187950301008858"/>
                      <c:h val="6.1804259003707E-2"/>
                    </c:manualLayout>
                  </c15:layout>
                </c:ext>
                <c:ext xmlns:c16="http://schemas.microsoft.com/office/drawing/2014/chart" uri="{C3380CC4-5D6E-409C-BE32-E72D297353CC}">
                  <c16:uniqueId val="{00000001-C29F-4313-822C-8B28512ADC92}"/>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'SALES PERFORMANCE BY REPS'!$A$4:$A$7</c:f>
              <c:strCache>
                <c:ptCount val="3"/>
                <c:pt idx="0">
                  <c:v>Nancy Freehafer</c:v>
                </c:pt>
                <c:pt idx="1">
                  <c:v>Anne Larsen</c:v>
                </c:pt>
                <c:pt idx="2">
                  <c:v>Andrew Cencini</c:v>
                </c:pt>
              </c:strCache>
            </c:strRef>
          </c:cat>
          <c:val>
            <c:numRef>
              <c:f>'SALES PERFORMANCE BY REPS'!$B$4:$B$7</c:f>
              <c:numCache>
                <c:formatCode>0.00%</c:formatCode>
                <c:ptCount val="3"/>
                <c:pt idx="0">
                  <c:v>0.39297327536382004</c:v>
                </c:pt>
                <c:pt idx="1">
                  <c:v>0.35379364492229431</c:v>
                </c:pt>
                <c:pt idx="2">
                  <c:v>0.25323307971388576</c:v>
                </c:pt>
              </c:numCache>
            </c:numRef>
          </c:val>
          <c:extLst>
            <c:ext xmlns:c16="http://schemas.microsoft.com/office/drawing/2014/chart" uri="{C3380CC4-5D6E-409C-BE32-E72D297353CC}">
              <c16:uniqueId val="{0000000B-C29F-4313-822C-8B28512ADC92}"/>
            </c:ext>
          </c:extLst>
        </c:ser>
        <c:dLbls>
          <c:dLblPos val="outEnd"/>
          <c:showLegendKey val="0"/>
          <c:showVal val="1"/>
          <c:showCatName val="0"/>
          <c:showSerName val="0"/>
          <c:showPercent val="0"/>
          <c:showBubbleSize val="0"/>
        </c:dLbls>
        <c:gapWidth val="20"/>
        <c:overlap val="22"/>
        <c:axId val="57865152"/>
        <c:axId val="57873792"/>
      </c:barChart>
      <c:catAx>
        <c:axId val="5786515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crossAx val="57873792"/>
        <c:crosses val="autoZero"/>
        <c:auto val="1"/>
        <c:lblAlgn val="ctr"/>
        <c:lblOffset val="100"/>
        <c:noMultiLvlLbl val="0"/>
      </c:catAx>
      <c:valAx>
        <c:axId val="57873792"/>
        <c:scaling>
          <c:orientation val="minMax"/>
        </c:scaling>
        <c:delete val="1"/>
        <c:axPos val="t"/>
        <c:majorGridlines>
          <c:spPr>
            <a:ln w="9525" cap="flat" cmpd="sng" algn="ctr">
              <a:noFill/>
              <a:round/>
            </a:ln>
            <a:effectLst/>
          </c:spPr>
        </c:majorGridlines>
        <c:numFmt formatCode="0.00%" sourceLinked="1"/>
        <c:majorTickMark val="none"/>
        <c:minorTickMark val="none"/>
        <c:tickLblPos val="nextTo"/>
        <c:crossAx val="57865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[FlutterCo Sales Data.xlsx]SALES TREND REPORT!PivotTable2</c:name>
    <c:fmtId val="42"/>
  </c:pivotSource>
  <c:chart>
    <c:title>
      <c:tx>
        <c:rich>
          <a:bodyPr rot="0" spcFirstLastPara="1" vertOverflow="ellipsis" vert="horz" wrap="square" anchor="ctr" anchorCtr="1"/>
          <a:lstStyle/>
          <a:p>
            <a:pPr algn="ctr">
              <a:defRPr sz="1200" b="0" i="0" u="none" strike="noStrike" kern="1200" spc="0" baseline="0">
                <a:solidFill>
                  <a:srgbClr val="002060"/>
                </a:solidFill>
                <a:latin typeface="Arial" panose="020B0604020202020204" pitchFamily="34" charset="0"/>
                <a:ea typeface="+mn-ea"/>
                <a:cs typeface="Arial" panose="020B0604020202020204" pitchFamily="34" charset="0"/>
              </a:defRPr>
            </a:pPr>
            <a:r>
              <a:rPr lang="en-US" sz="2000" i="0">
                <a:solidFill>
                  <a:srgbClr val="002060"/>
                </a:solidFill>
                <a:latin typeface="Arial" panose="020B0604020202020204" pitchFamily="34" charset="0"/>
                <a:cs typeface="Arial" panose="020B0604020202020204" pitchFamily="34" charset="0"/>
              </a:rPr>
              <a:t>Sales</a:t>
            </a:r>
            <a:r>
              <a:rPr lang="en-US" sz="2000" i="0" baseline="0">
                <a:solidFill>
                  <a:srgbClr val="002060"/>
                </a:solidFill>
                <a:latin typeface="Arial" panose="020B0604020202020204" pitchFamily="34" charset="0"/>
                <a:cs typeface="Arial" panose="020B0604020202020204" pitchFamily="34" charset="0"/>
              </a:rPr>
              <a:t> Trend Report</a:t>
            </a:r>
            <a:endParaRPr lang="en-US" sz="2000" i="0">
              <a:solidFill>
                <a:srgbClr val="002060"/>
              </a:solidFill>
              <a:latin typeface="Arial" panose="020B0604020202020204" pitchFamily="34" charset="0"/>
              <a:cs typeface="Arial" panose="020B0604020202020204" pitchFamily="34" charset="0"/>
            </a:endParaRPr>
          </a:p>
        </c:rich>
      </c:tx>
      <c:layout>
        <c:manualLayout>
          <c:xMode val="edge"/>
          <c:yMode val="edge"/>
          <c:x val="0.39051585841489439"/>
          <c:y val="4.3838179445446414E-2"/>
        </c:manualLayout>
      </c:layout>
      <c:overlay val="0"/>
      <c:spPr>
        <a:noFill/>
        <a:ln>
          <a:noFill/>
        </a:ln>
        <a:effectLst/>
      </c:spPr>
      <c:txPr>
        <a:bodyPr rot="0" spcFirstLastPara="1" vertOverflow="ellipsis" vert="horz" wrap="square" anchor="ctr" anchorCtr="1"/>
        <a:lstStyle/>
        <a:p>
          <a:pPr algn="ctr">
            <a:defRPr sz="1200" b="0" i="0" u="none" strike="noStrike" kern="1200" spc="0" baseline="0">
              <a:solidFill>
                <a:srgbClr val="00206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dLbl>
          <c:idx val="0"/>
          <c:layout>
            <c:manualLayout>
              <c:x val="-1.3877787807814457E-17"/>
              <c:y val="1.03092783505154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2187950301008858"/>
                  <c:h val="6.1804259003707E-2"/>
                </c:manualLayout>
              </c15:layout>
            </c:ext>
          </c:extLst>
        </c:dLbl>
      </c:pivotFmt>
      <c:pivotFmt>
        <c:idx val="2"/>
        <c:spPr>
          <a:solidFill>
            <a:schemeClr val="accent5">
              <a:lumMod val="75000"/>
            </a:schemeClr>
          </a:solidFill>
          <a:ln>
            <a:solidFill>
              <a:schemeClr val="accent5">
                <a:lumMod val="60000"/>
                <a:lumOff val="40000"/>
              </a:schemeClr>
            </a:solidFill>
          </a:ln>
          <a:effectLst/>
        </c:spPr>
      </c:pivotFmt>
      <c:pivotFmt>
        <c:idx val="3"/>
        <c:spPr>
          <a:solidFill>
            <a:schemeClr val="accent5">
              <a:lumMod val="75000"/>
            </a:schemeClr>
          </a:solidFill>
          <a:ln>
            <a:solidFill>
              <a:schemeClr val="accent5">
                <a:lumMod val="60000"/>
                <a:lumOff val="40000"/>
              </a:schemeClr>
            </a:solidFill>
          </a:ln>
          <a:effectLst/>
        </c:spPr>
      </c:pivotFmt>
      <c:pivotFmt>
        <c:idx val="4"/>
        <c:spPr>
          <a:solidFill>
            <a:schemeClr val="accent5">
              <a:lumMod val="60000"/>
              <a:lumOff val="40000"/>
            </a:schemeClr>
          </a:solidFill>
          <a:ln>
            <a:solidFill>
              <a:schemeClr val="accent5">
                <a:lumMod val="40000"/>
                <a:lumOff val="60000"/>
              </a:schemeClr>
            </a:solidFill>
          </a:ln>
          <a:effectLst/>
        </c:spPr>
      </c:pivotFmt>
      <c:pivotFmt>
        <c:idx val="5"/>
        <c:spPr>
          <a:solidFill>
            <a:schemeClr val="accent5">
              <a:lumMod val="40000"/>
              <a:lumOff val="6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60000"/>
              <a:lumOff val="40000"/>
            </a:schemeClr>
          </a:solidFill>
          <a:ln>
            <a:noFill/>
          </a:ln>
          <a:effectLst/>
        </c:spPr>
      </c:pivotFmt>
      <c:pivotFmt>
        <c:idx val="8"/>
        <c:spPr>
          <a:solidFill>
            <a:schemeClr val="accent5">
              <a:lumMod val="20000"/>
              <a:lumOff val="80000"/>
            </a:schemeClr>
          </a:solidFill>
          <a:ln>
            <a:noFill/>
          </a:ln>
          <a:effectLst/>
        </c:spPr>
      </c:pivotFmt>
      <c:pivotFmt>
        <c:idx val="9"/>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dLbl>
          <c:idx val="0"/>
          <c:layout>
            <c:manualLayout>
              <c:x val="-1.3877787807814457E-17"/>
              <c:y val="1.03092783505154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2187950301008858"/>
                  <c:h val="6.1804259003707E-2"/>
                </c:manualLayout>
              </c15:layout>
            </c:ext>
          </c:extLst>
        </c:dLbl>
      </c:pivotFmt>
      <c:pivotFmt>
        <c:idx val="11"/>
        <c:spPr>
          <a:solidFill>
            <a:schemeClr val="accent5">
              <a:lumMod val="75000"/>
            </a:schemeClr>
          </a:solidFill>
          <a:ln>
            <a:solidFill>
              <a:schemeClr val="accent5">
                <a:lumMod val="60000"/>
                <a:lumOff val="40000"/>
              </a:schemeClr>
            </a:solidFill>
          </a:ln>
          <a:effectLst/>
        </c:spPr>
      </c:pivotFmt>
      <c:pivotFmt>
        <c:idx val="12"/>
        <c:spPr>
          <a:solidFill>
            <a:schemeClr val="accent5">
              <a:lumMod val="75000"/>
            </a:schemeClr>
          </a:solidFill>
          <a:ln>
            <a:solidFill>
              <a:schemeClr val="accent5">
                <a:lumMod val="60000"/>
                <a:lumOff val="40000"/>
              </a:schemeClr>
            </a:solidFill>
          </a:ln>
          <a:effectLst/>
        </c:spPr>
      </c:pivotFmt>
      <c:pivotFmt>
        <c:idx val="13"/>
        <c:spPr>
          <a:solidFill>
            <a:schemeClr val="accent5">
              <a:lumMod val="60000"/>
              <a:lumOff val="40000"/>
            </a:schemeClr>
          </a:solidFill>
          <a:ln>
            <a:solidFill>
              <a:schemeClr val="accent5">
                <a:lumMod val="40000"/>
                <a:lumOff val="60000"/>
              </a:schemeClr>
            </a:solidFill>
          </a:ln>
          <a:effectLst/>
        </c:spPr>
      </c:pivotFmt>
      <c:pivotFmt>
        <c:idx val="14"/>
        <c:spPr>
          <a:solidFill>
            <a:schemeClr val="accent5">
              <a:lumMod val="40000"/>
              <a:lumOff val="6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60000"/>
              <a:lumOff val="4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5">
              <a:lumMod val="50000"/>
            </a:schemeClr>
          </a:solidFill>
          <a:ln>
            <a:noFill/>
          </a:ln>
          <a:effectLst/>
        </c:spPr>
      </c:pivotFmt>
      <c:pivotFmt>
        <c:idx val="19"/>
        <c:spPr>
          <a:solidFill>
            <a:schemeClr val="accent5">
              <a:lumMod val="75000"/>
            </a:schemeClr>
          </a:solidFill>
          <a:ln>
            <a:noFill/>
          </a:ln>
          <a:effectLst/>
        </c:spPr>
      </c:pivotFmt>
      <c:pivotFmt>
        <c:idx val="20"/>
        <c:spPr>
          <a:solidFill>
            <a:schemeClr val="accent5">
              <a:lumMod val="60000"/>
              <a:lumOff val="40000"/>
            </a:schemeClr>
          </a:solidFill>
          <a:ln>
            <a:noFill/>
          </a:ln>
          <a:effectLst/>
        </c:spPr>
      </c:pivotFmt>
      <c:pivotFmt>
        <c:idx val="21"/>
        <c:spPr>
          <a:solidFill>
            <a:schemeClr val="accent5">
              <a:lumMod val="40000"/>
              <a:lumOff val="60000"/>
            </a:schemeClr>
          </a:solidFill>
          <a:ln>
            <a:noFill/>
          </a:ln>
          <a:effectLst/>
        </c:spPr>
      </c:pivotFmt>
      <c:pivotFmt>
        <c:idx val="22"/>
        <c:spPr>
          <a:solidFill>
            <a:schemeClr val="accent1"/>
          </a:solidFill>
          <a:ln w="28575" cap="rnd">
            <a:solidFill>
              <a:schemeClr val="accent5">
                <a:lumMod val="50000"/>
              </a:schemeClr>
            </a:solidFill>
            <a:round/>
          </a:ln>
          <a:effectLst/>
        </c:spPr>
        <c:marker>
          <c:symbol val="none"/>
        </c:marker>
      </c:pivotFmt>
      <c:pivotFmt>
        <c:idx val="23"/>
        <c:spPr>
          <a:solidFill>
            <a:schemeClr val="accent1"/>
          </a:solidFill>
          <a:ln w="28575" cap="rnd">
            <a:solidFill>
              <a:schemeClr val="accent5">
                <a:lumMod val="50000"/>
              </a:schemeClr>
            </a:solidFill>
            <a:round/>
          </a:ln>
          <a:effectLst/>
        </c:spPr>
        <c:marker>
          <c:symbol val="none"/>
        </c:marker>
        <c:dLbl>
          <c:idx val="0"/>
          <c:layout>
            <c:manualLayout>
              <c:x val="0"/>
              <c:y val="-3.35195530726256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5">
                <a:lumMod val="50000"/>
              </a:schemeClr>
            </a:solidFill>
            <a:round/>
          </a:ln>
          <a:effectLst/>
        </c:spPr>
        <c:marker>
          <c:symbol val="none"/>
        </c:marker>
      </c:pivotFmt>
      <c:pivotFmt>
        <c:idx val="25"/>
        <c:spPr>
          <a:solidFill>
            <a:schemeClr val="accent1"/>
          </a:solidFill>
          <a:ln w="28575" cap="rnd">
            <a:solidFill>
              <a:schemeClr val="accent5">
                <a:lumMod val="50000"/>
              </a:schemeClr>
            </a:solidFill>
            <a:round/>
          </a:ln>
          <a:effectLst/>
        </c:spPr>
        <c:marker>
          <c:symbol val="none"/>
        </c:marker>
        <c:dLbl>
          <c:idx val="0"/>
          <c:layout>
            <c:manualLayout>
              <c:x val="-4.9200485651407977E-3"/>
              <c:y val="3.72439478584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5">
                <a:lumMod val="50000"/>
              </a:schemeClr>
            </a:solidFill>
            <a:round/>
          </a:ln>
          <a:effectLst/>
        </c:spPr>
        <c:marker>
          <c:symbol val="none"/>
        </c:marker>
        <c:dLbl>
          <c:idx val="0"/>
          <c:layout>
            <c:manualLayout>
              <c:x val="9.8400971302815953E-3"/>
              <c:y val="2.97951582867783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5">
                <a:lumMod val="50000"/>
              </a:schemeClr>
            </a:solidFill>
            <a:round/>
          </a:ln>
          <a:effectLst/>
        </c:spPr>
        <c:marker>
          <c:symbol val="none"/>
        </c:marker>
        <c:dLbl>
          <c:idx val="0"/>
          <c:layout>
            <c:manualLayout>
              <c:x val="-9.8400971302815953E-3"/>
              <c:y val="-4.46927374301676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5">
                <a:lumMod val="50000"/>
              </a:schemeClr>
            </a:solidFill>
            <a:round/>
          </a:ln>
          <a:effectLst/>
        </c:spPr>
        <c:marker>
          <c:symbol val="none"/>
        </c:marker>
      </c:pivotFmt>
      <c:pivotFmt>
        <c:idx val="29"/>
        <c:spPr>
          <a:solidFill>
            <a:schemeClr val="accent1"/>
          </a:solidFill>
          <a:ln w="28575" cap="rnd">
            <a:solidFill>
              <a:schemeClr val="accent5">
                <a:lumMod val="50000"/>
              </a:schemeClr>
            </a:solidFill>
            <a:round/>
          </a:ln>
          <a:effectLst/>
        </c:spPr>
        <c:marker>
          <c:symbol val="none"/>
        </c:marker>
      </c:pivotFmt>
      <c:pivotFmt>
        <c:idx val="30"/>
        <c:spPr>
          <a:solidFill>
            <a:schemeClr val="accent1"/>
          </a:solidFill>
          <a:ln w="28575" cap="rnd">
            <a:solidFill>
              <a:schemeClr val="accent5">
                <a:lumMod val="50000"/>
              </a:schemeClr>
            </a:solidFill>
            <a:round/>
          </a:ln>
          <a:effectLst/>
        </c:spPr>
        <c:marker>
          <c:symbol val="none"/>
        </c:marker>
      </c:pivotFmt>
      <c:pivotFmt>
        <c:idx val="31"/>
        <c:spPr>
          <a:solidFill>
            <a:schemeClr val="accent1"/>
          </a:solidFill>
          <a:ln w="28575" cap="rnd">
            <a:solidFill>
              <a:schemeClr val="accent5">
                <a:lumMod val="50000"/>
              </a:schemeClr>
            </a:solidFill>
            <a:round/>
          </a:ln>
          <a:effectLst/>
        </c:spPr>
        <c:marker>
          <c:symbol val="none"/>
        </c:marker>
        <c:dLbl>
          <c:idx val="0"/>
          <c:layout>
            <c:manualLayout>
              <c:x val="-1.1480113318661861E-2"/>
              <c:y val="-3.35195530726256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5">
                <a:lumMod val="50000"/>
              </a:schemeClr>
            </a:solidFill>
            <a:round/>
          </a:ln>
          <a:effectLst/>
        </c:spPr>
        <c:marker>
          <c:symbol val="none"/>
        </c:marker>
      </c:pivotFmt>
      <c:pivotFmt>
        <c:idx val="33"/>
        <c:spPr>
          <a:solidFill>
            <a:schemeClr val="accent1"/>
          </a:solidFill>
          <a:ln w="28575" cap="rnd">
            <a:solidFill>
              <a:schemeClr val="accent5">
                <a:lumMod val="50000"/>
              </a:schemeClr>
            </a:solidFill>
            <a:round/>
          </a:ln>
          <a:effectLst/>
        </c:spPr>
        <c:marker>
          <c:symbol val="none"/>
        </c:marker>
      </c:pivotFmt>
      <c:pivotFmt>
        <c:idx val="34"/>
        <c:spPr>
          <a:solidFill>
            <a:schemeClr val="accent1"/>
          </a:solidFill>
          <a:ln w="28575" cap="rnd">
            <a:solidFill>
              <a:schemeClr val="accent5">
                <a:lumMod val="50000"/>
              </a:schemeClr>
            </a:solidFill>
            <a:round/>
          </a:ln>
          <a:effectLst/>
        </c:spPr>
        <c:marker>
          <c:symbol val="none"/>
        </c:marker>
        <c:dLbl>
          <c:idx val="0"/>
          <c:layout>
            <c:manualLayout>
              <c:x val="-4.9200485651409174E-3"/>
              <c:y val="-3.4139891149997748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5">
                <a:lumMod val="50000"/>
              </a:schemeClr>
            </a:solidFill>
            <a:round/>
          </a:ln>
          <a:effectLst/>
        </c:spPr>
        <c:marker>
          <c:symbol val="none"/>
        </c:marker>
        <c:dLbl>
          <c:idx val="0"/>
          <c:layout>
            <c:manualLayout>
              <c:x val="0"/>
              <c:y val="-3.35195530726256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5">
                <a:lumMod val="50000"/>
              </a:schemeClr>
            </a:solidFill>
            <a:round/>
          </a:ln>
          <a:effectLst/>
        </c:spPr>
        <c:marker>
          <c:symbol val="none"/>
        </c:marker>
        <c:dLbl>
          <c:idx val="0"/>
          <c:layout>
            <c:manualLayout>
              <c:x val="-4.9200485651407977E-3"/>
              <c:y val="3.72439478584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5">
                <a:lumMod val="50000"/>
              </a:schemeClr>
            </a:solidFill>
            <a:round/>
          </a:ln>
          <a:effectLst/>
        </c:spPr>
        <c:marker>
          <c:symbol val="none"/>
        </c:marker>
        <c:dLbl>
          <c:idx val="0"/>
          <c:layout>
            <c:manualLayout>
              <c:x val="9.8400971302815953E-3"/>
              <c:y val="2.97951582867783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5">
                <a:lumMod val="50000"/>
              </a:schemeClr>
            </a:solidFill>
            <a:round/>
          </a:ln>
          <a:effectLst/>
        </c:spPr>
        <c:marker>
          <c:symbol val="none"/>
        </c:marker>
        <c:dLbl>
          <c:idx val="0"/>
          <c:layout>
            <c:manualLayout>
              <c:x val="-9.8400971302815953E-3"/>
              <c:y val="-4.46927374301676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5">
                <a:lumMod val="50000"/>
              </a:schemeClr>
            </a:solidFill>
            <a:round/>
          </a:ln>
          <a:effectLst/>
        </c:spPr>
        <c:marker>
          <c:symbol val="none"/>
        </c:marker>
      </c:pivotFmt>
      <c:pivotFmt>
        <c:idx val="41"/>
        <c:spPr>
          <a:solidFill>
            <a:schemeClr val="accent1"/>
          </a:solidFill>
          <a:ln w="28575" cap="rnd">
            <a:solidFill>
              <a:schemeClr val="accent5">
                <a:lumMod val="50000"/>
              </a:schemeClr>
            </a:solidFill>
            <a:round/>
          </a:ln>
          <a:effectLst/>
        </c:spPr>
        <c:marker>
          <c:symbol val="none"/>
        </c:marker>
      </c:pivotFmt>
      <c:pivotFmt>
        <c:idx val="42"/>
        <c:spPr>
          <a:solidFill>
            <a:schemeClr val="accent1"/>
          </a:solidFill>
          <a:ln w="28575" cap="rnd">
            <a:solidFill>
              <a:schemeClr val="accent5">
                <a:lumMod val="50000"/>
              </a:schemeClr>
            </a:solidFill>
            <a:round/>
          </a:ln>
          <a:effectLst/>
        </c:spPr>
        <c:marker>
          <c:symbol val="none"/>
        </c:marker>
      </c:pivotFmt>
      <c:pivotFmt>
        <c:idx val="43"/>
        <c:spPr>
          <a:solidFill>
            <a:schemeClr val="accent1"/>
          </a:solidFill>
          <a:ln w="28575" cap="rnd">
            <a:solidFill>
              <a:schemeClr val="accent5">
                <a:lumMod val="50000"/>
              </a:schemeClr>
            </a:solidFill>
            <a:round/>
          </a:ln>
          <a:effectLst/>
        </c:spPr>
        <c:marker>
          <c:symbol val="none"/>
        </c:marker>
        <c:dLbl>
          <c:idx val="0"/>
          <c:layout>
            <c:manualLayout>
              <c:x val="-1.1480113318661861E-2"/>
              <c:y val="-3.35195530726256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5">
                <a:lumMod val="50000"/>
              </a:schemeClr>
            </a:solidFill>
            <a:round/>
          </a:ln>
          <a:effectLst/>
        </c:spPr>
        <c:marker>
          <c:symbol val="none"/>
        </c:marker>
        <c:dLbl>
          <c:idx val="0"/>
          <c:layout>
            <c:manualLayout>
              <c:x val="-4.9200485651409174E-3"/>
              <c:y val="-3.4139891149997748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002060"/>
                  </a:solidFill>
                  <a:latin typeface="Arial" panose="020B06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ln w="28575" cap="rnd">
            <a:solidFill>
              <a:schemeClr val="accent5">
                <a:lumMod val="50000"/>
              </a:schemeClr>
            </a:solidFill>
            <a:round/>
          </a:ln>
          <a:effectLst/>
        </c:spPr>
        <c:marker>
          <c:symbol val="none"/>
        </c:marker>
        <c:dLbl>
          <c:idx val="0"/>
          <c:layout>
            <c:manualLayout>
              <c:x val="0"/>
              <c:y val="-3.3519553072625628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002060"/>
                  </a:solidFill>
                  <a:latin typeface="Arial" panose="020B06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ln w="28575" cap="rnd">
            <a:solidFill>
              <a:schemeClr val="accent5">
                <a:lumMod val="50000"/>
              </a:schemeClr>
            </a:solidFill>
            <a:round/>
          </a:ln>
          <a:effectLst/>
        </c:spPr>
        <c:marker>
          <c:symbol val="none"/>
        </c:marker>
        <c:dLbl>
          <c:idx val="0"/>
          <c:layout>
            <c:manualLayout>
              <c:x val="-4.9200485651407977E-3"/>
              <c:y val="3.7243947858473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002060"/>
                  </a:solidFill>
                  <a:latin typeface="Arial" panose="020B06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ln w="28575" cap="rnd">
            <a:solidFill>
              <a:schemeClr val="accent5">
                <a:lumMod val="50000"/>
              </a:schemeClr>
            </a:solidFill>
            <a:round/>
          </a:ln>
          <a:effectLst/>
        </c:spPr>
        <c:marker>
          <c:symbol val="none"/>
        </c:marker>
        <c:dLbl>
          <c:idx val="0"/>
          <c:layout>
            <c:manualLayout>
              <c:x val="9.8400971302815953E-3"/>
              <c:y val="2.9795158286778398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002060"/>
                  </a:solidFill>
                  <a:latin typeface="Arial" panose="020B06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spPr>
          <a:ln w="28575" cap="rnd">
            <a:solidFill>
              <a:schemeClr val="accent5">
                <a:lumMod val="50000"/>
              </a:schemeClr>
            </a:solidFill>
            <a:round/>
          </a:ln>
          <a:effectLst/>
        </c:spPr>
        <c:marker>
          <c:symbol val="none"/>
        </c:marker>
        <c:dLbl>
          <c:idx val="0"/>
          <c:layout>
            <c:manualLayout>
              <c:x val="-9.8400971302815953E-3"/>
              <c:y val="-4.4692737430167669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002060"/>
                  </a:solidFill>
                  <a:latin typeface="Arial" panose="020B06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ln w="28575" cap="rnd">
            <a:solidFill>
              <a:schemeClr val="accent5">
                <a:lumMod val="50000"/>
              </a:schemeClr>
            </a:solidFill>
            <a:round/>
          </a:ln>
          <a:effectLst/>
        </c:spPr>
        <c:marker>
          <c:symbol val="none"/>
        </c:marker>
      </c:pivotFmt>
      <c:pivotFmt>
        <c:idx val="51"/>
        <c:spPr>
          <a:ln w="28575" cap="rnd">
            <a:solidFill>
              <a:schemeClr val="accent5">
                <a:lumMod val="50000"/>
              </a:schemeClr>
            </a:solidFill>
            <a:round/>
          </a:ln>
          <a:effectLst/>
        </c:spPr>
        <c:marker>
          <c:symbol val="none"/>
        </c:marker>
      </c:pivotFmt>
      <c:pivotFmt>
        <c:idx val="52"/>
        <c:spPr>
          <a:ln w="28575" cap="rnd">
            <a:solidFill>
              <a:schemeClr val="accent5">
                <a:lumMod val="50000"/>
              </a:schemeClr>
            </a:solidFill>
            <a:round/>
          </a:ln>
          <a:effectLst/>
        </c:spPr>
        <c:marker>
          <c:symbol val="none"/>
        </c:marker>
      </c:pivotFmt>
      <c:pivotFmt>
        <c:idx val="53"/>
        <c:spPr>
          <a:ln w="28575" cap="rnd">
            <a:solidFill>
              <a:schemeClr val="accent5">
                <a:lumMod val="50000"/>
              </a:schemeClr>
            </a:solidFill>
            <a:round/>
          </a:ln>
          <a:effectLst/>
        </c:spPr>
        <c:marker>
          <c:symbol val="none"/>
        </c:marker>
        <c:dLbl>
          <c:idx val="0"/>
          <c:layout>
            <c:manualLayout>
              <c:x val="-1.1480113318661861E-2"/>
              <c:y val="-3.3519553072625698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002060"/>
                  </a:solidFill>
                  <a:latin typeface="Arial" panose="020B06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spPr>
          <a:ln w="28575" cap="rnd">
            <a:solidFill>
              <a:schemeClr val="accent5">
                <a:lumMod val="50000"/>
              </a:schemeClr>
            </a:solidFill>
            <a:round/>
          </a:ln>
          <a:effectLst/>
        </c:spPr>
        <c:marker>
          <c:symbol val="none"/>
        </c:marker>
        <c:dLbl>
          <c:idx val="0"/>
          <c:layout>
            <c:manualLayout>
              <c:x val="-4.9200485651409174E-3"/>
              <c:y val="-3.4139891149997748E-17"/>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002060"/>
                  </a:solidFill>
                  <a:latin typeface="Arial" panose="020B06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917216469927234E-2"/>
          <c:y val="0.20002106424595015"/>
          <c:w val="0.89120489648075252"/>
          <c:h val="0.70828125783640106"/>
        </c:manualLayout>
      </c:layout>
      <c:lineChart>
        <c:grouping val="standard"/>
        <c:varyColors val="0"/>
        <c:ser>
          <c:idx val="0"/>
          <c:order val="0"/>
          <c:tx>
            <c:strRef>
              <c:f>'SALES TREND REPORT'!$B$3</c:f>
              <c:strCache>
                <c:ptCount val="1"/>
                <c:pt idx="0">
                  <c:v>Total</c:v>
                </c:pt>
              </c:strCache>
            </c:strRef>
          </c:tx>
          <c:spPr>
            <a:ln w="28575" cap="rnd">
              <a:solidFill>
                <a:schemeClr val="accent5">
                  <a:lumMod val="50000"/>
                </a:schemeClr>
              </a:solidFill>
              <a:round/>
            </a:ln>
            <a:effectLst/>
          </c:spPr>
          <c:marker>
            <c:symbol val="none"/>
          </c:marker>
          <c:dPt>
            <c:idx val="0"/>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1-7594-4C67-B1EE-4776C8A07B81}"/>
              </c:ext>
            </c:extLst>
          </c:dPt>
          <c:dPt>
            <c:idx val="1"/>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3-7594-4C67-B1EE-4776C8A07B81}"/>
              </c:ext>
            </c:extLst>
          </c:dPt>
          <c:dPt>
            <c:idx val="2"/>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5-7594-4C67-B1EE-4776C8A07B81}"/>
              </c:ext>
            </c:extLst>
          </c:dPt>
          <c:dPt>
            <c:idx val="3"/>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7-7594-4C67-B1EE-4776C8A07B81}"/>
              </c:ext>
            </c:extLst>
          </c:dPt>
          <c:dPt>
            <c:idx val="4"/>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9-7594-4C67-B1EE-4776C8A07B81}"/>
              </c:ext>
            </c:extLst>
          </c:dPt>
          <c:dPt>
            <c:idx val="5"/>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B-7594-4C67-B1EE-4776C8A07B81}"/>
              </c:ext>
            </c:extLst>
          </c:dPt>
          <c:dPt>
            <c:idx val="6"/>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D-7594-4C67-B1EE-4776C8A07B81}"/>
              </c:ext>
            </c:extLst>
          </c:dPt>
          <c:dPt>
            <c:idx val="7"/>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F-7594-4C67-B1EE-4776C8A07B81}"/>
              </c:ext>
            </c:extLst>
          </c:dPt>
          <c:dLbls>
            <c:dLbl>
              <c:idx val="0"/>
              <c:layout>
                <c:manualLayout>
                  <c:x val="0"/>
                  <c:y val="-3.35195530726256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594-4C67-B1EE-4776C8A07B81}"/>
                </c:ext>
              </c:extLst>
            </c:dLbl>
            <c:dLbl>
              <c:idx val="1"/>
              <c:layout>
                <c:manualLayout>
                  <c:x val="-4.9200485651407977E-3"/>
                  <c:y val="3.72439478584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594-4C67-B1EE-4776C8A07B81}"/>
                </c:ext>
              </c:extLst>
            </c:dLbl>
            <c:dLbl>
              <c:idx val="2"/>
              <c:layout>
                <c:manualLayout>
                  <c:x val="9.8400971302815953E-3"/>
                  <c:y val="2.97951582867783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594-4C67-B1EE-4776C8A07B81}"/>
                </c:ext>
              </c:extLst>
            </c:dLbl>
            <c:dLbl>
              <c:idx val="3"/>
              <c:layout>
                <c:manualLayout>
                  <c:x val="-9.8400971302815953E-3"/>
                  <c:y val="-4.46927374301676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594-4C67-B1EE-4776C8A07B81}"/>
                </c:ext>
              </c:extLst>
            </c:dLbl>
            <c:dLbl>
              <c:idx val="7"/>
              <c:layout>
                <c:manualLayout>
                  <c:x val="-1.1480113318661861E-2"/>
                  <c:y val="-3.35195530726256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594-4C67-B1EE-4776C8A07B81}"/>
                </c:ext>
              </c:extLst>
            </c:dLbl>
            <c:dLbl>
              <c:idx val="10"/>
              <c:layout>
                <c:manualLayout>
                  <c:x val="-4.9200485651409174E-3"/>
                  <c:y val="-3.4139891149997748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594-4C67-B1EE-4776C8A07B81}"/>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002060"/>
                    </a:solidFill>
                    <a:latin typeface="Arial" panose="020B0604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noFill/>
                      <a:round/>
                    </a:ln>
                    <a:effectLst/>
                  </c:spPr>
                </c15:leaderLines>
              </c:ext>
            </c:extLst>
          </c:dLbls>
          <c:cat>
            <c:strRef>
              <c:f>'SALES TREND REPORT'!$A$4:$A$15</c:f>
              <c:strCache>
                <c:ptCount val="11"/>
                <c:pt idx="0">
                  <c:v>Jan</c:v>
                </c:pt>
                <c:pt idx="1">
                  <c:v>Mar</c:v>
                </c:pt>
                <c:pt idx="2">
                  <c:v>Apr</c:v>
                </c:pt>
                <c:pt idx="3">
                  <c:v>May</c:v>
                </c:pt>
                <c:pt idx="4">
                  <c:v>Jun</c:v>
                </c:pt>
                <c:pt idx="5">
                  <c:v>Jul</c:v>
                </c:pt>
                <c:pt idx="6">
                  <c:v>Aug</c:v>
                </c:pt>
                <c:pt idx="7">
                  <c:v>Sep</c:v>
                </c:pt>
                <c:pt idx="8">
                  <c:v>Oct</c:v>
                </c:pt>
                <c:pt idx="9">
                  <c:v>Nov</c:v>
                </c:pt>
                <c:pt idx="10">
                  <c:v>Dec</c:v>
                </c:pt>
              </c:strCache>
            </c:strRef>
          </c:cat>
          <c:val>
            <c:numRef>
              <c:f>'SALES TREND REPORT'!$B$4:$B$15</c:f>
              <c:numCache>
                <c:formatCode>"$"#,##0.00</c:formatCode>
                <c:ptCount val="11"/>
                <c:pt idx="0">
                  <c:v>1563.9999999999998</c:v>
                </c:pt>
                <c:pt idx="1">
                  <c:v>1352.4</c:v>
                </c:pt>
                <c:pt idx="2">
                  <c:v>1370.8000000000002</c:v>
                </c:pt>
                <c:pt idx="3">
                  <c:v>1506.4</c:v>
                </c:pt>
                <c:pt idx="4">
                  <c:v>1575.6</c:v>
                </c:pt>
                <c:pt idx="5">
                  <c:v>671.2</c:v>
                </c:pt>
                <c:pt idx="6">
                  <c:v>1930</c:v>
                </c:pt>
                <c:pt idx="7">
                  <c:v>2412</c:v>
                </c:pt>
                <c:pt idx="8">
                  <c:v>2270.8000000000002</c:v>
                </c:pt>
                <c:pt idx="9">
                  <c:v>1477.6</c:v>
                </c:pt>
                <c:pt idx="10">
                  <c:v>2922.7999999999997</c:v>
                </c:pt>
              </c:numCache>
            </c:numRef>
          </c:val>
          <c:smooth val="0"/>
          <c:extLst>
            <c:ext xmlns:c16="http://schemas.microsoft.com/office/drawing/2014/chart" uri="{C3380CC4-5D6E-409C-BE32-E72D297353CC}">
              <c16:uniqueId val="{00000011-7594-4C67-B1EE-4776C8A07B81}"/>
            </c:ext>
          </c:extLst>
        </c:ser>
        <c:dLbls>
          <c:showLegendKey val="0"/>
          <c:showVal val="0"/>
          <c:showCatName val="0"/>
          <c:showSerName val="0"/>
          <c:showPercent val="0"/>
          <c:showBubbleSize val="0"/>
        </c:dLbls>
        <c:smooth val="0"/>
        <c:axId val="66577504"/>
        <c:axId val="66589984"/>
      </c:lineChart>
      <c:catAx>
        <c:axId val="66577504"/>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chemeClr val="accent5">
                    <a:lumMod val="50000"/>
                  </a:schemeClr>
                </a:solidFill>
                <a:latin typeface="Arial" panose="020B0604020202020204" pitchFamily="34" charset="0"/>
                <a:ea typeface="+mn-ea"/>
                <a:cs typeface="Arial" panose="020B0604020202020204" pitchFamily="34" charset="0"/>
              </a:defRPr>
            </a:pPr>
            <a:endParaRPr lang="en-US"/>
          </a:p>
        </c:txPr>
        <c:crossAx val="66589984"/>
        <c:crosses val="autoZero"/>
        <c:auto val="1"/>
        <c:lblAlgn val="ctr"/>
        <c:lblOffset val="100"/>
        <c:noMultiLvlLbl val="0"/>
      </c:catAx>
      <c:valAx>
        <c:axId val="66589984"/>
        <c:scaling>
          <c:orientation val="minMax"/>
        </c:scaling>
        <c:delete val="0"/>
        <c:axPos val="l"/>
        <c:majorGridlines>
          <c:spPr>
            <a:ln w="9525" cap="flat" cmpd="sng" algn="ctr">
              <a:noFill/>
              <a:round/>
            </a:ln>
            <a:effectLst/>
          </c:spPr>
        </c:majorGridlines>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rgbClr val="002060"/>
                </a:solidFill>
                <a:latin typeface="+mn-lt"/>
                <a:ea typeface="+mn-ea"/>
                <a:cs typeface="+mn-cs"/>
              </a:defRPr>
            </a:pPr>
            <a:endParaRPr lang="en-US"/>
          </a:p>
        </c:txPr>
        <c:crossAx val="66577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[FlutterCo Sales Data.xlsx]SALES TREND REPORT!PivotTable2</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dLbl>
          <c:idx val="0"/>
          <c:layout>
            <c:manualLayout>
              <c:x val="-1.3877787807814457E-17"/>
              <c:y val="1.03092783505154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2187950301008858"/>
                  <c:h val="6.1804259003707E-2"/>
                </c:manualLayout>
              </c15:layout>
            </c:ext>
          </c:extLst>
        </c:dLbl>
      </c:pivotFmt>
      <c:pivotFmt>
        <c:idx val="2"/>
        <c:spPr>
          <a:solidFill>
            <a:schemeClr val="accent5">
              <a:lumMod val="75000"/>
            </a:schemeClr>
          </a:solidFill>
          <a:ln>
            <a:solidFill>
              <a:schemeClr val="accent5">
                <a:lumMod val="60000"/>
                <a:lumOff val="40000"/>
              </a:schemeClr>
            </a:solidFill>
          </a:ln>
          <a:effectLst/>
        </c:spPr>
      </c:pivotFmt>
      <c:pivotFmt>
        <c:idx val="3"/>
        <c:spPr>
          <a:solidFill>
            <a:schemeClr val="accent5">
              <a:lumMod val="75000"/>
            </a:schemeClr>
          </a:solidFill>
          <a:ln>
            <a:solidFill>
              <a:schemeClr val="accent5">
                <a:lumMod val="60000"/>
                <a:lumOff val="40000"/>
              </a:schemeClr>
            </a:solidFill>
          </a:ln>
          <a:effectLst/>
        </c:spPr>
      </c:pivotFmt>
      <c:pivotFmt>
        <c:idx val="4"/>
        <c:spPr>
          <a:solidFill>
            <a:schemeClr val="accent5">
              <a:lumMod val="60000"/>
              <a:lumOff val="40000"/>
            </a:schemeClr>
          </a:solidFill>
          <a:ln>
            <a:solidFill>
              <a:schemeClr val="accent5">
                <a:lumMod val="40000"/>
                <a:lumOff val="60000"/>
              </a:schemeClr>
            </a:solidFill>
          </a:ln>
          <a:effectLst/>
        </c:spPr>
      </c:pivotFmt>
      <c:pivotFmt>
        <c:idx val="5"/>
        <c:spPr>
          <a:solidFill>
            <a:schemeClr val="accent5">
              <a:lumMod val="40000"/>
              <a:lumOff val="6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60000"/>
              <a:lumOff val="40000"/>
            </a:schemeClr>
          </a:solidFill>
          <a:ln>
            <a:noFill/>
          </a:ln>
          <a:effectLst/>
        </c:spPr>
      </c:pivotFmt>
      <c:pivotFmt>
        <c:idx val="8"/>
        <c:spPr>
          <a:solidFill>
            <a:schemeClr val="accent5">
              <a:lumMod val="20000"/>
              <a:lumOff val="80000"/>
            </a:schemeClr>
          </a:solidFill>
          <a:ln>
            <a:noFill/>
          </a:ln>
          <a:effectLst/>
        </c:spPr>
      </c:pivotFmt>
      <c:pivotFmt>
        <c:idx val="9"/>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dLbl>
          <c:idx val="0"/>
          <c:layout>
            <c:manualLayout>
              <c:x val="-1.3877787807814457E-17"/>
              <c:y val="1.03092783505154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2187950301008858"/>
                  <c:h val="6.1804259003707E-2"/>
                </c:manualLayout>
              </c15:layout>
            </c:ext>
          </c:extLst>
        </c:dLbl>
      </c:pivotFmt>
      <c:pivotFmt>
        <c:idx val="11"/>
        <c:spPr>
          <a:solidFill>
            <a:schemeClr val="accent5">
              <a:lumMod val="75000"/>
            </a:schemeClr>
          </a:solidFill>
          <a:ln>
            <a:solidFill>
              <a:schemeClr val="accent5">
                <a:lumMod val="60000"/>
                <a:lumOff val="40000"/>
              </a:schemeClr>
            </a:solidFill>
          </a:ln>
          <a:effectLst/>
        </c:spPr>
      </c:pivotFmt>
      <c:pivotFmt>
        <c:idx val="12"/>
        <c:spPr>
          <a:solidFill>
            <a:schemeClr val="accent5">
              <a:lumMod val="75000"/>
            </a:schemeClr>
          </a:solidFill>
          <a:ln>
            <a:solidFill>
              <a:schemeClr val="accent5">
                <a:lumMod val="60000"/>
                <a:lumOff val="40000"/>
              </a:schemeClr>
            </a:solidFill>
          </a:ln>
          <a:effectLst/>
        </c:spPr>
      </c:pivotFmt>
      <c:pivotFmt>
        <c:idx val="13"/>
        <c:spPr>
          <a:solidFill>
            <a:schemeClr val="accent5">
              <a:lumMod val="60000"/>
              <a:lumOff val="40000"/>
            </a:schemeClr>
          </a:solidFill>
          <a:ln>
            <a:solidFill>
              <a:schemeClr val="accent5">
                <a:lumMod val="40000"/>
                <a:lumOff val="60000"/>
              </a:schemeClr>
            </a:solidFill>
          </a:ln>
          <a:effectLst/>
        </c:spPr>
      </c:pivotFmt>
      <c:pivotFmt>
        <c:idx val="14"/>
        <c:spPr>
          <a:solidFill>
            <a:schemeClr val="accent5">
              <a:lumMod val="40000"/>
              <a:lumOff val="6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60000"/>
              <a:lumOff val="4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5">
              <a:lumMod val="50000"/>
            </a:schemeClr>
          </a:solidFill>
          <a:ln>
            <a:noFill/>
          </a:ln>
          <a:effectLst/>
        </c:spPr>
      </c:pivotFmt>
      <c:pivotFmt>
        <c:idx val="19"/>
        <c:spPr>
          <a:solidFill>
            <a:schemeClr val="accent5">
              <a:lumMod val="75000"/>
            </a:schemeClr>
          </a:solidFill>
          <a:ln>
            <a:noFill/>
          </a:ln>
          <a:effectLst/>
        </c:spPr>
      </c:pivotFmt>
      <c:pivotFmt>
        <c:idx val="20"/>
        <c:spPr>
          <a:solidFill>
            <a:schemeClr val="accent5">
              <a:lumMod val="60000"/>
              <a:lumOff val="40000"/>
            </a:schemeClr>
          </a:solidFill>
          <a:ln>
            <a:noFill/>
          </a:ln>
          <a:effectLst/>
        </c:spPr>
      </c:pivotFmt>
      <c:pivotFmt>
        <c:idx val="21"/>
        <c:spPr>
          <a:solidFill>
            <a:schemeClr val="accent5">
              <a:lumMod val="40000"/>
              <a:lumOff val="60000"/>
            </a:schemeClr>
          </a:solidFill>
          <a:ln>
            <a:noFill/>
          </a:ln>
          <a:effectLst/>
        </c:spPr>
      </c:pivotFmt>
      <c:pivotFmt>
        <c:idx val="22"/>
        <c:spPr>
          <a:solidFill>
            <a:schemeClr val="accent1"/>
          </a:solidFill>
          <a:ln w="28575" cap="rnd">
            <a:solidFill>
              <a:schemeClr val="accent5">
                <a:lumMod val="50000"/>
              </a:schemeClr>
            </a:solidFill>
            <a:round/>
          </a:ln>
          <a:effectLst/>
        </c:spPr>
        <c:marker>
          <c:symbol val="none"/>
        </c:marker>
      </c:pivotFmt>
      <c:pivotFmt>
        <c:idx val="23"/>
        <c:spPr>
          <a:solidFill>
            <a:schemeClr val="accent1"/>
          </a:solidFill>
          <a:ln w="28575" cap="rnd">
            <a:solidFill>
              <a:schemeClr val="accent5">
                <a:lumMod val="50000"/>
              </a:schemeClr>
            </a:solidFill>
            <a:round/>
          </a:ln>
          <a:effectLst/>
        </c:spPr>
        <c:marker>
          <c:symbol val="none"/>
        </c:marker>
      </c:pivotFmt>
      <c:pivotFmt>
        <c:idx val="24"/>
        <c:spPr>
          <a:solidFill>
            <a:schemeClr val="accent1"/>
          </a:solidFill>
          <a:ln w="28575" cap="rnd">
            <a:solidFill>
              <a:schemeClr val="accent5">
                <a:lumMod val="50000"/>
              </a:schemeClr>
            </a:solidFill>
            <a:round/>
          </a:ln>
          <a:effectLst/>
        </c:spPr>
        <c:marker>
          <c:symbol val="none"/>
        </c:marker>
      </c:pivotFmt>
      <c:pivotFmt>
        <c:idx val="25"/>
        <c:spPr>
          <a:solidFill>
            <a:schemeClr val="accent1"/>
          </a:solidFill>
          <a:ln w="28575" cap="rnd">
            <a:solidFill>
              <a:schemeClr val="accent5">
                <a:lumMod val="50000"/>
              </a:schemeClr>
            </a:solidFill>
            <a:round/>
          </a:ln>
          <a:effectLst/>
        </c:spPr>
        <c:marker>
          <c:symbol val="none"/>
        </c:marker>
      </c:pivotFmt>
      <c:pivotFmt>
        <c:idx val="26"/>
        <c:spPr>
          <a:solidFill>
            <a:schemeClr val="accent1"/>
          </a:solidFill>
          <a:ln w="28575" cap="rnd">
            <a:solidFill>
              <a:schemeClr val="accent5">
                <a:lumMod val="50000"/>
              </a:schemeClr>
            </a:solidFill>
            <a:round/>
          </a:ln>
          <a:effectLst/>
        </c:spPr>
        <c:marker>
          <c:symbol val="none"/>
        </c:marker>
      </c:pivotFmt>
      <c:pivotFmt>
        <c:idx val="27"/>
        <c:spPr>
          <a:solidFill>
            <a:schemeClr val="accent1"/>
          </a:solidFill>
          <a:ln w="28575" cap="rnd">
            <a:solidFill>
              <a:schemeClr val="accent5">
                <a:lumMod val="50000"/>
              </a:schemeClr>
            </a:solidFill>
            <a:round/>
          </a:ln>
          <a:effectLst/>
        </c:spPr>
        <c:marker>
          <c:symbol val="none"/>
        </c:marker>
      </c:pivotFmt>
      <c:pivotFmt>
        <c:idx val="28"/>
        <c:spPr>
          <a:solidFill>
            <a:schemeClr val="accent1"/>
          </a:solidFill>
          <a:ln w="28575" cap="rnd">
            <a:solidFill>
              <a:schemeClr val="accent5">
                <a:lumMod val="50000"/>
              </a:schemeClr>
            </a:solidFill>
            <a:round/>
          </a:ln>
          <a:effectLst/>
        </c:spPr>
        <c:marker>
          <c:symbol val="none"/>
        </c:marker>
      </c:pivotFmt>
      <c:pivotFmt>
        <c:idx val="29"/>
        <c:spPr>
          <a:solidFill>
            <a:schemeClr val="accent1"/>
          </a:solidFill>
          <a:ln w="28575" cap="rnd">
            <a:solidFill>
              <a:schemeClr val="accent5">
                <a:lumMod val="50000"/>
              </a:schemeClr>
            </a:solidFill>
            <a:round/>
          </a:ln>
          <a:effectLst/>
        </c:spPr>
        <c:marker>
          <c:symbol val="none"/>
        </c:marker>
      </c:pivotFmt>
      <c:pivotFmt>
        <c:idx val="30"/>
        <c:spPr>
          <a:solidFill>
            <a:schemeClr val="accent1"/>
          </a:solidFill>
          <a:ln w="28575" cap="rnd">
            <a:solidFill>
              <a:schemeClr val="accent5">
                <a:lumMod val="50000"/>
              </a:schemeClr>
            </a:solidFill>
            <a:round/>
          </a:ln>
          <a:effectLst/>
        </c:spPr>
        <c:marker>
          <c:symbol val="none"/>
        </c:marker>
      </c:pivotFmt>
      <c:pivotFmt>
        <c:idx val="31"/>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5">
                <a:lumMod val="50000"/>
              </a:schemeClr>
            </a:solidFill>
            <a:round/>
          </a:ln>
          <a:effectLst/>
        </c:spPr>
        <c:marker>
          <c:symbol val="none"/>
        </c:marker>
      </c:pivotFmt>
      <c:pivotFmt>
        <c:idx val="33"/>
        <c:spPr>
          <a:solidFill>
            <a:schemeClr val="accent1"/>
          </a:solidFill>
          <a:ln w="28575" cap="rnd">
            <a:solidFill>
              <a:schemeClr val="accent5">
                <a:lumMod val="50000"/>
              </a:schemeClr>
            </a:solidFill>
            <a:round/>
          </a:ln>
          <a:effectLst/>
        </c:spPr>
        <c:marker>
          <c:symbol val="none"/>
        </c:marker>
      </c:pivotFmt>
      <c:pivotFmt>
        <c:idx val="34"/>
        <c:spPr>
          <a:solidFill>
            <a:schemeClr val="accent1"/>
          </a:solidFill>
          <a:ln w="28575" cap="rnd">
            <a:solidFill>
              <a:schemeClr val="accent5">
                <a:lumMod val="50000"/>
              </a:schemeClr>
            </a:solidFill>
            <a:round/>
          </a:ln>
          <a:effectLst/>
        </c:spPr>
        <c:marker>
          <c:symbol val="none"/>
        </c:marker>
      </c:pivotFmt>
      <c:pivotFmt>
        <c:idx val="35"/>
        <c:spPr>
          <a:solidFill>
            <a:schemeClr val="accent1"/>
          </a:solidFill>
          <a:ln w="28575" cap="rnd">
            <a:solidFill>
              <a:schemeClr val="accent5">
                <a:lumMod val="50000"/>
              </a:schemeClr>
            </a:solidFill>
            <a:round/>
          </a:ln>
          <a:effectLst/>
        </c:spPr>
        <c:marker>
          <c:symbol val="none"/>
        </c:marker>
      </c:pivotFmt>
      <c:pivotFmt>
        <c:idx val="36"/>
        <c:spPr>
          <a:solidFill>
            <a:schemeClr val="accent1"/>
          </a:solidFill>
          <a:ln w="28575" cap="rnd">
            <a:solidFill>
              <a:schemeClr val="accent5">
                <a:lumMod val="50000"/>
              </a:schemeClr>
            </a:solidFill>
            <a:round/>
          </a:ln>
          <a:effectLst/>
        </c:spPr>
        <c:marker>
          <c:symbol val="none"/>
        </c:marker>
      </c:pivotFmt>
      <c:pivotFmt>
        <c:idx val="37"/>
        <c:spPr>
          <a:solidFill>
            <a:schemeClr val="accent1"/>
          </a:solidFill>
          <a:ln w="28575" cap="rnd">
            <a:solidFill>
              <a:schemeClr val="accent5">
                <a:lumMod val="50000"/>
              </a:schemeClr>
            </a:solidFill>
            <a:round/>
          </a:ln>
          <a:effectLst/>
        </c:spPr>
        <c:marker>
          <c:symbol val="none"/>
        </c:marker>
      </c:pivotFmt>
      <c:pivotFmt>
        <c:idx val="38"/>
        <c:spPr>
          <a:solidFill>
            <a:schemeClr val="accent1"/>
          </a:solidFill>
          <a:ln w="28575" cap="rnd">
            <a:solidFill>
              <a:schemeClr val="accent5">
                <a:lumMod val="50000"/>
              </a:schemeClr>
            </a:solidFill>
            <a:round/>
          </a:ln>
          <a:effectLst/>
        </c:spPr>
        <c:marker>
          <c:symbol val="none"/>
        </c:marker>
      </c:pivotFmt>
      <c:pivotFmt>
        <c:idx val="39"/>
        <c:spPr>
          <a:solidFill>
            <a:schemeClr val="accent1"/>
          </a:solidFill>
          <a:ln w="28575" cap="rnd">
            <a:solidFill>
              <a:schemeClr val="accent5">
                <a:lumMod val="50000"/>
              </a:schemeClr>
            </a:solidFill>
            <a:round/>
          </a:ln>
          <a:effectLst/>
        </c:spPr>
        <c:marker>
          <c:symbol val="none"/>
        </c:marker>
      </c:pivotFmt>
      <c:pivotFmt>
        <c:idx val="40"/>
        <c:spPr>
          <a:ln w="28575" cap="rnd">
            <a:solidFill>
              <a:schemeClr val="accent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50000"/>
                    </a:schemeClr>
                  </a:solidFill>
                  <a:latin typeface="Georgia" panose="02040502050405020303" pitchFamily="18"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1"/>
        <c:spPr>
          <a:ln w="28575" cap="rnd">
            <a:solidFill>
              <a:schemeClr val="accent1">
                <a:lumMod val="50000"/>
              </a:schemeClr>
            </a:solidFill>
            <a:round/>
          </a:ln>
          <a:effectLst/>
        </c:spPr>
        <c:marker>
          <c:symbol val="none"/>
        </c:marker>
      </c:pivotFmt>
      <c:pivotFmt>
        <c:idx val="42"/>
        <c:spPr>
          <a:ln w="28575" cap="rnd">
            <a:solidFill>
              <a:schemeClr val="accent1">
                <a:lumMod val="50000"/>
              </a:schemeClr>
            </a:solidFill>
            <a:round/>
          </a:ln>
          <a:effectLst/>
        </c:spPr>
        <c:marker>
          <c:symbol val="none"/>
        </c:marker>
      </c:pivotFmt>
      <c:pivotFmt>
        <c:idx val="43"/>
        <c:spPr>
          <a:ln w="28575" cap="rnd">
            <a:solidFill>
              <a:schemeClr val="accent1">
                <a:lumMod val="50000"/>
              </a:schemeClr>
            </a:solidFill>
            <a:round/>
          </a:ln>
          <a:effectLst/>
        </c:spPr>
        <c:marker>
          <c:symbol val="none"/>
        </c:marker>
        <c:dLbl>
          <c:idx val="0"/>
          <c:layout>
            <c:manualLayout>
              <c:x val="-5.9653324266422343E-2"/>
              <c:y val="-7.71088456738695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50000"/>
                    </a:schemeClr>
                  </a:solidFill>
                  <a:latin typeface="Georgia" panose="02040502050405020303"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4"/>
        <c:spPr>
          <a:ln w="28575" cap="rnd">
            <a:solidFill>
              <a:schemeClr val="accent1">
                <a:lumMod val="50000"/>
              </a:schemeClr>
            </a:solidFill>
            <a:round/>
          </a:ln>
          <a:effectLst/>
        </c:spPr>
        <c:marker>
          <c:symbol val="none"/>
        </c:marker>
        <c:dLbl>
          <c:idx val="0"/>
          <c:layout>
            <c:manualLayout>
              <c:x val="-6.3845246956707027E-2"/>
              <c:y val="-8.05109361329833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50000"/>
                    </a:schemeClr>
                  </a:solidFill>
                  <a:latin typeface="Georgia" panose="02040502050405020303"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5"/>
        <c:spPr>
          <a:ln w="28575" cap="rnd">
            <a:solidFill>
              <a:schemeClr val="accent1">
                <a:lumMod val="50000"/>
              </a:schemeClr>
            </a:solidFill>
            <a:round/>
          </a:ln>
          <a:effectLst/>
        </c:spPr>
        <c:marker>
          <c:symbol val="none"/>
        </c:marker>
        <c:dLbl>
          <c:idx val="0"/>
          <c:layout>
            <c:manualLayout>
              <c:x val="-4.402415436345683E-2"/>
              <c:y val="-3.19554842372103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50000"/>
                    </a:schemeClr>
                  </a:solidFill>
                  <a:latin typeface="Georgia" panose="02040502050405020303"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6"/>
        <c:spPr>
          <a:ln w="28575" cap="rnd">
            <a:solidFill>
              <a:schemeClr val="accent1">
                <a:lumMod val="50000"/>
              </a:schemeClr>
            </a:solidFill>
            <a:round/>
          </a:ln>
          <a:effectLst/>
        </c:spPr>
        <c:marker>
          <c:symbol val="none"/>
        </c:marker>
        <c:dLbl>
          <c:idx val="0"/>
          <c:layout>
            <c:manualLayout>
              <c:x val="-5.2056387372755961E-2"/>
              <c:y val="2.82489976783350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50000"/>
                    </a:schemeClr>
                  </a:solidFill>
                  <a:latin typeface="Georgia" panose="02040502050405020303"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7"/>
        <c:spPr>
          <a:ln w="28575" cap="rnd">
            <a:solidFill>
              <a:schemeClr val="accent1">
                <a:lumMod val="50000"/>
              </a:schemeClr>
            </a:solidFill>
            <a:round/>
          </a:ln>
          <a:effectLst/>
        </c:spPr>
        <c:marker>
          <c:symbol val="none"/>
        </c:marker>
        <c:dLbl>
          <c:idx val="0"/>
          <c:layout>
            <c:manualLayout>
              <c:x val="-7.9747971284520866E-2"/>
              <c:y val="-4.70066047160967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50000"/>
                    </a:schemeClr>
                  </a:solidFill>
                  <a:latin typeface="Georgia" panose="02040502050405020303"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8"/>
        <c:spPr>
          <a:ln w="28575" cap="rnd">
            <a:solidFill>
              <a:schemeClr val="accent1">
                <a:lumMod val="50000"/>
              </a:schemeClr>
            </a:solidFill>
            <a:round/>
          </a:ln>
          <a:effectLst/>
        </c:spPr>
        <c:marker>
          <c:symbol val="none"/>
        </c:marker>
      </c:pivotFmt>
      <c:pivotFmt>
        <c:idx val="49"/>
        <c:spPr>
          <a:ln w="28575" cap="rnd">
            <a:solidFill>
              <a:schemeClr val="accent1">
                <a:lumMod val="50000"/>
              </a:schemeClr>
            </a:solidFill>
            <a:round/>
          </a:ln>
          <a:effectLst/>
        </c:spPr>
        <c:marker>
          <c:symbol val="none"/>
        </c:marker>
        <c:dLbl>
          <c:idx val="0"/>
          <c:layout>
            <c:manualLayout>
              <c:x val="-5.9653324266422322E-2"/>
              <c:y val="2.82489976783350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50000"/>
                    </a:schemeClr>
                  </a:solidFill>
                  <a:latin typeface="Georgia" panose="02040502050405020303"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356482485617247E-4"/>
          <c:y val="0"/>
          <c:w val="0.97472610275308968"/>
          <c:h val="0.85798670166229218"/>
        </c:manualLayout>
      </c:layout>
      <c:lineChart>
        <c:grouping val="standard"/>
        <c:varyColors val="0"/>
        <c:ser>
          <c:idx val="0"/>
          <c:order val="0"/>
          <c:tx>
            <c:strRef>
              <c:f>'SALES TREND REPORT'!$B$3</c:f>
              <c:strCache>
                <c:ptCount val="1"/>
                <c:pt idx="0">
                  <c:v>Total</c:v>
                </c:pt>
              </c:strCache>
            </c:strRef>
          </c:tx>
          <c:spPr>
            <a:ln w="28575" cap="rnd">
              <a:solidFill>
                <a:schemeClr val="accent1">
                  <a:lumMod val="50000"/>
                </a:schemeClr>
              </a:solidFill>
              <a:round/>
            </a:ln>
            <a:effectLst/>
          </c:spPr>
          <c:marker>
            <c:symbol val="none"/>
          </c:marker>
          <c:dPt>
            <c:idx val="0"/>
            <c:marker>
              <c:symbol val="none"/>
            </c:marker>
            <c:bubble3D val="0"/>
            <c:spPr>
              <a:ln w="28575" cap="rnd">
                <a:solidFill>
                  <a:schemeClr val="accent1">
                    <a:lumMod val="50000"/>
                  </a:schemeClr>
                </a:solidFill>
                <a:round/>
              </a:ln>
              <a:effectLst/>
            </c:spPr>
            <c:extLst>
              <c:ext xmlns:c16="http://schemas.microsoft.com/office/drawing/2014/chart" uri="{C3380CC4-5D6E-409C-BE32-E72D297353CC}">
                <c16:uniqueId val="{00000001-7EAD-4C3C-AB2A-49021405D9F6}"/>
              </c:ext>
            </c:extLst>
          </c:dPt>
          <c:dPt>
            <c:idx val="1"/>
            <c:marker>
              <c:symbol val="none"/>
            </c:marker>
            <c:bubble3D val="0"/>
            <c:spPr>
              <a:ln w="28575" cap="rnd">
                <a:solidFill>
                  <a:schemeClr val="accent1">
                    <a:lumMod val="50000"/>
                  </a:schemeClr>
                </a:solidFill>
                <a:round/>
              </a:ln>
              <a:effectLst/>
            </c:spPr>
            <c:extLst>
              <c:ext xmlns:c16="http://schemas.microsoft.com/office/drawing/2014/chart" uri="{C3380CC4-5D6E-409C-BE32-E72D297353CC}">
                <c16:uniqueId val="{00000003-7EAD-4C3C-AB2A-49021405D9F6}"/>
              </c:ext>
            </c:extLst>
          </c:dPt>
          <c:dPt>
            <c:idx val="2"/>
            <c:marker>
              <c:symbol val="none"/>
            </c:marker>
            <c:bubble3D val="0"/>
            <c:spPr>
              <a:ln w="28575" cap="rnd">
                <a:solidFill>
                  <a:schemeClr val="accent1">
                    <a:lumMod val="50000"/>
                  </a:schemeClr>
                </a:solidFill>
                <a:round/>
              </a:ln>
              <a:effectLst/>
            </c:spPr>
            <c:extLst>
              <c:ext xmlns:c16="http://schemas.microsoft.com/office/drawing/2014/chart" uri="{C3380CC4-5D6E-409C-BE32-E72D297353CC}">
                <c16:uniqueId val="{00000005-7EAD-4C3C-AB2A-49021405D9F6}"/>
              </c:ext>
            </c:extLst>
          </c:dPt>
          <c:dPt>
            <c:idx val="3"/>
            <c:marker>
              <c:symbol val="none"/>
            </c:marker>
            <c:bubble3D val="0"/>
            <c:spPr>
              <a:ln w="28575" cap="rnd">
                <a:solidFill>
                  <a:schemeClr val="accent1">
                    <a:lumMod val="50000"/>
                  </a:schemeClr>
                </a:solidFill>
                <a:round/>
              </a:ln>
              <a:effectLst/>
            </c:spPr>
            <c:extLst>
              <c:ext xmlns:c16="http://schemas.microsoft.com/office/drawing/2014/chart" uri="{C3380CC4-5D6E-409C-BE32-E72D297353CC}">
                <c16:uniqueId val="{00000007-7EAD-4C3C-AB2A-49021405D9F6}"/>
              </c:ext>
            </c:extLst>
          </c:dPt>
          <c:dPt>
            <c:idx val="4"/>
            <c:marker>
              <c:symbol val="none"/>
            </c:marker>
            <c:bubble3D val="0"/>
            <c:spPr>
              <a:ln w="28575" cap="rnd">
                <a:solidFill>
                  <a:schemeClr val="accent1">
                    <a:lumMod val="50000"/>
                  </a:schemeClr>
                </a:solidFill>
                <a:round/>
              </a:ln>
              <a:effectLst/>
            </c:spPr>
            <c:extLst>
              <c:ext xmlns:c16="http://schemas.microsoft.com/office/drawing/2014/chart" uri="{C3380CC4-5D6E-409C-BE32-E72D297353CC}">
                <c16:uniqueId val="{00000009-7EAD-4C3C-AB2A-49021405D9F6}"/>
              </c:ext>
            </c:extLst>
          </c:dPt>
          <c:dPt>
            <c:idx val="5"/>
            <c:marker>
              <c:symbol val="none"/>
            </c:marker>
            <c:bubble3D val="0"/>
            <c:spPr>
              <a:ln w="28575" cap="rnd">
                <a:solidFill>
                  <a:schemeClr val="accent1">
                    <a:lumMod val="50000"/>
                  </a:schemeClr>
                </a:solidFill>
                <a:round/>
              </a:ln>
              <a:effectLst/>
            </c:spPr>
            <c:extLst>
              <c:ext xmlns:c16="http://schemas.microsoft.com/office/drawing/2014/chart" uri="{C3380CC4-5D6E-409C-BE32-E72D297353CC}">
                <c16:uniqueId val="{0000000B-7EAD-4C3C-AB2A-49021405D9F6}"/>
              </c:ext>
            </c:extLst>
          </c:dPt>
          <c:dPt>
            <c:idx val="6"/>
            <c:marker>
              <c:symbol val="none"/>
            </c:marker>
            <c:bubble3D val="0"/>
            <c:spPr>
              <a:ln w="28575" cap="rnd">
                <a:solidFill>
                  <a:schemeClr val="accent1">
                    <a:lumMod val="50000"/>
                  </a:schemeClr>
                </a:solidFill>
                <a:round/>
              </a:ln>
              <a:effectLst/>
            </c:spPr>
            <c:extLst>
              <c:ext xmlns:c16="http://schemas.microsoft.com/office/drawing/2014/chart" uri="{C3380CC4-5D6E-409C-BE32-E72D297353CC}">
                <c16:uniqueId val="{0000000D-7EAD-4C3C-AB2A-49021405D9F6}"/>
              </c:ext>
            </c:extLst>
          </c:dPt>
          <c:dPt>
            <c:idx val="7"/>
            <c:marker>
              <c:symbol val="none"/>
            </c:marker>
            <c:bubble3D val="0"/>
            <c:extLst>
              <c:ext xmlns:c16="http://schemas.microsoft.com/office/drawing/2014/chart" uri="{C3380CC4-5D6E-409C-BE32-E72D297353CC}">
                <c16:uniqueId val="{0000000E-7EAD-4C3C-AB2A-49021405D9F6}"/>
              </c:ext>
            </c:extLst>
          </c:dPt>
          <c:dLbls>
            <c:dLbl>
              <c:idx val="2"/>
              <c:layout>
                <c:manualLayout>
                  <c:x val="-5.9653324266422343E-2"/>
                  <c:y val="-7.710884567386955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EAD-4C3C-AB2A-49021405D9F6}"/>
                </c:ext>
              </c:extLst>
            </c:dLbl>
            <c:dLbl>
              <c:idx val="3"/>
              <c:layout>
                <c:manualLayout>
                  <c:x val="-6.3845246956707027E-2"/>
                  <c:y val="-8.051093613298337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EAD-4C3C-AB2A-49021405D9F6}"/>
                </c:ext>
              </c:extLst>
            </c:dLbl>
            <c:dLbl>
              <c:idx val="4"/>
              <c:layout>
                <c:manualLayout>
                  <c:x val="-4.402415436345683E-2"/>
                  <c:y val="-3.195548423721039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EAD-4C3C-AB2A-49021405D9F6}"/>
                </c:ext>
              </c:extLst>
            </c:dLbl>
            <c:dLbl>
              <c:idx val="5"/>
              <c:layout>
                <c:manualLayout>
                  <c:x val="-5.2056387372755961E-2"/>
                  <c:y val="2.824899767833503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EAD-4C3C-AB2A-49021405D9F6}"/>
                </c:ext>
              </c:extLst>
            </c:dLbl>
            <c:dLbl>
              <c:idx val="6"/>
              <c:layout>
                <c:manualLayout>
                  <c:x val="-7.9747971284520866E-2"/>
                  <c:y val="-4.700660471609679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EAD-4C3C-AB2A-49021405D9F6}"/>
                </c:ext>
              </c:extLst>
            </c:dLbl>
            <c:dLbl>
              <c:idx val="9"/>
              <c:layout>
                <c:manualLayout>
                  <c:x val="-5.9653324266422322E-2"/>
                  <c:y val="2.824899767833503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0B5-4F00-9905-C6D4EBAFE68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50000"/>
                      </a:schemeClr>
                    </a:solidFill>
                    <a:latin typeface="Georgia" panose="02040502050405020303" pitchFamily="18"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noFill/>
                      <a:round/>
                    </a:ln>
                    <a:effectLst/>
                  </c:spPr>
                </c15:leaderLines>
              </c:ext>
            </c:extLst>
          </c:dLbls>
          <c:cat>
            <c:strRef>
              <c:f>'SALES TREND REPORT'!$A$4:$A$15</c:f>
              <c:strCache>
                <c:ptCount val="11"/>
                <c:pt idx="0">
                  <c:v>Jan</c:v>
                </c:pt>
                <c:pt idx="1">
                  <c:v>Mar</c:v>
                </c:pt>
                <c:pt idx="2">
                  <c:v>Apr</c:v>
                </c:pt>
                <c:pt idx="3">
                  <c:v>May</c:v>
                </c:pt>
                <c:pt idx="4">
                  <c:v>Jun</c:v>
                </c:pt>
                <c:pt idx="5">
                  <c:v>Jul</c:v>
                </c:pt>
                <c:pt idx="6">
                  <c:v>Aug</c:v>
                </c:pt>
                <c:pt idx="7">
                  <c:v>Sep</c:v>
                </c:pt>
                <c:pt idx="8">
                  <c:v>Oct</c:v>
                </c:pt>
                <c:pt idx="9">
                  <c:v>Nov</c:v>
                </c:pt>
                <c:pt idx="10">
                  <c:v>Dec</c:v>
                </c:pt>
              </c:strCache>
            </c:strRef>
          </c:cat>
          <c:val>
            <c:numRef>
              <c:f>'SALES TREND REPORT'!$B$4:$B$15</c:f>
              <c:numCache>
                <c:formatCode>"$"#,##0.00</c:formatCode>
                <c:ptCount val="11"/>
                <c:pt idx="0">
                  <c:v>1563.9999999999998</c:v>
                </c:pt>
                <c:pt idx="1">
                  <c:v>1352.4</c:v>
                </c:pt>
                <c:pt idx="2">
                  <c:v>1370.8000000000002</c:v>
                </c:pt>
                <c:pt idx="3">
                  <c:v>1506.4</c:v>
                </c:pt>
                <c:pt idx="4">
                  <c:v>1575.6</c:v>
                </c:pt>
                <c:pt idx="5">
                  <c:v>671.2</c:v>
                </c:pt>
                <c:pt idx="6">
                  <c:v>1930</c:v>
                </c:pt>
                <c:pt idx="7">
                  <c:v>2412</c:v>
                </c:pt>
                <c:pt idx="8">
                  <c:v>2270.8000000000002</c:v>
                </c:pt>
                <c:pt idx="9">
                  <c:v>1477.6</c:v>
                </c:pt>
                <c:pt idx="10">
                  <c:v>2922.7999999999997</c:v>
                </c:pt>
              </c:numCache>
            </c:numRef>
          </c:val>
          <c:smooth val="0"/>
          <c:extLst>
            <c:ext xmlns:c16="http://schemas.microsoft.com/office/drawing/2014/chart" uri="{C3380CC4-5D6E-409C-BE32-E72D297353CC}">
              <c16:uniqueId val="{0000000F-7EAD-4C3C-AB2A-49021405D9F6}"/>
            </c:ext>
          </c:extLst>
        </c:ser>
        <c:dLbls>
          <c:showLegendKey val="0"/>
          <c:showVal val="0"/>
          <c:showCatName val="0"/>
          <c:showSerName val="0"/>
          <c:showPercent val="0"/>
          <c:showBubbleSize val="0"/>
        </c:dLbls>
        <c:smooth val="0"/>
        <c:axId val="66577504"/>
        <c:axId val="66589984"/>
      </c:lineChart>
      <c:catAx>
        <c:axId val="66577504"/>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66589984"/>
        <c:crosses val="autoZero"/>
        <c:auto val="1"/>
        <c:lblAlgn val="ctr"/>
        <c:lblOffset val="100"/>
        <c:noMultiLvlLbl val="0"/>
      </c:catAx>
      <c:valAx>
        <c:axId val="66589984"/>
        <c:scaling>
          <c:orientation val="minMax"/>
        </c:scaling>
        <c:delete val="1"/>
        <c:axPos val="l"/>
        <c:majorGridlines>
          <c:spPr>
            <a:ln w="9525" cap="flat" cmpd="sng" algn="ctr">
              <a:noFill/>
              <a:round/>
            </a:ln>
            <a:effectLst/>
          </c:spPr>
        </c:majorGridlines>
        <c:numFmt formatCode="&quot;$&quot;#,##0.00" sourceLinked="1"/>
        <c:majorTickMark val="out"/>
        <c:minorTickMark val="none"/>
        <c:tickLblPos val="nextTo"/>
        <c:crossAx val="66577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[FlutterCo Sales Data.xlsx]SALES PERFORMANCE BY REGION!PivotTable2</c:name>
    <c:fmtId val="50"/>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50000"/>
            </a:schemeClr>
          </a:solidFill>
          <a:ln w="19050">
            <a:solidFill>
              <a:schemeClr val="lt1"/>
            </a:solidFill>
          </a:ln>
          <a:effectLst/>
        </c:spPr>
      </c:pivotFmt>
      <c:pivotFmt>
        <c:idx val="10"/>
        <c:spPr>
          <a:solidFill>
            <a:schemeClr val="accent5">
              <a:lumMod val="75000"/>
            </a:schemeClr>
          </a:solidFill>
          <a:ln w="19050">
            <a:solidFill>
              <a:schemeClr val="lt1"/>
            </a:solidFill>
          </a:ln>
          <a:effectLst/>
        </c:spPr>
      </c:pivotFmt>
      <c:pivotFmt>
        <c:idx val="11"/>
        <c:spPr>
          <a:solidFill>
            <a:schemeClr val="accent5">
              <a:lumMod val="75000"/>
            </a:schemeClr>
          </a:solidFill>
          <a:ln w="19050">
            <a:solidFill>
              <a:schemeClr val="lt1"/>
            </a:solidFill>
          </a:ln>
          <a:effectLst/>
        </c:spPr>
      </c:pivotFmt>
      <c:pivotFmt>
        <c:idx val="12"/>
        <c:spPr>
          <a:solidFill>
            <a:schemeClr val="accent5">
              <a:lumMod val="60000"/>
              <a:lumOff val="40000"/>
            </a:schemeClr>
          </a:solidFill>
          <a:ln w="19050">
            <a:solidFill>
              <a:schemeClr val="lt1"/>
            </a:solidFill>
          </a:ln>
          <a:effectLst/>
        </c:spPr>
      </c:pivotFmt>
      <c:pivotFmt>
        <c:idx val="13"/>
        <c:spPr>
          <a:solidFill>
            <a:schemeClr val="accent5">
              <a:lumMod val="40000"/>
              <a:lumOff val="60000"/>
            </a:schemeClr>
          </a:solidFill>
          <a:ln w="19050">
            <a:solidFill>
              <a:schemeClr val="lt1"/>
            </a:solidFill>
          </a:ln>
          <a:effectLst/>
        </c:spPr>
      </c:pivotFmt>
      <c:pivotFmt>
        <c:idx val="14"/>
        <c:spPr>
          <a:solidFill>
            <a:schemeClr val="accent5">
              <a:lumMod val="20000"/>
              <a:lumOff val="80000"/>
            </a:schemeClr>
          </a:solidFill>
          <a:ln w="19050">
            <a:solidFill>
              <a:schemeClr val="lt1"/>
            </a:solidFill>
          </a:ln>
          <a:effectLst/>
        </c:spPr>
      </c:pivotFmt>
      <c:pivotFmt>
        <c:idx val="15"/>
        <c:spPr>
          <a:solidFill>
            <a:schemeClr val="accent5">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lumMod val="20000"/>
              <a:lumOff val="80000"/>
            </a:schemeClr>
          </a:solidFill>
          <a:ln w="19050">
            <a:solidFill>
              <a:schemeClr val="lt1"/>
            </a:solidFill>
          </a:ln>
          <a:effectLst/>
        </c:spPr>
      </c:pivotFmt>
      <c:pivotFmt>
        <c:idx val="17"/>
        <c:spPr>
          <a:solidFill>
            <a:schemeClr val="accent5">
              <a:lumMod val="40000"/>
              <a:lumOff val="60000"/>
            </a:schemeClr>
          </a:solidFill>
          <a:ln w="19050">
            <a:solidFill>
              <a:schemeClr val="lt1"/>
            </a:solidFill>
          </a:ln>
          <a:effectLst/>
        </c:spPr>
      </c:pivotFmt>
      <c:pivotFmt>
        <c:idx val="18"/>
        <c:spPr>
          <a:solidFill>
            <a:schemeClr val="accent5">
              <a:lumMod val="60000"/>
              <a:lumOff val="40000"/>
            </a:schemeClr>
          </a:solidFill>
          <a:ln w="19050">
            <a:solidFill>
              <a:schemeClr val="lt1"/>
            </a:solidFill>
          </a:ln>
          <a:effectLst/>
        </c:spPr>
      </c:pivotFmt>
      <c:pivotFmt>
        <c:idx val="19"/>
        <c:spPr>
          <a:solidFill>
            <a:schemeClr val="accent5">
              <a:lumMod val="75000"/>
            </a:schemeClr>
          </a:solidFill>
          <a:ln w="19050">
            <a:solidFill>
              <a:schemeClr val="lt1"/>
            </a:solidFill>
          </a:ln>
          <a:effectLst/>
        </c:spPr>
      </c:pivotFmt>
      <c:pivotFmt>
        <c:idx val="20"/>
        <c:spPr>
          <a:solidFill>
            <a:schemeClr val="accent5">
              <a:lumMod val="75000"/>
            </a:schemeClr>
          </a:solidFill>
          <a:ln w="19050">
            <a:solidFill>
              <a:schemeClr val="lt1"/>
            </a:solidFill>
          </a:ln>
          <a:effectLst/>
        </c:spPr>
      </c:pivotFmt>
      <c:pivotFmt>
        <c:idx val="21"/>
        <c:spPr>
          <a:solidFill>
            <a:schemeClr val="accent5">
              <a:lumMod val="50000"/>
            </a:schemeClr>
          </a:solidFill>
          <a:ln w="19050">
            <a:solidFill>
              <a:schemeClr val="lt1"/>
            </a:solidFill>
          </a:ln>
          <a:effectLst/>
        </c:spPr>
      </c:pivotFmt>
      <c:pivotFmt>
        <c:idx val="22"/>
        <c:spPr>
          <a:solidFill>
            <a:schemeClr val="accent5">
              <a:lumMod val="75000"/>
            </a:schemeClr>
          </a:solidFill>
          <a:ln w="19050">
            <a:solidFill>
              <a:schemeClr val="lt1"/>
            </a:solidFill>
          </a:ln>
          <a:effectLst/>
        </c:spPr>
      </c:pivotFmt>
      <c:pivotFmt>
        <c:idx val="23"/>
        <c:spPr>
          <a:solidFill>
            <a:schemeClr val="accent5">
              <a:lumMod val="60000"/>
              <a:lumOff val="40000"/>
            </a:schemeClr>
          </a:solidFill>
          <a:ln w="19050">
            <a:solidFill>
              <a:schemeClr val="lt1"/>
            </a:solidFill>
          </a:ln>
          <a:effectLst/>
        </c:spPr>
      </c:pivotFmt>
      <c:pivotFmt>
        <c:idx val="24"/>
        <c:spPr>
          <a:solidFill>
            <a:schemeClr val="accent5">
              <a:lumMod val="40000"/>
              <a:lumOff val="60000"/>
            </a:schemeClr>
          </a:solidFill>
          <a:ln w="19050">
            <a:solidFill>
              <a:schemeClr val="lt1"/>
            </a:solidFill>
          </a:ln>
          <a:effectLst/>
        </c:spPr>
      </c:pivotFmt>
      <c:pivotFmt>
        <c:idx val="25"/>
        <c:spPr>
          <a:solidFill>
            <a:schemeClr val="accent5">
              <a:lumMod val="20000"/>
              <a:lumOff val="80000"/>
            </a:schemeClr>
          </a:solidFill>
          <a:ln w="19050">
            <a:solidFill>
              <a:schemeClr val="lt1"/>
            </a:solidFill>
          </a:ln>
          <a:effectLst/>
        </c:spPr>
      </c:pivotFmt>
      <c:pivotFmt>
        <c:idx val="26"/>
        <c:spPr>
          <a:solidFill>
            <a:schemeClr val="accent5">
              <a:lumMod val="50000"/>
            </a:schemeClr>
          </a:solidFill>
          <a:ln w="19050">
            <a:solidFill>
              <a:schemeClr val="lt1"/>
            </a:solidFill>
          </a:ln>
          <a:effectLst/>
        </c:spPr>
      </c:pivotFmt>
      <c:pivotFmt>
        <c:idx val="27"/>
        <c:spPr>
          <a:solidFill>
            <a:schemeClr val="accent5">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20000"/>
              <a:lumOff val="80000"/>
            </a:schemeClr>
          </a:solidFill>
          <a:ln w="19050">
            <a:solidFill>
              <a:schemeClr val="lt1"/>
            </a:solidFill>
          </a:ln>
          <a:effectLst/>
        </c:spPr>
      </c:pivotFmt>
      <c:pivotFmt>
        <c:idx val="29"/>
        <c:spPr>
          <a:solidFill>
            <a:schemeClr val="accent5">
              <a:lumMod val="40000"/>
              <a:lumOff val="60000"/>
            </a:schemeClr>
          </a:solidFill>
          <a:ln w="19050">
            <a:solidFill>
              <a:schemeClr val="lt1"/>
            </a:solidFill>
          </a:ln>
          <a:effectLst/>
        </c:spPr>
      </c:pivotFmt>
      <c:pivotFmt>
        <c:idx val="30"/>
        <c:spPr>
          <a:solidFill>
            <a:schemeClr val="accent5">
              <a:lumMod val="60000"/>
              <a:lumOff val="40000"/>
            </a:schemeClr>
          </a:solidFill>
          <a:ln w="19050">
            <a:solidFill>
              <a:schemeClr val="lt1"/>
            </a:solidFill>
          </a:ln>
          <a:effectLst/>
        </c:spPr>
      </c:pivotFmt>
      <c:pivotFmt>
        <c:idx val="31"/>
        <c:spPr>
          <a:solidFill>
            <a:schemeClr val="accent5">
              <a:lumMod val="50000"/>
            </a:schemeClr>
          </a:solidFill>
          <a:ln w="19050">
            <a:solidFill>
              <a:schemeClr val="lt1"/>
            </a:solidFill>
          </a:ln>
          <a:effectLst/>
        </c:spPr>
      </c:pivotFmt>
      <c:pivotFmt>
        <c:idx val="32"/>
        <c:spPr>
          <a:solidFill>
            <a:schemeClr val="accent5">
              <a:lumMod val="75000"/>
            </a:schemeClr>
          </a:solidFill>
          <a:ln w="19050">
            <a:solidFill>
              <a:schemeClr val="lt1"/>
            </a:solidFill>
          </a:ln>
          <a:effectLst/>
        </c:spPr>
      </c:pivotFmt>
      <c:pivotFmt>
        <c:idx val="33"/>
        <c:spPr>
          <a:solidFill>
            <a:schemeClr val="accent5">
              <a:lumMod val="75000"/>
            </a:schemeClr>
          </a:solidFill>
          <a:ln w="19050">
            <a:solidFill>
              <a:schemeClr val="lt1"/>
            </a:solidFill>
          </a:ln>
          <a:effectLst/>
        </c:spPr>
      </c:pivotFmt>
      <c:pivotFmt>
        <c:idx val="34"/>
        <c:spPr>
          <a:solidFill>
            <a:schemeClr val="accent5">
              <a:lumMod val="50000"/>
            </a:schemeClr>
          </a:solidFill>
          <a:ln w="19050">
            <a:solidFill>
              <a:schemeClr val="lt1"/>
            </a:solidFill>
          </a:ln>
          <a:effectLst/>
        </c:spPr>
      </c:pivotFmt>
      <c:pivotFmt>
        <c:idx val="35"/>
        <c:spPr>
          <a:solidFill>
            <a:schemeClr val="accent5">
              <a:lumMod val="50000"/>
            </a:schemeClr>
          </a:solidFill>
          <a:ln w="19050">
            <a:solidFill>
              <a:schemeClr val="lt1"/>
            </a:solidFill>
          </a:ln>
          <a:effectLst/>
        </c:spPr>
      </c:pivotFmt>
      <c:pivotFmt>
        <c:idx val="36"/>
        <c:spPr>
          <a:solidFill>
            <a:schemeClr val="accent5">
              <a:lumMod val="20000"/>
              <a:lumOff val="80000"/>
            </a:schemeClr>
          </a:solidFill>
          <a:ln w="19050">
            <a:solidFill>
              <a:schemeClr val="lt1"/>
            </a:solidFill>
          </a:ln>
          <a:effectLst/>
        </c:spPr>
      </c:pivotFmt>
      <c:pivotFmt>
        <c:idx val="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layout>
            <c:manualLayout>
              <c:x val="0"/>
              <c:y val="-0.158914728682170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layout>
            <c:manualLayout>
              <c:x val="0.2198032617717656"/>
              <c:y val="7.751937984496123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layout>
            <c:manualLayout>
              <c:x val="2.2870211549456832E-3"/>
              <c:y val="0.14341085271317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layout>
            <c:manualLayout>
              <c:x val="-0.21815644839266887"/>
              <c:y val="-7.75193798449619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layout>
            <c:manualLayout>
              <c:x val="0"/>
              <c:y val="-0.158914728682170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layout>
            <c:manualLayout>
              <c:x val="0.2198032617717656"/>
              <c:y val="7.751937984496123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layout>
            <c:manualLayout>
              <c:x val="2.2870211549456832E-3"/>
              <c:y val="0.14341085271317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layout>
            <c:manualLayout>
              <c:x val="-0.21815644839266887"/>
              <c:y val="-7.75193798449619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ln w="28575" cap="rnd">
            <a:solidFill>
              <a:schemeClr val="accent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ln w="28575" cap="rnd">
            <a:solidFill>
              <a:schemeClr val="accent1">
                <a:lumMod val="50000"/>
              </a:schemeClr>
            </a:solidFill>
            <a:round/>
          </a:ln>
          <a:effectLst/>
        </c:spPr>
        <c:marker>
          <c:symbol val="none"/>
        </c:marker>
        <c:dLbl>
          <c:idx val="0"/>
          <c:layout>
            <c:manualLayout>
              <c:x val="0.17460183154480938"/>
              <c:y val="-1.884529334079594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634478925428438"/>
                  <c:h val="0.11842349990103607"/>
                </c:manualLayout>
              </c15:layout>
            </c:ext>
          </c:extLst>
        </c:dLbl>
      </c:pivotFmt>
      <c:pivotFmt>
        <c:idx val="49"/>
        <c:spPr>
          <a:ln w="28575" cap="rnd">
            <a:solidFill>
              <a:schemeClr val="accent1">
                <a:lumMod val="50000"/>
              </a:schemeClr>
            </a:solidFill>
            <a:round/>
          </a:ln>
          <a:effectLst/>
        </c:spPr>
        <c:marker>
          <c:symbol val="none"/>
        </c:marker>
        <c:dLbl>
          <c:idx val="0"/>
          <c:layout>
            <c:manualLayout>
              <c:x val="0.1249407711260932"/>
              <c:y val="4.636256531619871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8374877257989806"/>
                  <c:h val="0.14566271419178525"/>
                </c:manualLayout>
              </c15:layout>
            </c:ext>
          </c:extLst>
        </c:dLbl>
      </c:pivotFmt>
      <c:pivotFmt>
        <c:idx val="50"/>
        <c:spPr>
          <a:ln w="28575" cap="rnd">
            <a:solidFill>
              <a:schemeClr val="accent1">
                <a:lumMod val="50000"/>
              </a:schemeClr>
            </a:solidFill>
            <a:round/>
          </a:ln>
          <a:effectLst/>
        </c:spPr>
        <c:marker>
          <c:symbol val="none"/>
        </c:marker>
        <c:dLbl>
          <c:idx val="0"/>
          <c:layout>
            <c:manualLayout>
              <c:x val="1.927040296433534E-2"/>
              <c:y val="1.0642497081490162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4032053672422924"/>
                  <c:h val="0.17522797335103005"/>
                </c:manualLayout>
              </c15:layout>
            </c:ext>
          </c:extLst>
        </c:dLbl>
      </c:pivotFmt>
      <c:pivotFmt>
        <c:idx val="51"/>
        <c:spPr>
          <a:ln w="28575" cap="rnd">
            <a:solidFill>
              <a:schemeClr val="accent1">
                <a:lumMod val="50000"/>
              </a:schemeClr>
            </a:solidFill>
            <a:round/>
          </a:ln>
          <a:effectLst/>
        </c:spPr>
        <c:marker>
          <c:symbol val="none"/>
        </c:marker>
        <c:dLbl>
          <c:idx val="0"/>
          <c:layout>
            <c:manualLayout>
              <c:x val="-0.11556794285146976"/>
              <c:y val="-6.026332876468842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994201018990272"/>
                  <c:h val="0.13592966898311845"/>
                </c:manualLayout>
              </c15:layout>
            </c:ext>
          </c:extLst>
        </c:dLbl>
      </c:pivotFmt>
    </c:pivotFmts>
    <c:plotArea>
      <c:layout>
        <c:manualLayout>
          <c:layoutTarget val="inner"/>
          <c:xMode val="edge"/>
          <c:yMode val="edge"/>
          <c:x val="0.20686520937312913"/>
          <c:y val="0.23968896488607033"/>
          <c:w val="0.6632953215582571"/>
          <c:h val="0.65029299557678777"/>
        </c:manualLayout>
      </c:layout>
      <c:radarChart>
        <c:radarStyle val="marker"/>
        <c:varyColors val="0"/>
        <c:ser>
          <c:idx val="0"/>
          <c:order val="0"/>
          <c:tx>
            <c:strRef>
              <c:f>'SALES PERFORMANCE BY REGION'!$B$3</c:f>
              <c:strCache>
                <c:ptCount val="1"/>
                <c:pt idx="0">
                  <c:v>Total</c:v>
                </c:pt>
              </c:strCache>
            </c:strRef>
          </c:tx>
          <c:spPr>
            <a:ln w="28575" cap="rnd">
              <a:solidFill>
                <a:schemeClr val="accent1">
                  <a:lumMod val="50000"/>
                </a:schemeClr>
              </a:solidFill>
              <a:round/>
            </a:ln>
            <a:effectLst/>
          </c:spPr>
          <c:marker>
            <c:symbol val="none"/>
          </c:marker>
          <c:dPt>
            <c:idx val="0"/>
            <c:marker>
              <c:symbol val="none"/>
            </c:marker>
            <c:bubble3D val="0"/>
            <c:spPr>
              <a:ln w="28575" cap="rnd">
                <a:solidFill>
                  <a:schemeClr val="accent1">
                    <a:lumMod val="50000"/>
                  </a:schemeClr>
                </a:solidFill>
                <a:round/>
              </a:ln>
              <a:effectLst/>
            </c:spPr>
            <c:extLst>
              <c:ext xmlns:c16="http://schemas.microsoft.com/office/drawing/2014/chart" uri="{C3380CC4-5D6E-409C-BE32-E72D297353CC}">
                <c16:uniqueId val="{00000001-8A28-415D-A0AB-C9C8390B4A11}"/>
              </c:ext>
            </c:extLst>
          </c:dPt>
          <c:dPt>
            <c:idx val="1"/>
            <c:marker>
              <c:symbol val="none"/>
            </c:marker>
            <c:bubble3D val="0"/>
            <c:spPr>
              <a:ln w="28575" cap="rnd">
                <a:solidFill>
                  <a:schemeClr val="accent1">
                    <a:lumMod val="50000"/>
                  </a:schemeClr>
                </a:solidFill>
                <a:round/>
              </a:ln>
              <a:effectLst/>
            </c:spPr>
            <c:extLst>
              <c:ext xmlns:c16="http://schemas.microsoft.com/office/drawing/2014/chart" uri="{C3380CC4-5D6E-409C-BE32-E72D297353CC}">
                <c16:uniqueId val="{00000003-8A28-415D-A0AB-C9C8390B4A11}"/>
              </c:ext>
            </c:extLst>
          </c:dPt>
          <c:dPt>
            <c:idx val="2"/>
            <c:marker>
              <c:symbol val="none"/>
            </c:marker>
            <c:bubble3D val="0"/>
            <c:spPr>
              <a:ln w="28575" cap="rnd">
                <a:solidFill>
                  <a:schemeClr val="accent1">
                    <a:lumMod val="50000"/>
                  </a:schemeClr>
                </a:solidFill>
                <a:round/>
              </a:ln>
              <a:effectLst/>
            </c:spPr>
            <c:extLst>
              <c:ext xmlns:c16="http://schemas.microsoft.com/office/drawing/2014/chart" uri="{C3380CC4-5D6E-409C-BE32-E72D297353CC}">
                <c16:uniqueId val="{00000005-8A28-415D-A0AB-C9C8390B4A11}"/>
              </c:ext>
            </c:extLst>
          </c:dPt>
          <c:dPt>
            <c:idx val="3"/>
            <c:marker>
              <c:symbol val="none"/>
            </c:marker>
            <c:bubble3D val="0"/>
            <c:spPr>
              <a:ln w="28575" cap="rnd">
                <a:solidFill>
                  <a:schemeClr val="accent1">
                    <a:lumMod val="50000"/>
                  </a:schemeClr>
                </a:solidFill>
                <a:round/>
              </a:ln>
              <a:effectLst/>
            </c:spPr>
            <c:extLst>
              <c:ext xmlns:c16="http://schemas.microsoft.com/office/drawing/2014/chart" uri="{C3380CC4-5D6E-409C-BE32-E72D297353CC}">
                <c16:uniqueId val="{00000007-8A28-415D-A0AB-C9C8390B4A11}"/>
              </c:ext>
            </c:extLst>
          </c:dPt>
          <c:dPt>
            <c:idx val="4"/>
            <c:marker>
              <c:symbol val="none"/>
            </c:marker>
            <c:bubble3D val="0"/>
            <c:extLst>
              <c:ext xmlns:c16="http://schemas.microsoft.com/office/drawing/2014/chart" uri="{C3380CC4-5D6E-409C-BE32-E72D297353CC}">
                <c16:uniqueId val="{00000008-8A28-415D-A0AB-C9C8390B4A11}"/>
              </c:ext>
            </c:extLst>
          </c:dPt>
          <c:dPt>
            <c:idx val="5"/>
            <c:marker>
              <c:symbol val="none"/>
            </c:marker>
            <c:bubble3D val="0"/>
            <c:extLst>
              <c:ext xmlns:c16="http://schemas.microsoft.com/office/drawing/2014/chart" uri="{C3380CC4-5D6E-409C-BE32-E72D297353CC}">
                <c16:uniqueId val="{00000009-8A28-415D-A0AB-C9C8390B4A11}"/>
              </c:ext>
            </c:extLst>
          </c:dPt>
          <c:dLbls>
            <c:dLbl>
              <c:idx val="0"/>
              <c:layout>
                <c:manualLayout>
                  <c:x val="0.17460183154480938"/>
                  <c:y val="-1.8845293340795943E-2"/>
                </c:manualLayout>
              </c:layout>
              <c:showLegendKey val="0"/>
              <c:showVal val="1"/>
              <c:showCatName val="0"/>
              <c:showSerName val="0"/>
              <c:showPercent val="0"/>
              <c:showBubbleSize val="0"/>
              <c:extLst>
                <c:ext xmlns:c15="http://schemas.microsoft.com/office/drawing/2012/chart" uri="{CE6537A1-D6FC-4f65-9D91-7224C49458BB}">
                  <c15:layout>
                    <c:manualLayout>
                      <c:w val="0.24634478925428438"/>
                      <c:h val="0.11842349990103607"/>
                    </c:manualLayout>
                  </c15:layout>
                </c:ext>
                <c:ext xmlns:c16="http://schemas.microsoft.com/office/drawing/2014/chart" uri="{C3380CC4-5D6E-409C-BE32-E72D297353CC}">
                  <c16:uniqueId val="{00000001-8A28-415D-A0AB-C9C8390B4A11}"/>
                </c:ext>
              </c:extLst>
            </c:dLbl>
            <c:dLbl>
              <c:idx val="1"/>
              <c:layout>
                <c:manualLayout>
                  <c:x val="0.1249407711260932"/>
                  <c:y val="4.6362565316198714E-2"/>
                </c:manualLayout>
              </c:layout>
              <c:showLegendKey val="0"/>
              <c:showVal val="1"/>
              <c:showCatName val="0"/>
              <c:showSerName val="0"/>
              <c:showPercent val="0"/>
              <c:showBubbleSize val="0"/>
              <c:extLst>
                <c:ext xmlns:c15="http://schemas.microsoft.com/office/drawing/2012/chart" uri="{CE6537A1-D6FC-4f65-9D91-7224C49458BB}">
                  <c15:layout>
                    <c:manualLayout>
                      <c:w val="0.28374877257989806"/>
                      <c:h val="0.14566271419178525"/>
                    </c:manualLayout>
                  </c15:layout>
                </c:ext>
                <c:ext xmlns:c16="http://schemas.microsoft.com/office/drawing/2014/chart" uri="{C3380CC4-5D6E-409C-BE32-E72D297353CC}">
                  <c16:uniqueId val="{00000003-8A28-415D-A0AB-C9C8390B4A11}"/>
                </c:ext>
              </c:extLst>
            </c:dLbl>
            <c:dLbl>
              <c:idx val="2"/>
              <c:layout>
                <c:manualLayout>
                  <c:x val="1.927040296433534E-2"/>
                  <c:y val="1.0642497081490162E-3"/>
                </c:manualLayout>
              </c:layout>
              <c:showLegendKey val="0"/>
              <c:showVal val="1"/>
              <c:showCatName val="0"/>
              <c:showSerName val="0"/>
              <c:showPercent val="0"/>
              <c:showBubbleSize val="0"/>
              <c:extLst>
                <c:ext xmlns:c15="http://schemas.microsoft.com/office/drawing/2012/chart" uri="{CE6537A1-D6FC-4f65-9D91-7224C49458BB}">
                  <c15:layout>
                    <c:manualLayout>
                      <c:w val="0.34032053672422924"/>
                      <c:h val="0.17522797335103005"/>
                    </c:manualLayout>
                  </c15:layout>
                </c:ext>
                <c:ext xmlns:c16="http://schemas.microsoft.com/office/drawing/2014/chart" uri="{C3380CC4-5D6E-409C-BE32-E72D297353CC}">
                  <c16:uniqueId val="{00000005-8A28-415D-A0AB-C9C8390B4A11}"/>
                </c:ext>
              </c:extLst>
            </c:dLbl>
            <c:dLbl>
              <c:idx val="3"/>
              <c:layout>
                <c:manualLayout>
                  <c:x val="-0.11556794285146976"/>
                  <c:y val="-6.0263328764688429E-2"/>
                </c:manualLayout>
              </c:layout>
              <c:showLegendKey val="0"/>
              <c:showVal val="1"/>
              <c:showCatName val="0"/>
              <c:showSerName val="0"/>
              <c:showPercent val="0"/>
              <c:showBubbleSize val="0"/>
              <c:extLst>
                <c:ext xmlns:c15="http://schemas.microsoft.com/office/drawing/2012/chart" uri="{CE6537A1-D6FC-4f65-9D91-7224C49458BB}">
                  <c15:layout>
                    <c:manualLayout>
                      <c:w val="0.24994201018990272"/>
                      <c:h val="0.13592966898311845"/>
                    </c:manualLayout>
                  </c15:layout>
                </c:ext>
                <c:ext xmlns:c16="http://schemas.microsoft.com/office/drawing/2014/chart" uri="{C3380CC4-5D6E-409C-BE32-E72D297353CC}">
                  <c16:uniqueId val="{00000007-8A28-415D-A0AB-C9C8390B4A11}"/>
                </c:ext>
              </c:extLst>
            </c:dLbl>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noFill/>
                      <a:round/>
                    </a:ln>
                    <a:effectLst/>
                  </c:spPr>
                </c15:leaderLines>
              </c:ext>
            </c:extLst>
          </c:dLbls>
          <c:cat>
            <c:strRef>
              <c:f>'SALES PERFORMANCE BY REGION'!$A$4:$A$8</c:f>
              <c:strCache>
                <c:ptCount val="4"/>
                <c:pt idx="0">
                  <c:v>North</c:v>
                </c:pt>
                <c:pt idx="1">
                  <c:v>East</c:v>
                </c:pt>
                <c:pt idx="2">
                  <c:v>South</c:v>
                </c:pt>
                <c:pt idx="3">
                  <c:v>West</c:v>
                </c:pt>
              </c:strCache>
            </c:strRef>
          </c:cat>
          <c:val>
            <c:numRef>
              <c:f>'SALES PERFORMANCE BY REGION'!$B$4:$B$8</c:f>
              <c:numCache>
                <c:formatCode>"$"#,##0.00</c:formatCode>
                <c:ptCount val="4"/>
                <c:pt idx="0">
                  <c:v>141680.33999999997</c:v>
                </c:pt>
                <c:pt idx="1">
                  <c:v>108275.51</c:v>
                </c:pt>
                <c:pt idx="2">
                  <c:v>93858.329999999987</c:v>
                </c:pt>
                <c:pt idx="3">
                  <c:v>91251.979999999981</c:v>
                </c:pt>
              </c:numCache>
            </c:numRef>
          </c:val>
          <c:extLst>
            <c:ext xmlns:c16="http://schemas.microsoft.com/office/drawing/2014/chart" uri="{C3380CC4-5D6E-409C-BE32-E72D297353CC}">
              <c16:uniqueId val="{0000000A-8A28-415D-A0AB-C9C8390B4A11}"/>
            </c:ext>
          </c:extLst>
        </c:ser>
        <c:dLbls>
          <c:showLegendKey val="0"/>
          <c:showVal val="0"/>
          <c:showCatName val="0"/>
          <c:showSerName val="0"/>
          <c:showPercent val="0"/>
          <c:showBubbleSize val="0"/>
        </c:dLbls>
        <c:axId val="221186160"/>
        <c:axId val="221205840"/>
      </c:radarChart>
      <c:catAx>
        <c:axId val="2211861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221205840"/>
        <c:crosses val="autoZero"/>
        <c:auto val="1"/>
        <c:lblAlgn val="ctr"/>
        <c:lblOffset val="100"/>
        <c:noMultiLvlLbl val="0"/>
      </c:catAx>
      <c:valAx>
        <c:axId val="221205840"/>
        <c:scaling>
          <c:orientation val="minMax"/>
        </c:scaling>
        <c:delete val="1"/>
        <c:axPos val="l"/>
        <c:numFmt formatCode="&quot;$&quot;#,##0.00" sourceLinked="1"/>
        <c:majorTickMark val="out"/>
        <c:minorTickMark val="none"/>
        <c:tickLblPos val="nextTo"/>
        <c:crossAx val="221186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[FlutterCo Sales Data.xlsx]TOP 10 CUSTOMERS!PivotTable2</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dLbl>
          <c:idx val="0"/>
          <c:layout>
            <c:manualLayout>
              <c:x val="-1.3877787807814457E-17"/>
              <c:y val="1.03092783505154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2187950301008858"/>
                  <c:h val="6.1804259003707E-2"/>
                </c:manualLayout>
              </c15:layout>
            </c:ext>
          </c:extLst>
        </c:dLbl>
      </c:pivotFmt>
      <c:pivotFmt>
        <c:idx val="2"/>
        <c:spPr>
          <a:solidFill>
            <a:schemeClr val="accent5">
              <a:lumMod val="75000"/>
            </a:schemeClr>
          </a:solidFill>
          <a:ln>
            <a:solidFill>
              <a:schemeClr val="accent5">
                <a:lumMod val="60000"/>
                <a:lumOff val="40000"/>
              </a:schemeClr>
            </a:solidFill>
          </a:ln>
          <a:effectLst/>
        </c:spPr>
      </c:pivotFmt>
      <c:pivotFmt>
        <c:idx val="3"/>
        <c:spPr>
          <a:solidFill>
            <a:schemeClr val="accent5">
              <a:lumMod val="75000"/>
            </a:schemeClr>
          </a:solidFill>
          <a:ln>
            <a:solidFill>
              <a:schemeClr val="accent5">
                <a:lumMod val="60000"/>
                <a:lumOff val="40000"/>
              </a:schemeClr>
            </a:solidFill>
          </a:ln>
          <a:effectLst/>
        </c:spPr>
      </c:pivotFmt>
      <c:pivotFmt>
        <c:idx val="4"/>
        <c:spPr>
          <a:solidFill>
            <a:schemeClr val="accent5">
              <a:lumMod val="60000"/>
              <a:lumOff val="40000"/>
            </a:schemeClr>
          </a:solidFill>
          <a:ln>
            <a:solidFill>
              <a:schemeClr val="accent5">
                <a:lumMod val="40000"/>
                <a:lumOff val="60000"/>
              </a:schemeClr>
            </a:solidFill>
          </a:ln>
          <a:effectLst/>
        </c:spPr>
      </c:pivotFmt>
      <c:pivotFmt>
        <c:idx val="5"/>
        <c:spPr>
          <a:solidFill>
            <a:schemeClr val="accent5">
              <a:lumMod val="40000"/>
              <a:lumOff val="6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60000"/>
              <a:lumOff val="40000"/>
            </a:schemeClr>
          </a:solidFill>
          <a:ln>
            <a:noFill/>
          </a:ln>
          <a:effectLst/>
        </c:spPr>
      </c:pivotFmt>
      <c:pivotFmt>
        <c:idx val="8"/>
        <c:spPr>
          <a:solidFill>
            <a:schemeClr val="accent5">
              <a:lumMod val="20000"/>
              <a:lumOff val="8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dLbl>
          <c:idx val="0"/>
          <c:layout>
            <c:manualLayout>
              <c:x val="-1.3877787807814457E-17"/>
              <c:y val="1.03092783505154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2187950301008858"/>
                  <c:h val="6.1804259003707E-2"/>
                </c:manualLayout>
              </c15:layout>
            </c:ext>
          </c:extLst>
        </c:dLbl>
      </c:pivotFmt>
      <c:pivotFmt>
        <c:idx val="11"/>
        <c:spPr>
          <a:solidFill>
            <a:schemeClr val="accent5">
              <a:lumMod val="75000"/>
            </a:schemeClr>
          </a:solidFill>
          <a:ln>
            <a:solidFill>
              <a:schemeClr val="accent5">
                <a:lumMod val="60000"/>
                <a:lumOff val="40000"/>
              </a:schemeClr>
            </a:solidFill>
          </a:ln>
          <a:effectLst/>
        </c:spPr>
      </c:pivotFmt>
      <c:pivotFmt>
        <c:idx val="12"/>
        <c:spPr>
          <a:solidFill>
            <a:schemeClr val="accent5">
              <a:lumMod val="75000"/>
            </a:schemeClr>
          </a:solidFill>
          <a:ln>
            <a:solidFill>
              <a:schemeClr val="accent5">
                <a:lumMod val="60000"/>
                <a:lumOff val="40000"/>
              </a:schemeClr>
            </a:solidFill>
          </a:ln>
          <a:effectLst/>
        </c:spPr>
      </c:pivotFmt>
      <c:pivotFmt>
        <c:idx val="13"/>
        <c:spPr>
          <a:solidFill>
            <a:schemeClr val="accent5">
              <a:lumMod val="60000"/>
              <a:lumOff val="40000"/>
            </a:schemeClr>
          </a:solidFill>
          <a:ln>
            <a:solidFill>
              <a:schemeClr val="accent5">
                <a:lumMod val="40000"/>
                <a:lumOff val="60000"/>
              </a:schemeClr>
            </a:solidFill>
          </a:ln>
          <a:effectLst/>
        </c:spPr>
      </c:pivotFmt>
      <c:pivotFmt>
        <c:idx val="14"/>
        <c:spPr>
          <a:solidFill>
            <a:schemeClr val="accent5">
              <a:lumMod val="40000"/>
              <a:lumOff val="6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60000"/>
              <a:lumOff val="4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5">
              <a:lumMod val="50000"/>
            </a:schemeClr>
          </a:solidFill>
          <a:ln>
            <a:noFill/>
          </a:ln>
          <a:effectLst/>
        </c:spPr>
      </c:pivotFmt>
      <c:pivotFmt>
        <c:idx val="19"/>
        <c:spPr>
          <a:solidFill>
            <a:schemeClr val="accent5">
              <a:lumMod val="75000"/>
            </a:schemeClr>
          </a:solidFill>
          <a:ln>
            <a:noFill/>
          </a:ln>
          <a:effectLst/>
        </c:spPr>
      </c:pivotFmt>
      <c:pivotFmt>
        <c:idx val="20"/>
        <c:spPr>
          <a:solidFill>
            <a:schemeClr val="accent5">
              <a:lumMod val="60000"/>
              <a:lumOff val="40000"/>
            </a:schemeClr>
          </a:solidFill>
          <a:ln>
            <a:noFill/>
          </a:ln>
          <a:effectLst/>
        </c:spPr>
      </c:pivotFmt>
      <c:pivotFmt>
        <c:idx val="21"/>
        <c:spPr>
          <a:solidFill>
            <a:schemeClr val="accent5">
              <a:lumMod val="40000"/>
              <a:lumOff val="60000"/>
            </a:schemeClr>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50000"/>
            </a:schemeClr>
          </a:solidFill>
          <a:ln>
            <a:noFill/>
          </a:ln>
          <a:effectLst/>
        </c:spPr>
      </c:pivotFmt>
      <c:pivotFmt>
        <c:idx val="24"/>
        <c:spPr>
          <a:solidFill>
            <a:schemeClr val="accent5">
              <a:lumMod val="75000"/>
            </a:schemeClr>
          </a:solidFill>
          <a:ln>
            <a:noFill/>
          </a:ln>
          <a:effectLst/>
        </c:spPr>
      </c:pivotFmt>
      <c:pivotFmt>
        <c:idx val="25"/>
        <c:spPr>
          <a:solidFill>
            <a:schemeClr val="accent5">
              <a:lumMod val="60000"/>
              <a:lumOff val="40000"/>
            </a:schemeClr>
          </a:solidFill>
          <a:ln>
            <a:noFill/>
          </a:ln>
          <a:effectLst/>
        </c:spPr>
      </c:pivotFmt>
      <c:pivotFmt>
        <c:idx val="26"/>
        <c:spPr>
          <a:solidFill>
            <a:schemeClr val="accent5">
              <a:lumMod val="40000"/>
              <a:lumOff val="60000"/>
            </a:schemeClr>
          </a:solidFill>
          <a:ln>
            <a:noFill/>
          </a:ln>
          <a:effectLst/>
        </c:spPr>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lumMod val="50000"/>
            </a:schemeClr>
          </a:solidFill>
          <a:ln>
            <a:noFill/>
          </a:ln>
          <a:effectLst/>
        </c:spPr>
      </c:pivotFmt>
      <c:pivotFmt>
        <c:idx val="29"/>
        <c:spPr>
          <a:solidFill>
            <a:schemeClr val="accent5">
              <a:lumMod val="75000"/>
            </a:schemeClr>
          </a:solidFill>
          <a:ln>
            <a:noFill/>
          </a:ln>
          <a:effectLst/>
        </c:spPr>
      </c:pivotFmt>
      <c:pivotFmt>
        <c:idx val="30"/>
        <c:spPr>
          <a:solidFill>
            <a:schemeClr val="accent5">
              <a:lumMod val="40000"/>
              <a:lumOff val="60000"/>
            </a:schemeClr>
          </a:solidFill>
          <a:ln>
            <a:noFill/>
          </a:ln>
          <a:effectLst/>
        </c:spPr>
      </c:pivotFmt>
      <c:pivotFmt>
        <c:idx val="31"/>
        <c:spPr>
          <a:solidFill>
            <a:schemeClr val="accent5">
              <a:lumMod val="75000"/>
            </a:schemeClr>
          </a:solidFill>
          <a:ln>
            <a:noFill/>
          </a:ln>
          <a:effectLst/>
        </c:spPr>
      </c:pivotFmt>
      <c:pivotFmt>
        <c:idx val="32"/>
        <c:spPr>
          <a:solidFill>
            <a:schemeClr val="accent5">
              <a:lumMod val="60000"/>
              <a:lumOff val="40000"/>
            </a:schemeClr>
          </a:solidFill>
          <a:ln>
            <a:noFill/>
          </a:ln>
          <a:effectLst/>
        </c:spPr>
      </c:pivotFmt>
      <c:pivotFmt>
        <c:idx val="33"/>
        <c:spPr>
          <a:solidFill>
            <a:schemeClr val="accent5">
              <a:lumMod val="60000"/>
              <a:lumOff val="40000"/>
            </a:schemeClr>
          </a:solidFill>
          <a:ln>
            <a:noFill/>
          </a:ln>
          <a:effectLst/>
        </c:spPr>
      </c:pivotFmt>
      <c:pivotFmt>
        <c:idx val="34"/>
        <c:spPr>
          <a:solidFill>
            <a:schemeClr val="accent5">
              <a:lumMod val="40000"/>
              <a:lumOff val="60000"/>
            </a:schemeClr>
          </a:solidFill>
          <a:ln>
            <a:noFill/>
          </a:ln>
          <a:effectLst/>
        </c:spPr>
      </c:pivotFmt>
      <c:pivotFmt>
        <c:idx val="35"/>
        <c:spPr>
          <a:solidFill>
            <a:schemeClr val="accent5">
              <a:lumMod val="20000"/>
              <a:lumOff val="80000"/>
            </a:schemeClr>
          </a:solidFill>
          <a:ln>
            <a:noFill/>
          </a:ln>
          <a:effectLst/>
        </c:spPr>
      </c:pivotFmt>
      <c:pivotFmt>
        <c:idx val="36"/>
        <c:spPr>
          <a:solidFill>
            <a:schemeClr val="accent5">
              <a:lumMod val="20000"/>
              <a:lumOff val="80000"/>
            </a:schemeClr>
          </a:solidFill>
          <a:ln>
            <a:noFill/>
          </a:ln>
          <a:effectLst/>
        </c:spPr>
      </c:pivotFmt>
      <c:pivotFmt>
        <c:idx val="37"/>
        <c:spPr>
          <a:solidFill>
            <a:schemeClr val="accent5">
              <a:lumMod val="20000"/>
              <a:lumOff val="80000"/>
            </a:schemeClr>
          </a:solidFill>
          <a:ln>
            <a:noFill/>
          </a:ln>
          <a:effectLst/>
        </c:spP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lumMod val="50000"/>
            </a:schemeClr>
          </a:solidFill>
          <a:ln>
            <a:noFill/>
          </a:ln>
          <a:effectLst/>
        </c:spPr>
      </c:pivotFmt>
      <c:pivotFmt>
        <c:idx val="40"/>
        <c:spPr>
          <a:solidFill>
            <a:schemeClr val="accent5">
              <a:lumMod val="75000"/>
            </a:schemeClr>
          </a:solidFill>
          <a:ln>
            <a:noFill/>
          </a:ln>
          <a:effectLst/>
        </c:spPr>
      </c:pivotFmt>
      <c:pivotFmt>
        <c:idx val="41"/>
        <c:spPr>
          <a:solidFill>
            <a:schemeClr val="accent5">
              <a:lumMod val="40000"/>
              <a:lumOff val="60000"/>
            </a:schemeClr>
          </a:solidFill>
          <a:ln>
            <a:noFill/>
          </a:ln>
          <a:effectLst/>
        </c:spPr>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lumMod val="50000"/>
            </a:schemeClr>
          </a:solidFill>
          <a:ln>
            <a:solidFill>
              <a:schemeClr val="accent1">
                <a:lumMod val="50000"/>
              </a:schemeClr>
            </a:solidFill>
          </a:ln>
          <a:effectLst/>
        </c:spPr>
        <c:dLbl>
          <c:idx val="0"/>
          <c:layout>
            <c:manualLayout>
              <c:x val="0.14635657485378015"/>
              <c:y val="-0.1644856726933967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298311928383135"/>
                  <c:h val="0.18633513557640383"/>
                </c:manualLayout>
              </c15:layout>
            </c:ext>
          </c:extLst>
        </c:dLbl>
      </c:pivotFmt>
      <c:pivotFmt>
        <c:idx val="44"/>
        <c:spPr>
          <a:solidFill>
            <a:schemeClr val="accent5">
              <a:lumMod val="75000"/>
            </a:schemeClr>
          </a:solidFill>
          <a:ln>
            <a:solidFill>
              <a:schemeClr val="accent1">
                <a:lumMod val="75000"/>
              </a:schemeClr>
            </a:solidFill>
          </a:ln>
          <a:effectLst/>
        </c:spPr>
        <c:dLbl>
          <c:idx val="0"/>
          <c:layout>
            <c:manualLayout>
              <c:x val="-0.24696692024933528"/>
              <c:y val="-3.98756040676075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lumMod val="20000"/>
              <a:lumOff val="80000"/>
            </a:schemeClr>
          </a:solidFill>
          <a:ln>
            <a:noFill/>
          </a:ln>
          <a:effectLst/>
        </c:spPr>
        <c:dLbl>
          <c:idx val="0"/>
          <c:layout>
            <c:manualLayout>
              <c:x val="-0.16868215406876358"/>
              <c:y val="-4.98442661040151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32415401401641"/>
          <c:y val="0.20317469023858742"/>
          <c:w val="0.49399361679910775"/>
          <c:h val="0.74603163720176568"/>
        </c:manualLayout>
      </c:layout>
      <c:doughnutChart>
        <c:varyColors val="1"/>
        <c:ser>
          <c:idx val="0"/>
          <c:order val="0"/>
          <c:tx>
            <c:strRef>
              <c:f>'TOP 10 CUSTOMERS'!$B$3</c:f>
              <c:strCache>
                <c:ptCount val="1"/>
                <c:pt idx="0">
                  <c:v>Total</c:v>
                </c:pt>
              </c:strCache>
            </c:strRef>
          </c:tx>
          <c:dPt>
            <c:idx val="0"/>
            <c:bubble3D val="0"/>
            <c:spPr>
              <a:solidFill>
                <a:schemeClr val="accent1">
                  <a:lumMod val="50000"/>
                </a:schemeClr>
              </a:solidFill>
              <a:ln>
                <a:solidFill>
                  <a:schemeClr val="accent1">
                    <a:lumMod val="50000"/>
                  </a:schemeClr>
                </a:solidFill>
              </a:ln>
              <a:effectLst/>
            </c:spPr>
            <c:extLst>
              <c:ext xmlns:c16="http://schemas.microsoft.com/office/drawing/2014/chart" uri="{C3380CC4-5D6E-409C-BE32-E72D297353CC}">
                <c16:uniqueId val="{00000001-7054-4A8D-A753-6748B43814A7}"/>
              </c:ext>
            </c:extLst>
          </c:dPt>
          <c:dPt>
            <c:idx val="1"/>
            <c:bubble3D val="0"/>
            <c:spPr>
              <a:solidFill>
                <a:schemeClr val="accent5">
                  <a:lumMod val="75000"/>
                </a:schemeClr>
              </a:solidFill>
              <a:ln>
                <a:solidFill>
                  <a:schemeClr val="accent1">
                    <a:lumMod val="75000"/>
                  </a:schemeClr>
                </a:solidFill>
              </a:ln>
              <a:effectLst/>
            </c:spPr>
            <c:extLst>
              <c:ext xmlns:c16="http://schemas.microsoft.com/office/drawing/2014/chart" uri="{C3380CC4-5D6E-409C-BE32-E72D297353CC}">
                <c16:uniqueId val="{00000003-7054-4A8D-A753-6748B43814A7}"/>
              </c:ext>
            </c:extLst>
          </c:dPt>
          <c:dPt>
            <c:idx val="2"/>
            <c:bubble3D val="0"/>
            <c:spPr>
              <a:solidFill>
                <a:schemeClr val="accent1">
                  <a:lumMod val="20000"/>
                  <a:lumOff val="80000"/>
                </a:schemeClr>
              </a:solidFill>
              <a:ln>
                <a:noFill/>
              </a:ln>
              <a:effectLst/>
            </c:spPr>
            <c:extLst>
              <c:ext xmlns:c16="http://schemas.microsoft.com/office/drawing/2014/chart" uri="{C3380CC4-5D6E-409C-BE32-E72D297353CC}">
                <c16:uniqueId val="{00000005-7054-4A8D-A753-6748B43814A7}"/>
              </c:ext>
            </c:extLst>
          </c:dPt>
          <c:dPt>
            <c:idx val="3"/>
            <c:bubble3D val="0"/>
            <c:spPr>
              <a:solidFill>
                <a:schemeClr val="accent4"/>
              </a:solidFill>
              <a:ln>
                <a:noFill/>
              </a:ln>
              <a:effectLst/>
            </c:spPr>
            <c:extLst>
              <c:ext xmlns:c16="http://schemas.microsoft.com/office/drawing/2014/chart" uri="{C3380CC4-5D6E-409C-BE32-E72D297353CC}">
                <c16:uniqueId val="{00000007-7054-4A8D-A753-6748B43814A7}"/>
              </c:ext>
            </c:extLst>
          </c:dPt>
          <c:dPt>
            <c:idx val="4"/>
            <c:bubble3D val="0"/>
            <c:spPr>
              <a:solidFill>
                <a:schemeClr val="accent5"/>
              </a:solidFill>
              <a:ln>
                <a:noFill/>
              </a:ln>
              <a:effectLst/>
            </c:spPr>
            <c:extLst>
              <c:ext xmlns:c16="http://schemas.microsoft.com/office/drawing/2014/chart" uri="{C3380CC4-5D6E-409C-BE32-E72D297353CC}">
                <c16:uniqueId val="{00000009-7054-4A8D-A753-6748B43814A7}"/>
              </c:ext>
            </c:extLst>
          </c:dPt>
          <c:dPt>
            <c:idx val="5"/>
            <c:bubble3D val="0"/>
            <c:spPr>
              <a:solidFill>
                <a:schemeClr val="accent6"/>
              </a:solidFill>
              <a:ln>
                <a:noFill/>
              </a:ln>
              <a:effectLst/>
            </c:spPr>
            <c:extLst>
              <c:ext xmlns:c16="http://schemas.microsoft.com/office/drawing/2014/chart" uri="{C3380CC4-5D6E-409C-BE32-E72D297353CC}">
                <c16:uniqueId val="{0000000B-7054-4A8D-A753-6748B43814A7}"/>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7054-4A8D-A753-6748B43814A7}"/>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7054-4A8D-A753-6748B43814A7}"/>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7054-4A8D-A753-6748B43814A7}"/>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7054-4A8D-A753-6748B43814A7}"/>
              </c:ext>
            </c:extLst>
          </c:dPt>
          <c:dLbls>
            <c:dLbl>
              <c:idx val="0"/>
              <c:layout>
                <c:manualLayout>
                  <c:x val="0.14635657485378015"/>
                  <c:y val="-0.1644856726933967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298311928383135"/>
                      <c:h val="0.18633513557640383"/>
                    </c:manualLayout>
                  </c15:layout>
                </c:ext>
                <c:ext xmlns:c16="http://schemas.microsoft.com/office/drawing/2014/chart" uri="{C3380CC4-5D6E-409C-BE32-E72D297353CC}">
                  <c16:uniqueId val="{00000001-7054-4A8D-A753-6748B43814A7}"/>
                </c:ext>
              </c:extLst>
            </c:dLbl>
            <c:dLbl>
              <c:idx val="1"/>
              <c:layout>
                <c:manualLayout>
                  <c:x val="-0.24696692024933528"/>
                  <c:y val="-3.98756040676075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054-4A8D-A753-6748B43814A7}"/>
                </c:ext>
              </c:extLst>
            </c:dLbl>
            <c:dLbl>
              <c:idx val="2"/>
              <c:layout>
                <c:manualLayout>
                  <c:x val="-0.16868215406876358"/>
                  <c:y val="-4.98442661040151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054-4A8D-A753-6748B43814A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'TOP 10 CUSTOMERS'!$A$4:$A$7</c:f>
              <c:strCache>
                <c:ptCount val="3"/>
                <c:pt idx="0">
                  <c:v>Company D</c:v>
                </c:pt>
                <c:pt idx="1">
                  <c:v>Company H</c:v>
                </c:pt>
                <c:pt idx="2">
                  <c:v>Company BB</c:v>
                </c:pt>
              </c:strCache>
            </c:strRef>
          </c:cat>
          <c:val>
            <c:numRef>
              <c:f>'TOP 10 CUSTOMERS'!$B$4:$B$7</c:f>
              <c:numCache>
                <c:formatCode>0.00%</c:formatCode>
                <c:ptCount val="3"/>
                <c:pt idx="0">
                  <c:v>0.41700638447044525</c:v>
                </c:pt>
                <c:pt idx="1">
                  <c:v>0.31165594932646645</c:v>
                </c:pt>
                <c:pt idx="2">
                  <c:v>0.2713376662030883</c:v>
                </c:pt>
              </c:numCache>
            </c:numRef>
          </c:val>
          <c:extLst>
            <c:ext xmlns:c16="http://schemas.microsoft.com/office/drawing/2014/chart" uri="{C3380CC4-5D6E-409C-BE32-E72D297353CC}">
              <c16:uniqueId val="{00000014-7054-4A8D-A753-6748B43814A7}"/>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layout>
        <c:manualLayout>
          <c:xMode val="edge"/>
          <c:yMode val="edge"/>
          <c:x val="0.67810575713872789"/>
          <c:y val="0.54586944946797644"/>
          <c:w val="0.29212678023659311"/>
          <c:h val="0.40734299546687769"/>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[FlutterCo Sales Data.xlsx]SALES PERFORMANCE BY REPS!PivotTable2</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dLbl>
          <c:idx val="0"/>
          <c:layout>
            <c:manualLayout>
              <c:x val="0.12698417091286057"/>
              <c:y val="-5.7487284428429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187950301008858"/>
                  <c:h val="6.1804259003707E-2"/>
                </c:manualLayout>
              </c15:layout>
            </c:ext>
          </c:extLst>
        </c:dLbl>
      </c:pivotFmt>
      <c:pivotFmt>
        <c:idx val="2"/>
        <c:spPr>
          <a:solidFill>
            <a:schemeClr val="accent1">
              <a:lumMod val="75000"/>
            </a:schemeClr>
          </a:solidFill>
          <a:ln>
            <a:noFill/>
          </a:ln>
          <a:effectLst/>
        </c:spPr>
        <c:dLbl>
          <c:idx val="0"/>
          <c:layout>
            <c:manualLayout>
              <c:x val="-0.24263029884468054"/>
              <c:y val="-8.66290018832391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20000"/>
              <a:lumOff val="80000"/>
            </a:schemeClr>
          </a:solidFill>
          <a:ln>
            <a:solidFill>
              <a:schemeClr val="accent5">
                <a:lumMod val="60000"/>
                <a:lumOff val="40000"/>
              </a:schemeClr>
            </a:solidFill>
          </a:ln>
          <a:effectLst/>
        </c:spPr>
        <c:dLbl>
          <c:idx val="0"/>
          <c:layout>
            <c:manualLayout>
              <c:x val="-0.14285709184312967"/>
              <c:y val="-5.64971751412429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60000"/>
              <a:lumOff val="40000"/>
            </a:schemeClr>
          </a:solidFill>
          <a:ln>
            <a:solidFill>
              <a:schemeClr val="accent5">
                <a:lumMod val="40000"/>
                <a:lumOff val="60000"/>
              </a:schemeClr>
            </a:solidFill>
          </a:ln>
          <a:effectLst/>
        </c:spPr>
      </c:pivotFmt>
      <c:pivotFmt>
        <c:idx val="5"/>
        <c:spPr>
          <a:solidFill>
            <a:schemeClr val="accent5">
              <a:lumMod val="40000"/>
              <a:lumOff val="6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60000"/>
              <a:lumOff val="40000"/>
            </a:schemeClr>
          </a:solidFill>
          <a:ln>
            <a:noFill/>
          </a:ln>
          <a:effectLst/>
        </c:spPr>
      </c:pivotFmt>
      <c:pivotFmt>
        <c:idx val="8"/>
        <c:spPr>
          <a:solidFill>
            <a:schemeClr val="accent5">
              <a:lumMod val="20000"/>
              <a:lumOff val="8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50000"/>
            </a:schemeClr>
          </a:solidFill>
          <a:ln>
            <a:noFill/>
          </a:ln>
          <a:effectLst/>
        </c:spPr>
        <c:dLbl>
          <c:idx val="0"/>
          <c:layout>
            <c:manualLayout>
              <c:x val="0.12698417091286057"/>
              <c:y val="-5.7487284428429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187950301008858"/>
                  <c:h val="6.1804259003707E-2"/>
                </c:manualLayout>
              </c15:layout>
            </c:ext>
          </c:extLst>
        </c:dLbl>
      </c:pivotFmt>
      <c:pivotFmt>
        <c:idx val="11"/>
        <c:spPr>
          <a:solidFill>
            <a:schemeClr val="accent1">
              <a:lumMod val="75000"/>
            </a:schemeClr>
          </a:solidFill>
          <a:ln>
            <a:noFill/>
          </a:ln>
          <a:effectLst/>
        </c:spPr>
        <c:dLbl>
          <c:idx val="0"/>
          <c:layout>
            <c:manualLayout>
              <c:x val="-0.24263029884468054"/>
              <c:y val="-8.66290018832391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lumMod val="20000"/>
              <a:lumOff val="80000"/>
            </a:schemeClr>
          </a:solidFill>
          <a:ln>
            <a:solidFill>
              <a:schemeClr val="accent5">
                <a:lumMod val="60000"/>
                <a:lumOff val="40000"/>
              </a:schemeClr>
            </a:solidFill>
          </a:ln>
          <a:effectLst/>
        </c:spPr>
        <c:dLbl>
          <c:idx val="0"/>
          <c:layout>
            <c:manualLayout>
              <c:x val="-0.14285709184312967"/>
              <c:y val="-5.64971751412429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4"/>
        <c:spPr>
          <a:solidFill>
            <a:schemeClr val="accent1">
              <a:lumMod val="50000"/>
            </a:schemeClr>
          </a:solidFill>
          <a:ln>
            <a:noFill/>
          </a:ln>
          <a:effectLst/>
        </c:spPr>
        <c:dLbl>
          <c:idx val="0"/>
          <c:layout>
            <c:manualLayout>
              <c:x val="0.17373031958015217"/>
              <c:y val="-0.1146117693407637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1537211243707166"/>
                  <c:h val="0.14800232013722406"/>
                </c:manualLayout>
              </c15:layout>
            </c:ext>
          </c:extLst>
        </c:dLbl>
      </c:pivotFmt>
      <c:pivotFmt>
        <c:idx val="15"/>
        <c:spPr>
          <a:solidFill>
            <a:schemeClr val="accent1">
              <a:lumMod val="75000"/>
            </a:schemeClr>
          </a:solidFill>
          <a:ln>
            <a:noFill/>
          </a:ln>
          <a:effectLst/>
        </c:spPr>
        <c:dLbl>
          <c:idx val="0"/>
          <c:layout>
            <c:manualLayout>
              <c:x val="-0.24461762110999932"/>
              <c:y val="8.4085580139175234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6152874428948144"/>
                  <c:h val="0.30606589618118718"/>
                </c:manualLayout>
              </c15:layout>
            </c:ext>
          </c:extLst>
        </c:dLbl>
      </c:pivotFmt>
      <c:pivotFmt>
        <c:idx val="16"/>
        <c:spPr>
          <a:solidFill>
            <a:schemeClr val="accent1">
              <a:lumMod val="20000"/>
              <a:lumOff val="80000"/>
            </a:schemeClr>
          </a:solidFill>
          <a:ln>
            <a:solidFill>
              <a:schemeClr val="accent5">
                <a:lumMod val="60000"/>
                <a:lumOff val="40000"/>
              </a:schemeClr>
            </a:solidFill>
          </a:ln>
          <a:effectLst/>
        </c:spPr>
        <c:dLbl>
          <c:idx val="0"/>
          <c:layout>
            <c:manualLayout>
              <c:x val="-0.2383025693002932"/>
              <c:y val="-3.502040865133317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6386480756381241"/>
                  <c:h val="0.14306949194293456"/>
                </c:manualLayout>
              </c15:layout>
            </c:ext>
          </c:extLst>
        </c:dLbl>
      </c:pivotFmt>
    </c:pivotFmts>
    <c:plotArea>
      <c:layout>
        <c:manualLayout>
          <c:layoutTarget val="inner"/>
          <c:xMode val="edge"/>
          <c:yMode val="edge"/>
          <c:x val="0.21214174837504188"/>
          <c:y val="0.21110035720868778"/>
          <c:w val="0.4509047569661101"/>
          <c:h val="0.74747256674481255"/>
        </c:manualLayout>
      </c:layout>
      <c:doughnutChart>
        <c:varyColors val="1"/>
        <c:ser>
          <c:idx val="0"/>
          <c:order val="0"/>
          <c:tx>
            <c:strRef>
              <c:f>'SALES PERFORMANCE BY REPS'!$B$3</c:f>
              <c:strCache>
                <c:ptCount val="1"/>
                <c:pt idx="0">
                  <c:v>Total</c:v>
                </c:pt>
              </c:strCache>
            </c:strRef>
          </c:tx>
          <c:dPt>
            <c:idx val="0"/>
            <c:bubble3D val="0"/>
            <c:spPr>
              <a:solidFill>
                <a:schemeClr val="accent1">
                  <a:lumMod val="50000"/>
                </a:schemeClr>
              </a:solidFill>
              <a:ln>
                <a:noFill/>
              </a:ln>
              <a:effectLst/>
            </c:spPr>
            <c:extLst>
              <c:ext xmlns:c16="http://schemas.microsoft.com/office/drawing/2014/chart" uri="{C3380CC4-5D6E-409C-BE32-E72D297353CC}">
                <c16:uniqueId val="{00000001-51DD-4CC8-BA62-66D22709B97A}"/>
              </c:ext>
            </c:extLst>
          </c:dPt>
          <c:dPt>
            <c:idx val="1"/>
            <c:bubble3D val="0"/>
            <c:spPr>
              <a:solidFill>
                <a:schemeClr val="accent1">
                  <a:lumMod val="75000"/>
                </a:schemeClr>
              </a:solidFill>
              <a:ln>
                <a:noFill/>
              </a:ln>
              <a:effectLst/>
            </c:spPr>
            <c:extLst>
              <c:ext xmlns:c16="http://schemas.microsoft.com/office/drawing/2014/chart" uri="{C3380CC4-5D6E-409C-BE32-E72D297353CC}">
                <c16:uniqueId val="{00000003-51DD-4CC8-BA62-66D22709B97A}"/>
              </c:ext>
            </c:extLst>
          </c:dPt>
          <c:dPt>
            <c:idx val="2"/>
            <c:bubble3D val="0"/>
            <c:spPr>
              <a:solidFill>
                <a:schemeClr val="accent1">
                  <a:lumMod val="20000"/>
                  <a:lumOff val="80000"/>
                </a:schemeClr>
              </a:solidFill>
              <a:ln>
                <a:solidFill>
                  <a:schemeClr val="accent5">
                    <a:lumMod val="60000"/>
                    <a:lumOff val="40000"/>
                  </a:schemeClr>
                </a:solidFill>
              </a:ln>
              <a:effectLst/>
            </c:spPr>
            <c:extLst>
              <c:ext xmlns:c16="http://schemas.microsoft.com/office/drawing/2014/chart" uri="{C3380CC4-5D6E-409C-BE32-E72D297353CC}">
                <c16:uniqueId val="{00000005-51DD-4CC8-BA62-66D22709B97A}"/>
              </c:ext>
            </c:extLst>
          </c:dPt>
          <c:dPt>
            <c:idx val="3"/>
            <c:bubble3D val="0"/>
            <c:extLst>
              <c:ext xmlns:c16="http://schemas.microsoft.com/office/drawing/2014/chart" uri="{C3380CC4-5D6E-409C-BE32-E72D297353CC}">
                <c16:uniqueId val="{00000007-51DD-4CC8-BA62-66D22709B97A}"/>
              </c:ext>
            </c:extLst>
          </c:dPt>
          <c:dPt>
            <c:idx val="4"/>
            <c:bubble3D val="0"/>
            <c:extLst>
              <c:ext xmlns:c16="http://schemas.microsoft.com/office/drawing/2014/chart" uri="{C3380CC4-5D6E-409C-BE32-E72D297353CC}">
                <c16:uniqueId val="{00000009-51DD-4CC8-BA62-66D22709B97A}"/>
              </c:ext>
            </c:extLst>
          </c:dPt>
          <c:dPt>
            <c:idx val="5"/>
            <c:bubble3D val="0"/>
            <c:extLst>
              <c:ext xmlns:c16="http://schemas.microsoft.com/office/drawing/2014/chart" uri="{C3380CC4-5D6E-409C-BE32-E72D297353CC}">
                <c16:uniqueId val="{0000000B-51DD-4CC8-BA62-66D22709B97A}"/>
              </c:ext>
            </c:extLst>
          </c:dPt>
          <c:dPt>
            <c:idx val="6"/>
            <c:bubble3D val="0"/>
            <c:extLst>
              <c:ext xmlns:c16="http://schemas.microsoft.com/office/drawing/2014/chart" uri="{C3380CC4-5D6E-409C-BE32-E72D297353CC}">
                <c16:uniqueId val="{0000000D-51DD-4CC8-BA62-66D22709B97A}"/>
              </c:ext>
            </c:extLst>
          </c:dPt>
          <c:dPt>
            <c:idx val="7"/>
            <c:bubble3D val="0"/>
            <c:extLst>
              <c:ext xmlns:c16="http://schemas.microsoft.com/office/drawing/2014/chart" uri="{C3380CC4-5D6E-409C-BE32-E72D297353CC}">
                <c16:uniqueId val="{0000000F-51DD-4CC8-BA62-66D22709B97A}"/>
              </c:ext>
            </c:extLst>
          </c:dPt>
          <c:dLbls>
            <c:dLbl>
              <c:idx val="0"/>
              <c:layout>
                <c:manualLayout>
                  <c:x val="0.17373031958015217"/>
                  <c:y val="-0.1146117693407637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1537211243707166"/>
                      <c:h val="0.14800232013722406"/>
                    </c:manualLayout>
                  </c15:layout>
                </c:ext>
                <c:ext xmlns:c16="http://schemas.microsoft.com/office/drawing/2014/chart" uri="{C3380CC4-5D6E-409C-BE32-E72D297353CC}">
                  <c16:uniqueId val="{00000001-51DD-4CC8-BA62-66D22709B97A}"/>
                </c:ext>
              </c:extLst>
            </c:dLbl>
            <c:dLbl>
              <c:idx val="1"/>
              <c:layout>
                <c:manualLayout>
                  <c:x val="-0.24461762110999932"/>
                  <c:y val="8.4085580139175234E-3"/>
                </c:manualLayout>
              </c:layout>
              <c:showLegendKey val="0"/>
              <c:showVal val="1"/>
              <c:showCatName val="0"/>
              <c:showSerName val="0"/>
              <c:showPercent val="0"/>
              <c:showBubbleSize val="0"/>
              <c:extLst>
                <c:ext xmlns:c15="http://schemas.microsoft.com/office/drawing/2012/chart" uri="{CE6537A1-D6FC-4f65-9D91-7224C49458BB}">
                  <c15:layout>
                    <c:manualLayout>
                      <c:w val="0.16152874428948144"/>
                      <c:h val="0.30606589618118718"/>
                    </c:manualLayout>
                  </c15:layout>
                </c:ext>
                <c:ext xmlns:c16="http://schemas.microsoft.com/office/drawing/2014/chart" uri="{C3380CC4-5D6E-409C-BE32-E72D297353CC}">
                  <c16:uniqueId val="{00000003-51DD-4CC8-BA62-66D22709B97A}"/>
                </c:ext>
              </c:extLst>
            </c:dLbl>
            <c:dLbl>
              <c:idx val="2"/>
              <c:layout>
                <c:manualLayout>
                  <c:x val="-0.2383025693002932"/>
                  <c:y val="-3.5020408651333178E-2"/>
                </c:manualLayout>
              </c:layout>
              <c:showLegendKey val="0"/>
              <c:showVal val="1"/>
              <c:showCatName val="0"/>
              <c:showSerName val="0"/>
              <c:showPercent val="0"/>
              <c:showBubbleSize val="0"/>
              <c:extLst>
                <c:ext xmlns:c15="http://schemas.microsoft.com/office/drawing/2012/chart" uri="{CE6537A1-D6FC-4f65-9D91-7224C49458BB}">
                  <c15:layout>
                    <c:manualLayout>
                      <c:w val="0.16386480756381241"/>
                      <c:h val="0.14306949194293456"/>
                    </c:manualLayout>
                  </c15:layout>
                </c:ext>
                <c:ext xmlns:c16="http://schemas.microsoft.com/office/drawing/2014/chart" uri="{C3380CC4-5D6E-409C-BE32-E72D297353CC}">
                  <c16:uniqueId val="{00000005-51DD-4CC8-BA62-66D22709B97A}"/>
                </c:ext>
              </c:extLst>
            </c:dLbl>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noFill/>
                  <a:round/>
                </a:ln>
                <a:effectLst/>
              </c:spPr>
            </c:leaderLines>
            <c:extLst>
              <c:ext xmlns:c15="http://schemas.microsoft.com/office/drawing/2012/chart" uri="{CE6537A1-D6FC-4f65-9D91-7224C49458BB}">
                <c15:spPr xmlns:c15="http://schemas.microsoft.com/office/drawing/2012/chart">
                  <a:prstGeom prst="rect">
                    <a:avLst/>
                  </a:prstGeom>
                </c15:spPr>
              </c:ext>
            </c:extLst>
          </c:dLbls>
          <c:cat>
            <c:strRef>
              <c:f>'SALES PERFORMANCE BY REPS'!$A$4:$A$7</c:f>
              <c:strCache>
                <c:ptCount val="3"/>
                <c:pt idx="0">
                  <c:v>Nancy Freehafer</c:v>
                </c:pt>
                <c:pt idx="1">
                  <c:v>Anne Larsen</c:v>
                </c:pt>
                <c:pt idx="2">
                  <c:v>Andrew Cencini</c:v>
                </c:pt>
              </c:strCache>
            </c:strRef>
          </c:cat>
          <c:val>
            <c:numRef>
              <c:f>'SALES PERFORMANCE BY REPS'!$B$4:$B$7</c:f>
              <c:numCache>
                <c:formatCode>0.00%</c:formatCode>
                <c:ptCount val="3"/>
                <c:pt idx="0">
                  <c:v>0.39297327536382004</c:v>
                </c:pt>
                <c:pt idx="1">
                  <c:v>0.35379364492229431</c:v>
                </c:pt>
                <c:pt idx="2">
                  <c:v>0.25323307971388576</c:v>
                </c:pt>
              </c:numCache>
            </c:numRef>
          </c:val>
          <c:extLst>
            <c:ext xmlns:c16="http://schemas.microsoft.com/office/drawing/2014/chart" uri="{C3380CC4-5D6E-409C-BE32-E72D297353CC}">
              <c16:uniqueId val="{00000010-51DD-4CC8-BA62-66D22709B97A}"/>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2506949533212395"/>
          <c:y val="0.49364639778403213"/>
          <c:w val="0.23304708865977863"/>
          <c:h val="0.47001348401915188"/>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[FlutterCo Sales Data.xlsx]TOP 5 CITIES!PivotTable2</c:name>
    <c:fmtId val="45"/>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200" b="1" i="1">
                <a:solidFill>
                  <a:schemeClr val="accent1">
                    <a:lumMod val="50000"/>
                  </a:schemeClr>
                </a:solidFill>
                <a:latin typeface="Georgia" panose="02040502050405020303" pitchFamily="18" charset="0"/>
              </a:rPr>
              <a:t>Top</a:t>
            </a:r>
            <a:r>
              <a:rPr lang="en-US" sz="1200" b="1" i="1" baseline="0">
                <a:solidFill>
                  <a:schemeClr val="accent1">
                    <a:lumMod val="50000"/>
                  </a:schemeClr>
                </a:solidFill>
                <a:latin typeface="Georgia" panose="02040502050405020303" pitchFamily="18" charset="0"/>
              </a:rPr>
              <a:t> cities 21"</a:t>
            </a:r>
            <a:endParaRPr lang="en-US" sz="1200" b="1" i="1">
              <a:solidFill>
                <a:schemeClr val="accent1">
                  <a:lumMod val="50000"/>
                </a:schemeClr>
              </a:solidFill>
              <a:latin typeface="Georgia" panose="02040502050405020303" pitchFamily="18" charset="0"/>
            </a:endParaRPr>
          </a:p>
        </c:rich>
      </c:tx>
      <c:layout>
        <c:manualLayout>
          <c:xMode val="edge"/>
          <c:yMode val="edge"/>
          <c:x val="0.35001115215903233"/>
          <c:y val="2.8345873220292073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50000"/>
            </a:schemeClr>
          </a:solidFill>
          <a:ln w="19050">
            <a:solidFill>
              <a:schemeClr val="lt1"/>
            </a:solidFill>
          </a:ln>
          <a:effectLst/>
        </c:spPr>
      </c:pivotFmt>
      <c:pivotFmt>
        <c:idx val="10"/>
        <c:spPr>
          <a:solidFill>
            <a:schemeClr val="accent5">
              <a:lumMod val="75000"/>
            </a:schemeClr>
          </a:solidFill>
          <a:ln w="19050">
            <a:solidFill>
              <a:schemeClr val="lt1"/>
            </a:solidFill>
          </a:ln>
          <a:effectLst/>
        </c:spPr>
      </c:pivotFmt>
      <c:pivotFmt>
        <c:idx val="11"/>
        <c:spPr>
          <a:solidFill>
            <a:schemeClr val="accent5">
              <a:lumMod val="75000"/>
            </a:schemeClr>
          </a:solidFill>
          <a:ln w="19050">
            <a:solidFill>
              <a:schemeClr val="lt1"/>
            </a:solidFill>
          </a:ln>
          <a:effectLst/>
        </c:spPr>
      </c:pivotFmt>
      <c:pivotFmt>
        <c:idx val="12"/>
        <c:spPr>
          <a:solidFill>
            <a:schemeClr val="accent5">
              <a:lumMod val="60000"/>
              <a:lumOff val="40000"/>
            </a:schemeClr>
          </a:solidFill>
          <a:ln w="19050">
            <a:solidFill>
              <a:schemeClr val="lt1"/>
            </a:solidFill>
          </a:ln>
          <a:effectLst/>
        </c:spPr>
      </c:pivotFmt>
      <c:pivotFmt>
        <c:idx val="13"/>
        <c:spPr>
          <a:solidFill>
            <a:schemeClr val="accent5">
              <a:lumMod val="40000"/>
              <a:lumOff val="60000"/>
            </a:schemeClr>
          </a:solidFill>
          <a:ln w="19050">
            <a:solidFill>
              <a:schemeClr val="lt1"/>
            </a:solidFill>
          </a:ln>
          <a:effectLst/>
        </c:spPr>
      </c:pivotFmt>
      <c:pivotFmt>
        <c:idx val="14"/>
        <c:spPr>
          <a:solidFill>
            <a:schemeClr val="accent5">
              <a:lumMod val="20000"/>
              <a:lumOff val="80000"/>
            </a:schemeClr>
          </a:solidFill>
          <a:ln w="19050">
            <a:solidFill>
              <a:schemeClr val="lt1"/>
            </a:solidFill>
          </a:ln>
          <a:effectLst/>
        </c:spPr>
      </c:pivotFmt>
      <c:pivotFmt>
        <c:idx val="15"/>
        <c:spPr>
          <a:solidFill>
            <a:schemeClr val="accent5">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lumMod val="20000"/>
              <a:lumOff val="80000"/>
            </a:schemeClr>
          </a:solidFill>
          <a:ln w="19050">
            <a:solidFill>
              <a:schemeClr val="lt1"/>
            </a:solidFill>
          </a:ln>
          <a:effectLst/>
        </c:spPr>
      </c:pivotFmt>
      <c:pivotFmt>
        <c:idx val="17"/>
        <c:spPr>
          <a:solidFill>
            <a:schemeClr val="accent5">
              <a:lumMod val="40000"/>
              <a:lumOff val="60000"/>
            </a:schemeClr>
          </a:solidFill>
          <a:ln w="19050">
            <a:solidFill>
              <a:schemeClr val="lt1"/>
            </a:solidFill>
          </a:ln>
          <a:effectLst/>
        </c:spPr>
      </c:pivotFmt>
      <c:pivotFmt>
        <c:idx val="18"/>
        <c:spPr>
          <a:solidFill>
            <a:schemeClr val="accent5">
              <a:lumMod val="60000"/>
              <a:lumOff val="40000"/>
            </a:schemeClr>
          </a:solidFill>
          <a:ln w="19050">
            <a:solidFill>
              <a:schemeClr val="lt1"/>
            </a:solidFill>
          </a:ln>
          <a:effectLst/>
        </c:spPr>
      </c:pivotFmt>
      <c:pivotFmt>
        <c:idx val="19"/>
        <c:spPr>
          <a:solidFill>
            <a:schemeClr val="accent5">
              <a:lumMod val="75000"/>
            </a:schemeClr>
          </a:solidFill>
          <a:ln w="19050">
            <a:solidFill>
              <a:schemeClr val="lt1"/>
            </a:solidFill>
          </a:ln>
          <a:effectLst/>
        </c:spPr>
      </c:pivotFmt>
      <c:pivotFmt>
        <c:idx val="20"/>
        <c:spPr>
          <a:solidFill>
            <a:schemeClr val="accent5">
              <a:lumMod val="75000"/>
            </a:schemeClr>
          </a:solidFill>
          <a:ln w="19050">
            <a:solidFill>
              <a:schemeClr val="lt1"/>
            </a:solidFill>
          </a:ln>
          <a:effectLst/>
        </c:spPr>
      </c:pivotFmt>
      <c:pivotFmt>
        <c:idx val="21"/>
        <c:spPr>
          <a:solidFill>
            <a:schemeClr val="accent5">
              <a:lumMod val="50000"/>
            </a:schemeClr>
          </a:solidFill>
          <a:ln w="19050">
            <a:solidFill>
              <a:schemeClr val="lt1"/>
            </a:solidFill>
          </a:ln>
          <a:effectLst/>
        </c:spPr>
      </c:pivotFmt>
      <c:pivotFmt>
        <c:idx val="22"/>
        <c:spPr>
          <a:solidFill>
            <a:schemeClr val="accent5">
              <a:lumMod val="75000"/>
            </a:schemeClr>
          </a:solidFill>
          <a:ln w="19050">
            <a:solidFill>
              <a:schemeClr val="lt1"/>
            </a:solidFill>
          </a:ln>
          <a:effectLst/>
        </c:spPr>
        <c:dLbl>
          <c:idx val="0"/>
          <c:layout>
            <c:manualLayout>
              <c:x val="-0.13907282350857395"/>
              <c:y val="-1.29870129870129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40000"/>
              <a:lumOff val="60000"/>
            </a:schemeClr>
          </a:solidFill>
          <a:ln w="19050">
            <a:solidFill>
              <a:schemeClr val="lt1"/>
            </a:solidFill>
          </a:ln>
          <a:effectLst/>
        </c:spPr>
        <c:dLbl>
          <c:idx val="0"/>
          <c:layout>
            <c:manualLayout>
              <c:x val="0.13686531837351718"/>
              <c:y val="-8.22510822510822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lumMod val="20000"/>
              <a:lumOff val="80000"/>
            </a:schemeClr>
          </a:solidFill>
          <a:ln w="19050">
            <a:solidFill>
              <a:schemeClr val="lt1"/>
            </a:solidFill>
          </a:ln>
          <a:effectLst/>
        </c:spPr>
      </c:pivotFmt>
      <c:pivotFmt>
        <c:idx val="25"/>
        <c:spPr>
          <a:solidFill>
            <a:schemeClr val="accent5">
              <a:lumMod val="20000"/>
              <a:lumOff val="80000"/>
            </a:schemeClr>
          </a:solidFill>
          <a:ln w="19050">
            <a:solidFill>
              <a:schemeClr val="lt1"/>
            </a:solidFill>
          </a:ln>
          <a:effectLst/>
        </c:spPr>
      </c:pivotFmt>
      <c:pivotFmt>
        <c:idx val="26"/>
        <c:spPr>
          <a:solidFill>
            <a:schemeClr val="accent5">
              <a:lumMod val="50000"/>
            </a:schemeClr>
          </a:solidFill>
          <a:ln w="19050">
            <a:solidFill>
              <a:schemeClr val="lt1"/>
            </a:solidFill>
          </a:ln>
          <a:effectLst/>
        </c:spPr>
        <c:dLbl>
          <c:idx val="0"/>
          <c:layout>
            <c:manualLayout>
              <c:x val="-0.20198671985769071"/>
              <c:y val="2.164502164502164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791379814121112"/>
                  <c:h val="4.322527865834952E-2"/>
                </c:manualLayout>
              </c15:layout>
            </c:ext>
          </c:extLst>
        </c:dLbl>
      </c:pivotFmt>
      <c:pivotFmt>
        <c:idx val="27"/>
        <c:spPr>
          <a:solidFill>
            <a:schemeClr val="accent5">
              <a:lumMod val="50000"/>
            </a:schemeClr>
          </a:solidFill>
          <a:ln w="19050">
            <a:solidFill>
              <a:schemeClr val="lt1"/>
            </a:solidFill>
          </a:ln>
          <a:effectLst/>
        </c:spPr>
      </c:pivotFmt>
      <c:pivotFmt>
        <c:idx val="28"/>
        <c:spPr>
          <a:solidFill>
            <a:schemeClr val="accent5">
              <a:lumMod val="50000"/>
            </a:schemeClr>
          </a:solidFill>
          <a:ln w="19050">
            <a:solidFill>
              <a:schemeClr val="lt1"/>
            </a:solidFill>
          </a:ln>
          <a:effectLst/>
        </c:spPr>
      </c:pivotFmt>
      <c:pivotFmt>
        <c:idx val="29"/>
        <c:spPr>
          <a:solidFill>
            <a:schemeClr val="accent5">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5">
              <a:lumMod val="40000"/>
              <a:lumOff val="60000"/>
            </a:schemeClr>
          </a:solidFill>
          <a:ln w="19050">
            <a:solidFill>
              <a:schemeClr val="lt1"/>
            </a:solidFill>
          </a:ln>
          <a:effectLst/>
        </c:spPr>
        <c:dLbl>
          <c:idx val="0"/>
          <c:layout>
            <c:manualLayout>
              <c:x val="0.13686531837351718"/>
              <c:y val="-8.22510822510822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5">
              <a:lumMod val="50000"/>
            </a:schemeClr>
          </a:solidFill>
          <a:ln w="19050">
            <a:solidFill>
              <a:schemeClr val="lt1"/>
            </a:solidFill>
          </a:ln>
          <a:effectLst/>
        </c:spPr>
        <c:dLbl>
          <c:idx val="0"/>
          <c:layout>
            <c:manualLayout>
              <c:x val="-0.20198671985769071"/>
              <c:y val="2.164502164502164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791379814121112"/>
                  <c:h val="4.322527865834952E-2"/>
                </c:manualLayout>
              </c15:layout>
            </c:ext>
          </c:extLst>
        </c:dLbl>
      </c:pivotFmt>
      <c:pivotFmt>
        <c:idx val="32"/>
        <c:spPr>
          <a:solidFill>
            <a:schemeClr val="accent5">
              <a:lumMod val="75000"/>
            </a:schemeClr>
          </a:solidFill>
          <a:ln w="19050">
            <a:solidFill>
              <a:schemeClr val="lt1"/>
            </a:solidFill>
          </a:ln>
          <a:effectLst/>
        </c:spPr>
        <c:dLbl>
          <c:idx val="0"/>
          <c:layout>
            <c:manualLayout>
              <c:x val="-0.13907282350857395"/>
              <c:y val="-1.29870129870129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5">
              <a:lumMod val="40000"/>
              <a:lumOff val="60000"/>
            </a:schemeClr>
          </a:solidFill>
          <a:ln w="19050">
            <a:solidFill>
              <a:schemeClr val="lt1"/>
            </a:solidFill>
          </a:ln>
          <a:effectLst/>
        </c:spPr>
        <c:dLbl>
          <c:idx val="0"/>
          <c:layout>
            <c:manualLayout>
              <c:x val="0.13686531837351718"/>
              <c:y val="-8.22510822510822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5">
              <a:lumMod val="50000"/>
            </a:schemeClr>
          </a:solidFill>
          <a:ln w="19050">
            <a:solidFill>
              <a:schemeClr val="lt1"/>
            </a:solidFill>
          </a:ln>
          <a:effectLst/>
        </c:spPr>
        <c:dLbl>
          <c:idx val="0"/>
          <c:layout>
            <c:manualLayout>
              <c:x val="-0.20605671602137451"/>
              <c:y val="3.2274651229417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6047283872439808"/>
                  <c:h val="7.8657566227789216E-2"/>
                </c:manualLayout>
              </c15:layout>
            </c:ext>
          </c:extLst>
        </c:dLbl>
      </c:pivotFmt>
      <c:pivotFmt>
        <c:idx val="36"/>
        <c:spPr>
          <a:solidFill>
            <a:schemeClr val="accent5">
              <a:lumMod val="75000"/>
            </a:schemeClr>
          </a:solidFill>
          <a:ln w="19050">
            <a:solidFill>
              <a:schemeClr val="lt1"/>
            </a:solidFill>
          </a:ln>
          <a:effectLst/>
        </c:spPr>
        <c:dLbl>
          <c:idx val="0"/>
          <c:layout>
            <c:manualLayout>
              <c:x val="-0.13907282350857395"/>
              <c:y val="-1.29870129870129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3626525580577"/>
          <c:y val="0.1856019195337599"/>
          <c:w val="0.76107737375026097"/>
          <c:h val="0.73901182806694621"/>
        </c:manualLayout>
      </c:layout>
      <c:doughnutChart>
        <c:varyColors val="1"/>
        <c:ser>
          <c:idx val="0"/>
          <c:order val="0"/>
          <c:tx>
            <c:strRef>
              <c:f>'TOP 5 CITIES'!$B$3</c:f>
              <c:strCache>
                <c:ptCount val="1"/>
                <c:pt idx="0">
                  <c:v>Total</c:v>
                </c:pt>
              </c:strCache>
            </c:strRef>
          </c:tx>
          <c:spPr>
            <a:solidFill>
              <a:schemeClr val="accent5">
                <a:lumMod val="50000"/>
              </a:schemeClr>
            </a:solidFill>
          </c:spPr>
          <c:dPt>
            <c:idx val="0"/>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1-160F-4CFC-99C4-CA43847F366D}"/>
              </c:ext>
            </c:extLst>
          </c:dPt>
          <c:dPt>
            <c:idx val="1"/>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3-160F-4CFC-99C4-CA43847F366D}"/>
              </c:ext>
            </c:extLst>
          </c:dPt>
          <c:dPt>
            <c:idx val="2"/>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5-160F-4CFC-99C4-CA43847F366D}"/>
              </c:ext>
            </c:extLst>
          </c:dPt>
          <c:dPt>
            <c:idx val="3"/>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7-160F-4CFC-99C4-CA43847F366D}"/>
              </c:ext>
            </c:extLst>
          </c:dPt>
          <c:dPt>
            <c:idx val="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9-160F-4CFC-99C4-CA43847F366D}"/>
              </c:ext>
            </c:extLst>
          </c:dPt>
          <c:dPt>
            <c:idx val="5"/>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B-160F-4CFC-99C4-CA43847F366D}"/>
              </c:ext>
            </c:extLst>
          </c:dPt>
          <c:dLbls>
            <c:dLbl>
              <c:idx val="0"/>
              <c:layout>
                <c:manualLayout>
                  <c:x val="0.13686531837351718"/>
                  <c:y val="-8.22510822510822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60F-4CFC-99C4-CA43847F366D}"/>
                </c:ext>
              </c:extLst>
            </c:dLbl>
            <c:dLbl>
              <c:idx val="1"/>
              <c:layout>
                <c:manualLayout>
                  <c:x val="-0.20605671602137451"/>
                  <c:y val="3.2274651229417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6047283872439808"/>
                      <c:h val="7.8657566227789216E-2"/>
                    </c:manualLayout>
                  </c15:layout>
                </c:ext>
                <c:ext xmlns:c16="http://schemas.microsoft.com/office/drawing/2014/chart" uri="{C3380CC4-5D6E-409C-BE32-E72D297353CC}">
                  <c16:uniqueId val="{00000003-160F-4CFC-99C4-CA43847F366D}"/>
                </c:ext>
              </c:extLst>
            </c:dLbl>
            <c:dLbl>
              <c:idx val="2"/>
              <c:layout>
                <c:manualLayout>
                  <c:x val="-0.13907282350857395"/>
                  <c:y val="-1.29870129870129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60F-4CFC-99C4-CA43847F366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noFill/>
                  <a:round/>
                </a:ln>
                <a:effectLst/>
              </c:spPr>
            </c:leaderLines>
            <c:extLst>
              <c:ext xmlns:c15="http://schemas.microsoft.com/office/drawing/2012/chart" uri="{CE6537A1-D6FC-4f65-9D91-7224C49458BB}"/>
            </c:extLst>
          </c:dLbls>
          <c:cat>
            <c:strRef>
              <c:f>'TOP 5 CITIES'!$A$4:$A$7</c:f>
              <c:strCache>
                <c:ptCount val="3"/>
                <c:pt idx="0">
                  <c:v>Miami</c:v>
                </c:pt>
                <c:pt idx="1">
                  <c:v>New York</c:v>
                </c:pt>
                <c:pt idx="2">
                  <c:v>Portland</c:v>
                </c:pt>
              </c:strCache>
            </c:strRef>
          </c:cat>
          <c:val>
            <c:numRef>
              <c:f>'TOP 5 CITIES'!$B$4:$B$7</c:f>
              <c:numCache>
                <c:formatCode>0.00%</c:formatCode>
                <c:ptCount val="3"/>
                <c:pt idx="0">
                  <c:v>0.29931402654670231</c:v>
                </c:pt>
                <c:pt idx="1">
                  <c:v>0.40099578486014015</c:v>
                </c:pt>
                <c:pt idx="2">
                  <c:v>0.29969018859315749</c:v>
                </c:pt>
              </c:numCache>
            </c:numRef>
          </c:val>
          <c:extLst>
            <c:ext xmlns:c16="http://schemas.microsoft.com/office/drawing/2014/chart" uri="{C3380CC4-5D6E-409C-BE32-E72D297353CC}">
              <c16:uniqueId val="{0000000C-160F-4CFC-99C4-CA43847F366D}"/>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PERFORMANCE BY STATE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PERFORMANCE BY STATE</a:t>
          </a:r>
        </a:p>
      </cx:txPr>
    </cx:title>
    <cx:plotArea>
      <cx:plotAreaRegion>
        <cx:plotSurface>
          <cx:spPr>
            <a:ln>
              <a:noFill/>
            </a:ln>
          </cx:spPr>
        </cx:plotSurface>
        <cx:series layoutId="regionMap" uniqueId="{F596E3F3-62F3-47F5-8F3B-47E26A388A56}">
          <cx:tx>
            <cx:txData>
              <cx:f>_xlchart.v5.2</cx:f>
              <cx:v>REVENUE</cx:v>
            </cx:txData>
          </cx:tx>
          <cx:spPr>
            <a:ln>
              <a:solidFill>
                <a:schemeClr val="bg1"/>
              </a:solidFill>
            </a:ln>
          </cx:spPr>
          <cx:dataLabels>
            <cx:numFmt formatCode="_($* #,##0.00_);_($* (#,##0.00);_($* &quot;-&quot;??_);_(@_)" sourceLinked="0"/>
            <cx:visibility seriesName="0" categoryName="1" value="1"/>
            <cx:separator>, </cx:separator>
          </cx:dataLabels>
          <cx:dataId val="0"/>
          <cx:layoutPr>
            <cx:regionLabelLayout val="bestFitOnly"/>
            <cx:geography cultureLanguage="en-US" cultureRegion="US" attribution="Powered by Bing">
              <cx:geoCache provider="{E9337A44-BEBE-4D9F-B70C-5C5E7DAFC167}">
                <cx:binary>1Htpb9zIku1fafjzozr35WJ6gCFZVSpJlmRZXr8kZFlmJncm1+Svn5C3tsq68u3G4AFt9GJVkUzG
HnHi6L9ul3/dlnc3/relKuv+X7fLH8/sMLT/+v33/tbeVTf9UeVufdM3n4aj26b6vfn0yd3e/f7R
38yuzn4nCLPfb+2NH+6WZ//9X/C07K45a25vBtfUL8Y7H67u+rEc+ie+e/Sr324+Vq5OXT94dzvg
P54l//Pst7t6cEO4Du3dH88efP/st98Pn/LTib+V8FLD+BHupfKIcCaExhp9/oOf/VY2dfb16whj
fSSwJBIzrD//+Xb2+U0F9yc3pfvU+NrdfPv8sXf6/EY3Hz/6u74HcT7//+G9D2T4IuJtM9bDvdYy
UOAfz17Vbrj7+NvL4Wa465/95vom+XJB0twL8urlZ8l/f6j3//6vgw9AFwef/GCaQ8X96qufLHP+
7ikt/DXLMHKkqSaMUvLFMvShZSQ/EvANF5h9MYz4dvYXy5zfzb+9a3zx7dP/3C5/3nlglXvx/oFW
SS6e0sFfswpVR1orzhH7apXDeEH8iDOpqABzfQnSr4HSlI2/+dh8+/Q/N0fy/c4Dc9zL9Q80x/nr
p3TwF82hjygXjHGKvgSBehgkGIsjwTlVUqlv6e1Hq5zfTTcf/0bq+nbfgUXuRfsHWmR79n9nEaKO
uOYci6/lQuuHFlHkiClJGVH0e1r70SJbCBP3d0zy/cYDm9wL9w+0yf7/0CYMHWHCsFDsi8oRObCJ
PsJMCcoV/xJFYLMfbbIvS1c3Dqrul0//89z1550HVrkX759olfQpHfy13MXYEVUaSbDMv8ldDHKX
plIh/u3UL7Vk//HG/o1C8vW2Q0uASP9AS1xcfdPJY974Fy1BodVSAiJAfPf/B00wQUecK4wpVPsf
A+PC32VN/e2zx17k8c73230HpriX6R9oiuvzpzTw10xB+ZFiRGv0tV7/lKrEEWWUMMHEo+Xj+q6u
Yci4u3vqlR43yg+3HtjlXsB/oF1eXT+lhL9oF2i0CJVSEP5F7wclBGN8JKQihIiDOeTVcGOfeo/H
jfHlrgM73Av0D7TDm/95Sv6/ZgcmjxjkIS6V/JKq5MNSjj+nKsEUYvizoQ4y1pub3gJaMfydrPXj
vQeWuRfxn2iZ/f+hZaBaU605FV9HkcPGVx9JSqA11o83vm9cf9vUvfsb5eSHWw/tAgL+A+zy9Cv+
2HQ+uPKvYl36iCMIHUbl99rxY5nX+gjh+8ldf0VU2Dfv+NJ2HSBQ//61/k1KewhgPZDk/xO89e+h
r+8YYXoz3Gw+g4s/oF9Pf/tZXAA7D259Ylj4+tX+4x/PCOYYasl30PL+IQ96rOeu75vRu2+2+OGm
u5t++ONZpMBummsmieBQn579Nt99/lzzIyk10UJJ+LBu/GD/eAazkIBiJRABkIYgen84PP/+KyqO
0D2uI+ECpKhW7DuOe9mUATq973r4+vNv9VhdNq4e+j+ecQqpuP1y3f07cqSlJJgh6BwVlZQjwCba
25srSL9wOf5/Hou8G7vMnqwcLV1clpmYhpjlhoS4FWx6h7JKnkecN1euDfX5Ouso7lSFcFLrMd9g
6dDLfCjWsPFkKS6sGvIiFlGdx1r63aIdPRnqEcfV5Nou5WpRNG6MZjY2xSy3wXJ7OpVzc4YyjWXc
kPKstb64lA1VuwppuzPSyB0rSjYkWRWZtB8LsVud9fuCUfF87INJ17W3UULHMPi4mhU5lUszvy8q
EYp0kSZLqB2nXR6R4XiqG3PVdIzNsYvmZT+iD0WxNjeyKNXztaCGxn5RwwYuyDbzJJZtYRZxMZtF
ZRssdIkSaxq0x8Gw48KT6HZufPdJtk5f0LxW+8ZU0JIvxHSJrVp86Ww77gZK/RXr2XySFxLROBR5
qBKak7scNSjJeb7GbdnSLo5CJs4zVGenfbtGt7XI/BDjtiHn0drV++C6t5Neuqt8JmJXWDW9su0w
vNR6WKq4jFb/gRmZvfVRUehk5CzEQmT5GK+1XuNR1fsSFdLFBDm/t1wXMiEE+5suLPOYEDa/EUQQ
UHJdfijdMBzr1Q1bzJy7XdFYnjnkL6I14yeFH9oTb9b1tDXllNRc9lu5qJ6kXrhgYxRG4sGeWfFW
O93ZGLQ0wtOqqN+SnpanAUuT+KYSIOii87jHZjzDjkfHOUd2t3SmvG5qZt8Ug7NFMtctJXFYmmZT
CZ7jNDIctbEltOhjB7637zwbn49Mr30yNogWccCT2do1cnGZBdQnc1/btFwpzmKul/mTy8nok3ah
tYvrsl93bW7rSyf4ErMuyLPMN2vK1zDGxKvqeTtE+RmJKA5JUc0sihsWZIh502avjVyJiPWYsQ/d
MrM2LloudrL0cFWLquO1XTOZTpJlaaNqfL5WXL/ITLDJrKJNa6spsWFKhefnrtTTbS1psUe+75I5
jyKbTv0Ydqy2y+m6DqLf5nqoX+kmN2+jSmTRielIl290LfHHbkb9GFs0j1fTOjdmM4UCvxt0aeok
q7vxBR7r7r0PiCS6nfFN4amfkikM4aqfZamOGS3mPvZKN8eOhD7WFV1YbAZrXTwaTF/TCdnTDln2
YRQdqmPMwGkT6dfyuM1q9T6XSD4v+BLQftGFvl6noomSkEtTxcyWU5m2Wd9sla2rG55Z/co79iFC
c5uK1tPneBThjrc+dOATuKk3Rpn6bZ6NPU5Knw8SjFX7d4Nkvo6DzNu9Ms2QVtE0VvEAzc2ZJcuQ
toN/gXulWdw5iGePeJcE5dlGle2aVESKeJ3GPl1Y61Jm9bhZ56E7KRosTzjqZbJSmyvQA8t3zThC
RvM0yCTSLdpNJXNXZIr4rnGoWNJID4ZtmPToHSms3qwMkulEUBsSXVcu38mhLfdZoN15wcxYxrqh
w5VXjoFiZZW/KVzehbjDA50hmZlxb7KlVomK5vb9JEPrj1mk+uMO6czEHIX+gvU+um24rDxoKZ8u
QxciSC6r1XET5drHmrFpGynbvRdzmO+60s7vAqvxc9o7U22GuVchpjx4k2hDuwsbtClSRdoqFXY2
e0uimSQYtS+zom9TVej51AvvkqosulTU8oS1YUinui5faNuX6ZQ5s88LSJsNZt1uQdV1VvNx1/vZ
xI4yPMW9d17GURHqRA+T2HRoWT+udFqqzYRFlzZ0rDaosROJS6TyiwXhchpPWdmJekiYn1v3Zo2y
sj4OktUFeqtCIQoSW0/xMLwdx9DnF2YxUUx0Li5wPpvtikt/JaoSXcESMbuEtLjspCrW/ZTNrzmr
66tOK3U14t6QGLncvJ69qN/SyKsxrmU9n9iQFa9VLQgkqRnCSrm2vkTjUl1qibptn1U8GVzBznVW
9UkzrWSTc59B2oZqlyxVcOcj0eO2U7LLU9pX1XmuEbyuKKIt7ksLiimjFkIddm0x9r046zC8/roM
5DnntVljvw7mJVNe7HNXzNfZGKkutpOxd3SNwkUdZWO1G6KuOQsomHPdtO3LFXx8n4Hgt63r1v0c
PN8tQzduF9Ot7wuWL02ydtF6nOEybHMWSLzgYdx0gxk3xcAhH40Or6dkWOXeOtsk1ZxfduXoY94R
emGasmeQZAtzNa9m34icPPdLkzVJvTIJsTY2l9kq3e5en9e+WfCZzld/DOlC7vLORxdFMU10Q8jM
X5R6tR/NwNyxW6I5in23tHAOGsJJWGV4QQo/73TQej/hsX/tTVNdTphPxxBPIsT12PiYtlJXYKJs
cvEaAkqHvLZzMlLdvZgpqlzc51QnSku8sdyh47wr2cVYVOb5KvWy76Ewurgl83mt1S1qnL7FPSVN
zHvevXVjad+j2RT7vonaXU1tpGI3QaoB97NQpFlJeQKDldy6KS8ujYYWpJVyTosBi3ekceqChBoi
z94nzVmXxO3WeebrxntCmpd10G8dqTPI2FbZ9rTruxEnqFbEJlM163cuMsVLjnXfXQrfu/6YSt1F
8SpEwZMqxx06I2JwUMc0rlEXh8G6NoHCD5pvyBpe+i5LF4AZw5ZaIbetFjKxdS1MkmfzixWTJj8d
fNlXx+MQ2be8pdzdEAEhngRSIL7x8+ozERdi6VbxHONlmYZdkxUOjSfgssQXJ3KqRdTfdGZ9B23v
8qYoovo2nxbyWg+jvMZd1p50nbvuahk2Fe2qvez6NpHjVCWyWa5Eub6DBPiJOXuTD+KdHOfxA216
6CCY51nc8/Gd1FF+DFBPednhcjOzKjoD45BY+bbY18XQfaIrn+p4aLuiiOeOKhe70ZXHvgnDC8rn
IiTjyGwXt15n2bUSo99UK1lf2BX6nXhoZl5F8Y/b/Afd923TBu8y+5VI8f3H/75uKvjn83r/zw/v
eRh//vT8G4Hjyat2d839wNcfXnQ/PX1/1p9EgvuJ5Tur4GAG+kL5+DcD0pNf/mfTEwwq9Mnp6ftW
7Mu0ej+YfL3n2/CEjuARiMPEIxgBXAkAo6/zk5KAaMBMpTUmGMEi4s8pimIYlTDMyRReAEYpCqPy
1ymKsCNOAEgHAFcAXCg0/ytT1P2M9MMMxTRspRiUL9jhwl/R/bT24wyVzQtaVduMx4SM2ZCUha6q
hBGrzxiknj6W3NdnhRiBQKPtpNIfJs3HZriHp3NEmCIKg35ghBSEHExwXZeteoJKsZtHMm1kqMQG
O1KmQbrq+G8cBcwCSGEM0DtxcJSn+YRxxYcdw97tSoLnmPa23VCFu78hFahSUyExGJ0CYPujTle8
FG1gbNiVy+J2C1271A9DkQyLHAFP+j6qP6JAwLx+NN9nBcLkixjgLgT2iwdSQQYbi5KDArUzOp4C
eVH7UXxaJpFmtckhKVEYeY0pkhaxJnn6cPDBRw6nTN57Mdb8QM5hscZQmN92UcNEjPPFbmponmAz
+ZSIEAQHp3CgfgGaoJggQDQ4OKXPFO2nzow7r5nw4Jt1P8R86eS0yduqrn4h1AGoABrlBENsEUAu
wE3YvdA/gAq8mwi10EnssiCgOBb+DlDHTyprqhiX1akwefslt34hSj1iw5/VyAHW10ATU0ACQwI9
PNHYIp8VbcZdDlBHUhtdgrF0s3lajfdq+iHQP8tF7jc/SiINfI57Nf8gF4Phpy66YtxRN0HrHEVn
WdRfBExIAs0u/4VMj2nxx9MOjCYYyrqMl+NOTTOOTePibKqGuM2LNm5g3I99UXx4WkACifQnCYGH
IoCNIjQ45EEqC7YQap4h7LAV7II1rHydodHsRbOq4xEKfTp2V3IKKoHOqf8oBqROWk6PRxiVd9Oo
p824kDn2s2xvl4VG+yCYjokZuperD3EpbZbgolt/kZjwI/aniEmEBVcAsR16nOozQZoBwsjNIyti
Fs2FjJeFT5sooih2Pe6SVjVzSkF7G1Iu7D1a5XI5YtWey2GlSdZm+gKQ1+wXscAffTXIz/cRzuHf
g2DIdSmKlZcDtN52Q4zlqfN2STolhk3fZf2rxdE8QTMgS2lTrvXJUuf+rDfVVKTVMkzxBM1iwfo8
7kKNYopbk5paobgmWTjNRuLPiVij/VrMTdpNw5DOkrdJN3j9epxd9HqYFEx41HWJh8Z7C1w+F0/U
q83YLCdD4ft4jsoxGQzX8VLyU8uKV+OsephUAwBVdC22no4unaPhotFyPe6cXOMA3W68mNKcIRvQ
m8h3gK/VRZQYHj4VgV4NaigAA8yK40HY4QKeXG+f9tafA+Se5EYJRD3UYAAyH4bj0md85PO90Xt7
HhWjTZwCXM4t1+Nq2s04VvgvhyScCNQ5wRGX9/nm4YnaL5PSazHsvDF73LNNibNbXbMzT2uWFFq8
fVrCn/O24hKyDQbqq4bW5yCt9ZmearDNsMtD2cZkYvM+a2a6UcSH9OmjfnZTxRUgewjoBYhSceCm
2cinfJ4aqIJq4qdN1OF9M4/yFwp89BQmYAerKIU1x4ECK2SiaphBgZHwyMcdNPLHAD+ry6eFwT/n
MZAGyBAKukVgBvODcwoXrVi0ut8tC27SBvf5VixVloq+bmJmegktBTg+kjQ78eqNJ9muYYX7VVqi
P6VTYCtRgYGXwSkGnP2hv3Rdw1Y3yX7HllJu5k6XWzPnw5bNg1MJZSvb43rRgE01d2Uzy6tiyOdd
xtH0vFpXesKLxvzCAuTRd5ISaD2wPoCe9aCsZCyKImNpv6uzsQaIkW80GmeAh4fu3PTtmFg5tu9K
DqFcdgAtjK0LiXCIpFrVTSrr8q7Ey3ReqAWQqvn9CKh60rmhfRnqEabnwfFjAPXmkzqU5xEaftVc
PC6AhgUzLCwYxP+97X+owgZ7XQU1g1JtuMq8bLfjzLJXFrJY0nYyT02PUVJJMUDF8tVJsOuNcvK6
90Lvx9aYZFF+2ljU6BfNKptrxda7lZv6hCqrt3ObhXQu8ghqxVBuvevaX5QEfG/2h33EPYntTwkO
vHMeSnjhJvS7EOXZiVl1fTLwpU7zCCAL5yHJAwIa5zna0yZMSd+y6hdeQB/1Ag18Uw7BiOVhuKsA
uSTwsYediB3aeCwV/wBt1aVkfR2XGn1syml5A7sje9v7ZBinLMkbYtOC2jqeMoDwUd8A0s9kPDs8
V7EkY5tYOHC38DxPWJ7hu1BjDKlSvgQwe8NR3qQi0m9alQMGNHF0FnFcHq8N7F4m9FIEOChjeEza
Wff8Fzr/uXVTQMbBDBiGXCCYlh46DSdKFiaHhNDl5Zva7OSUl2m0IlhLrJz+ok98JG3D7o7D5An7
PugVDyaKvixE7SHp7AAN/6SdMlC1pzxmy6p/cdL9kw48CU5SsEBkTACqfhDMncnGVhoOnuSz6wLT
7E1erqaMqwDTBA9FWcZIROrECGx/4UKPVF8Bm0ghKRBlETTeDzU6ZK4jJkf9bpThnRnU5SK7K8TM
p1IOH2DkFb8oUJ97z59k5UQrTGDgFoc5XU9RvzgHLgtjeH01Uuh7gqFpqO2U0Gm9QwawF1cuaRZa
aG6YcsnUZz5F0K08XV4edSagdENloZKhw7LsxmHidoL4nRXsHVALmwRmjY0j12QJt/mnp497pGgK
BJ2j0hhmbxjyH2pa6LzIqnEBIwe/7LIWm2Qdlf3FjPiofoG1w8CT7vnqsFl+kFfzHmeA27f9DmZk
n6hpga1TnetEGBXt555CdE5sTKPQAeRmsioBNKDcLFMEKynxqxz581CuAI2HbhlBDCl+GK9zGPlq
+wJeZhrQxmYy2/Z+fR4mWDRlFY6Stq/qnZUDiZtiRL8IK/xYBEM3BMqGvl2xQ18bsskQWiO/C5jZ
D630EY9nQPQveod5Fc+iESJpRngA7Gs1LBgn0ZU8RXkLy4iqk/f7yijMzydLYV9DhgGAXJ7x/uPT
nvHIayotBJAHkIQ+Bx94BgDQLvBadDuxGL8d2TptWN/pDfTy7hcqeeQoDflTAhkYYDggoj70Dpfj
vu287HbDaqpPDDZhL9bawvIpEuhviAU9KGfo/tci4MADsdq6XYdWwQqJE+dfaCDyb5sgzWnuh5un
FfhIEoOTABaBFlECqHXg82Q1Wd6McJKjKEvNULcvq6wjG6hua4yWisWsseEX6eNRVcJ8zQT8BgLj
+kC8DJb7g7a82wWCp6TiCzAR8gr25oj0vzgKqF1gl4OsCZ0G0L2kBjIJZKyHdlMFa8ZsxeAizMOu
SgSgSCTOshk225WpywQ2CSQV0JOXSUenOdrC5Dgum3WRtHpRKQ7B5ShgjHvTh/I1aafSpr4u1Ji2
ZSkAKzedvQG8PHpeUMX7bWbLDPZkNXY2rkEkmkjRKJXqic94C2sYGk55ZPXOBS/XTcO8zeOssPha
jGTFackWTrY5rhaxobq15K2esavuYLvESAbbGSTs6QILP5N6V3j7qi8bHPZlDejazjpcsU2EWnxS
rcsS7YAsMvXnvKpH9ZwNYzAvRI/Legs/R/O2mn1fLPHIdFGndTGx7LmSwGRIR06bfDvyrnw5RVqY
E19HzTH2RW3ikHkgNmjrXle9oCxeRtbke5nNWZvAyqsptqFwIdtUwJfxZ/kE46RLBKzay13fzxoI
KRMPS9pMwaBTYEMYBLhD1ZK0rfh9c+WUIjeyN4CXSDMsyapY41+23MHWrBn6PFzORk4va8f8sAlR
p+UVaiogp4xhysY9NLELbBqBebNldSbamLXZuiZ9n+td7aFEbYAIAPAfiogu4q7n6lVuuzJZyqqh
Sc/shOO8bflxpYAq4N12nHj7xrSkfFtGCl0NtZhjU+XLcRTyckM7fTHC+rDu+u1iZX1lJICozGab
Yq3djrAC9l+6qLbZOJ3QKcwJafubvBAs5iMx6ZgvdFtR+pHRaN5MdejhHbzciX5GG82c2AGho4mh
Y17jvNbAimHt8kEO3ZyyMeSwoJ1u1k7w44kuazwtwMdw5WuExEZEorvkuvIbjGp3WdB5TUbk8Kmq
SvuczmAPmBZgJ+jM62WlfMcj/MIBWye2YTF74CgVyZIXIzQVQAYooUqkfS/XF0W57LuBDbFbA4f/
FBcFoEtA+vAnxbKQdEVFt1lgjRbn1kxJIYvqdKY2dWDZS6PYVRXZZYNnZbfr6tckRMOYAt+K7FZo
Xa9MVrbva9Wjs9pKlYahE+mCBv9JRF2dRMMEq3gArHeyafjew9o0lrVZ9hQ5su+DVBsAKU4IXraO
t3hb8PC2QmP3tnbmWHL20o3hLV9MvZmRBqBuNG8rEWUeIrBS+2mU9XaKOiBU8ei60Mqc9Ia6VGSN
2qAcKC/l3K1AD9NramFuuHI+mi67zKurHtbh8Uz7syEYGZcLbNFCBDT4bm6PFR1grQtr7+O6UtMn
1g9jHNwMtJC0mNywwjKu6eqVwmhOkIf9J2xeh+uiUXaNCTjPmwpIcksqO5gjoJhCkgAyyPyuBd2f
dzN4WR5MHasC79GYhU3UDM1W4FWdwl+azQIBsTGc8NCfqTBnc/8uWC972I8Sw+YiXXvi30WYblGe
qSyOCLzzTkakuV3kWrTHtCjJmFbKyykOwA5RZ1EkhjwupPJZXIaJA/8GeCA9gLSdO/YeNBUPRV2m
q6qmawuo/iUpc3Jtqrpw+zkXfsO1687xTNS2cdO8xksHYJx1PfogkIF+EvDddiNXVJ4CN8jfDr3K
xOae/5fkM3f0bFl68ZJNhfmkAdwfE+gCYL3dmgmla1DLK9gzVZ98C4v3OFQ9fl8v0qcwovELXZP2
ndP1nPa2D7sBOpZrFVj+burhOSEql00zkO5kbWCedkvN9vD7v/0bQOFgDZL3dt0O0wieYGGr/tZm
qrvtWlZsiyXq3sqOuOPcm6Hc02Uotg5YV2940wWYD5t5ToXh1ZCOaw/BUZKIJwViRZoJwRNgHNL9
2PEilQAhb2Aq1X5bwNxUHVdtA9cPLpted2bO1o3iDqtYZ7NxSYNYpxMgCtJ9W9vy3gej+STTuX2J
KlvGjfQj2fagzuh1rRmIKNtC29OMrPCqophewwZ/nJ9nxmQXTnUqbVC7Pm8Gpc6YZfBU2rodQ068
nAbC1xg6ke5EtNZe5HPfvgfojgBNsOEXwNPrxKZuqnW7jkuxnZuFVTspZXZRlu0kk5ZbfgFB1EFQ
gXUBhAe2UaXZhbS2/eCnzL9gq8fXvQN9u7wIuzXUYacsKDXyLJxG4JovWu7bD/x+wkxqsbZTWnS5
24Fm3TFfKnhsNC6X2LPupMW5Plunvv0wAIHo7WRBr6uU3W2DM9/F62hBrV1dmZMM0IjdqIf+o557
fsGAFTLHU6Ozi8Vx10K/W1Xh45pTppZ7fgRlZUxnbMIZ8EdJm846z5LIqq6Ls9rmNWSo0fRx1yB8
3eLALxxvzKtW2Oxc8LF5LzJRpMNoVxuTaDU4nhQ0kXykZJMNqjsJHpk0i8bp1FcgPNNyeaWiHPJi
ZtwxbeHuFkXZxag7scZWcejAa6RgY0G7cu8LU5l40ADipECWMSe2GuACM2kVZ9lcDmm+tg0wIiHO
Acaq+zchAGit5NR/lBnjiTGh3GM/3Hv5COxN2LkQ/tJVdnrNGiAxJHMDL1lyVFypwbc3NLfiZaTX
rozberYXQVQ1jntW+7dlty6XSvTja9QuxZW7NzfxRp0Bg9FcdWyCg4oobIGni0gMTYYFYhdoTeU2
XKIsCp/Q2rhdtDBexwDamytS5WwP5Lv6TNAZntisxRW07MsrjWAjs84Ti05WD5D4Jqr+l7sza7IT
1778J1KHGMTwCmfOOdPpIV8Ip9NGCIQEkkDi0/c6t250l307bsX/tV+qIsqVPhxA0t5r/dZOHsCl
QuarGwdmtYLeYuYKeMY61hlR+YidHDxm3ZGseU45Wq5KOzOFs1yWjOO7403ayDRj681SvGnYs/jD
0AsV1TLa1CNJBETcJQx41tQUfDlnCejGujT2lyoIeqaFSlFPcp1+ESWiz2mr192ymuhntgjnaiy9
6Qm7xfZLxULPdRaPoa9nwdzPuHAbwzPL8e5rjduS4SQ3R7r20VxhVET0aYsH8lxait0sz5afXhfT
k21GCP9TrO/tEvQ3L5rpKbJF+9BkU3e0pSsww6JIztjHynkfCqxvoFP2y9R1I32agdhhj1e9ZGcV
FG4eoOk79MTNQbtmxiaWxTl0U5s4GMJJ8baZwt43UrcAAofllGYSjwbH5m0yp72rWN52j1lq9EGP
qXmd9dIA5OK/bKvwn4zWetcsOnlnZcsOqR62WqdB7eLEjzVbkuwY4X5VcDRTIEQz1qFNZHiO5Owf
UYSs1QhO+3M8tGk9EPViy/RuybEleko79DLzvFtdKe4n6D/U8eUipJ7xsX32QFcZ3fNcYt9INtjr
tCN3PiP6YQysecmaWJ1L37kWm67cqmiE2ThFjJ5ZZy9LCMOuw9q8o+06345tPl5aPoYKpT5KwBL2
HyTU7yXj07nPR//cqyX5ADB5mToaYUsr8I/ETPsxi3TtbXrjvUi/oN6mVaBevZfr1WdS9sChLJ+n
RuVwyzgK0kWo8KXwa/tMgXUBNtanTA3TrlxJ11bdpE7Fun2H/ie/9TLfcpw5uEkxSVts9Ohw6jyE
lNei7825J4Cwl4bQh16m+mCcg/EVOb1Dhbo+pkVPj4kQ5sVNJMNWV7bPzuBDHGvyR0fLEWRaEgCf
Nul30M3Z58zY4dR1+WcvqDxCLuWoA1HKVbILqlLdyu+6AsKNiuJzk2zRO6fNelgKQo82jrZd0blk
ty5YjEZzW609pMI2hOwGxUX6RaTsODKvDlhO2ICVQHfaZlN5LIey/LX0Lv7idRrdl7LcQC3I9JPm
XtQeNeyBYe+6kY0ZPkcsz5/CgqfEFuOnQ466sJrt3O5b7/XPDVZTXOvWdveTwGvQjUPbVcSPGtua
BtGdSmFqr8Vcw0Coys3GtcszFPRpK76L4PtLu44n20+DqFhKblUQ/mmj8RfbEXnAUjx0ySZQqDGG
gix39zJlzevQK5QZQFV7bIGi0oXtngs6b7teJsWNCR12L8rB6w191Scze5CaKVXztYxgWgzbOQS1
3GWM4NiRBemx4LLxolsvHgaRcFVNYhuw7uYRbelABJYRPLTlrmys+CqR4jyCqBtx5HiFE2vTkDRc
R/zjlYm9DRCz0dXlS9dXbhb9pVw7+oz4zmUWuT81i62XwvR3A57yjRnXHLu+GmCOrrYaV2NvofsC
wDfiFHlSfi3hmaLP+T6r0dWSs62edLbUIh95US2Ljb76kM5nFefv0Zb9bGY1vaFiHd6A5ClsWoa8
5gMjh2Rx7d7mTj6FDBXLEOYIpndpt7r1Ddcoh/xpiRG5uJBErSm4c/DMp7yPIpwxaaYeyNr2bTWG
XD1AvlG0igvRKtgAAzYhFTHxJqUYn2IkPZ5A8/dD1QVsoIKv9mMwMX0fjeAfU0M3XccEf+EECuDC
ZqFeAsYqrF9nVDx4bh2aHMmzAacEyZLzoAucKKXX33BaQjvbhih2EP3xR6rp4k+oj9GZ9pKnl7b3
5kP2yn4YZyAimODkrz4doSoYsLBv1IjoveczTnpg+P7RTL55AySKJjxtOlLWemvMB2GayCreljLf
bz0bX4bJY2Mw3K/qkLd2UYe0XKFoOM/xevDYocBR46BeeOZ6hhpTNW8sYviZUvth3uWi7NkuHSle
ozEJtgeZj6sE7wtcajeC0srRxHh8qOjS0dx0G7PoG+m4RED99dq1BxSv+Js3Unh1TlfIjzueloEc
SbiWABYOaVOhmSpvBafpiEiARNE6NBmeEtlw1NWDd83bMi+cV63rSl81LZO/YufwqW5KQrRb06R8
++tmsgVoMDDvJOrqzVCQaXm0eVWhn1DHpGSIxkyZ6WtoQbj1SZSOIExBoR6HTkDuAVnQocHsfX/S
EVSgh3hiPjpYtrGbMFv1wlYQFXiE8FvrtZnw/fqcQQ+ZNe3FjQHFsBxlAPhxVy52+bVk0EYrFzPN
7zIS8U99WOLj6Mbxi4zK/KkH0drUWhf008q1CScPGb55SB2+9CleKK4RVTmuuhsbPLws+JHA/1Ns
qPFMsHah/fOwgy6Du7gQi/9/G2Pz0aF76SpcbHkbzGJ+dsKI4Vi6eYKBUV4JfdojRFIPFOunWvE4
t9MI/e+ydobQCu8hKjrGUy3OFAy82s/wVgQ2l46B/B1TNNw4hHF+1dLRpq/GwgGrije/DQ98SWg9
XUvIIR9jWw1gA18jQeP9NCh6gSc9n1bpkifZFv4WLFP3edv4+rrG6fKXDfbvzNzjX8LfXwmwv1Og
f4dC/39mUH/8fRzXb2G8q7L7f4i5/8jv/T9Tk/8K8V1/7t8Uapb9rxJmVwb+FOgozHzotn9RqFBV
/xeLYgwEKBMUY9kVIfx3lC+PMPwnzRHYBKN5zf2Zv3J8EWY0gQcC1gEsDy92nP9PCNQ/7NzrJ0Yx
LTP4mnkGfvtPCHSIxDxGa89+osawrtzHOtVo36leuu0zY07331MyQ50dp2BCurOxZ4CQiGroezvO
6UhqhQhVfoEuHRwEOzJOp7WUg7kbmNQkoCj27Np3WqQGdiTLcLbWLST16CeidsE9D9znw/eiYLr5
kQDrRoYtg3WeVDLCChrqFH2rfOARteu4awc2Xyk2UNbyNsrDhEtupYzCTSyTUfwiZrmqD397pP9+
9f8edvxd60+zkiI9AcISrBAeX0z/0PrzSHaOZ7z42axqFNPJynRIT0O6mDk/bQZ1z1pvncYsOWwC
Xdwc/vvH/+Gv4fMBXVwdrQTcRQZF/g8lHt1zYeDzdR8i6pO+q63Crow6qozJJA4z6trZ7mZuW2Qj
SUo2ZEywjweDDE66ZStylBkfTV8pNSUzaj1WTPizf7jI38EZiBG4OyWA4mv+u8zgrPxuF4zU8kZ4
Xf6g2K+ytxTRMPISI1/AEMlIZBuflrVYsLVRmc4xSmykBfK+GjYamdomkJlexUodefmH6/rr8fxh
ZORAL3GCwnP9TwOK0mlUecfNcd5iys0+Zn4BlOLgUTv1y2wjsMZaGXRMpqxks/EoQxistRHU11Ji
Wba16rX1yW2cArGjj7Jh0D1OYVonpu4b3/WRD3UTexN/M9Mkp3Y/w3MYp70c3BbbGkHNzMhdMTPa
DbcJyKIkeyxD3ubTAdzkQhCJGWU0+bu+5UuJZeSWrIvKigo8vhMSE0CydyhB9Tzu0C+ycq5zgh/j
KHnWHP9qB1XEU4XUap69xeXM3bn/191cuYwFq0viA5GQm2IiyUnFRTHcj9eD/yXCinP5fWIGhr+A
iHgC9qi3jeK5UV1EkGNRWqFrr0YzlyMkXZ0PSIWqLkpwGdlkM3w+RZ6DvEDMwT+xVFfc320qprk5
5NOSTOeckj6L9yAp8ZGy9yJZLnSNm65FUSKNARTuUf0Pr4lyokzus4CmVJ9FBrNhuTCzwGuqQ5f0
21qVazDJtOO9k+XyvAr4TSOqJm4L1dQErOlKZYXkRsHix3Iqdb7u2ylL2fSJBQDv6hOlQeJGNlFP
4+wezsiqsk+dphkylnjPsRcc+DxFkYBYUZj5V8jjyRQXlvk1fouQTrTFfSrXRj+NJSx2ZLZGHPXo
dWAeeFsjqV3ACRwVEmbFbvXxFWClxGu11BNed1bUIQ3NettD7kA/Ng9i7S4jKYuZ1L7jICNSOtgV
gq7sA981aaPHsZL5KOev4zQVxFVFlOW4+5ucr09tGnXZZreF7BATO0DMzFAcN8xFePIyTRs8oDDa
Av/669UYOpxFb2MO3ISC7Bad09Uy0wzY42xaleMy4h5+9NqTpfyERk8VL3osyXCQHczoikMMe2Gh
Y2IHNb45dumSnDqabGcoDMvJza16zucMcDOa+fu8s4g+Q7GaPzV4qU9py9AwYfXxdzHr4WtLO4Vw
UQT6pBgSEMSIc9drPLKbQtM31WM5jqvObrO107s85RxPl5L5gD4q3QvVuYdNDPD68ebafRFoMuCN
zeQPrt0LIuz6BvRqeyMXY/fMpL52Bn39oly54+VaPOWaT3Xf6e6jM/AvBq5btGHjuGNNOV2KLZYH
mAQN5C/NoF72BSKIqRjzw4q/8lyQwN/RAbpjHHjzMZUwWHofDeBcS8GgRFD1osHWb0gS08lUaKva
19VvxfeBjGgTEFv8hNh5t6expZcUsfUOKUyS3KaolA+zNXBCEH99ogQSSsVtUn5Esk2XKo909LzE
gncH2IVkHxlpn82S2vN1K9iZ4N0lMXPoK4Zcew1zreHF126Jy3DGWed+mDgV0V45DVu3hUQZwPay
4mdhkQxFRJrMF1kyhZYlsuLJL0lfMybVDTMWplVTcPWdCqNvPTiXG5NF1zcUUjJcw3ZZLx5O8B3N
++VcSEUuHeiveFdg9/uI1jUZq20rwBVZ1BrfVj0hY0qIr2NkBr/DblRxVTYaJcW2Gby5fICOQCI1
wzje1t5fMge+vaKR7u4RBcdGLLWvlzUZkgvCJwPC5X6aD7F28Q0bpK9Ewj6zNfwAj97cpxGWz2Ic
Yr/5RIHGe7nkOxZUghSuHe81T+dvQfvlgDrb2dZUrkcTAw2oa5muiEvS74ubVJXEw3iETpRUMZX2
yYPwfzIcjV3dW9u+TjxMX2evZVxN3vka9KEWlcD1JRWCK02Phef5Vqe+WB/L2HD0IdsCOUTqrSIt
lZ8xtA4xM71ET6VKi7OO56J20LcvaTem302R+VuxRfMCWSd1+NDGVo0jiCq3rr3NCgLuf4j68vtM
MDFkV0x6groizPSYrVl/wEYPEqXstvxkI8UftZLTPln5/BqrUQPJ99FR6CX7Dr/8dRWbeN0muRVH
eDYgDCfZ/gy4IUcOMcHtFaPhBdw4g1yCAPxN1CPDSvkCXbfsNdxSoBhVm5vytQTB8J54nXyC26Pe
lw38lcMLDqVBxXdpIxL0U1m8m/xkX2SiCFqvcbklsNvfNqrGYzLAPahHt6X3wMdTnGUeOxIVXUFw
avfZKQdKBshnFMeeufnVhDjB9S/xBWZuchBZYr4Nupkey5GDJgxD+SLlvN20RsB8zbHlwi2W3f2Y
UnuZXbo+jnDUP81AQX4k/YLNIZ7Ccp8GicUzJetDlFh34+d8PXerhxOpMCrh2EDQ3fFrf3ylHMvz
Rubmtmn4/LTFBX8tsG9/m7YCXmXL2xMWW363RcQ+4qjvDkPZsNtuHaKkthJwfwE3J8H7Po+HrSUK
QeSCP7Ze6Qk5/IEe5lVM37R1aVs1bNtukdVxN12z9lVLpPrUJhvCrbyVfp/kfXGKlG/rRW/pQ7G0
yZG7mXyQJi5mehsYsOOyDtIjnwM/TUuYWT1LltwiXI3OFT1oqZvblej2sXQRON00jJ8HO3/HzyBi
abvos5GoYITLxT2GMxjQhDrqLsgVx2+ONG6tESen4LFy99rFyzIdeTwkaV3yKL9JGzUXh5LKsbxI
Xuid8gb2/SL5ugM/L/NKbLZcKpk0470i8DtuwDHkuNcZXe18O5XLOhwiP0freUwn+YD5A+QpH0uk
WTM/c7XnpZ6fRdstcj8PKvAb2fWq25F5ZOEYmiYiIDyN2Z5DgTAXP15LD7orJ485tj3umoL+delZ
kc1DHeWoXGomXbPc9YODxpm4qP205psKsBeH7Ha0awNRJUKJeGOhL9vPrOMbwqYVmbVlsEpoCxuh
OS02w+yA2NNRfNqS0MQwjP1ES3dBMnCi5wJ0RThOA8CQHV+QZH0pSduLao3bAYn9mUAx7muSlv6l
S8CdVDFPhycVIrId1ywJyInAYqW38NtgEcTzhDkLOaYZrDsVpm2nxq27iNgCN4ny/mJJ8IjDD4Fk
5Qa1W44gmnYRjWW/YDiGjpl8sDYVhd2FTGQDtEFnFNZDsWHuhItCLPfgcQd+23MtskqO2m/1Zv0E
K0qG7SXLnehPAFGY2rcrW+/6Dq3zTvjOnxKgvMUuKyiH3JaJOTr3LdK5MJgYZmbEqw+fMhtbjJYp
fY7wcpMiKJlC4K0DBqB8jjSZP5YSpUkya6ARSmHwxL5doNDFNUo4TlRtDXEGMErOs+dAUpWjMHNF
6IYaO6nF/6Ao6Xz3A5sQ0jZ7jvkqFWunCMA9/IEo53sde8XYXUSWzL2KAlYoIuFF+r1dljdIMO1r
y/VbW2omKrQJ8mVdc3GdRjEfKQ4Pik0im19A5203Q4iH+znp3GHhM8THSW8adlGCCSVSMvkyj0O2
m2dg3Q5DH7C/Llb+sG2zHXIFSHeCbnune5wrdeTNOu02HDbpY2l48gKWFlZOhxQPCj+OF6bybbd+
REr3T3oaTbE38JhvjRoV7ApjAQJ58IvnbJQt8ETpy7NUYtrF4zQc+qlhLxicEO1Ly9VN34Dbinuf
3sRXIVq1hiLGgrZoF8fN8n10uTtuPo6BEec4hHe0XCaz11Gm7k1frPasr7MdSrA68Gj6Ftx3ZhZd
lZFsoChIMrqzyfDl9kGR6GVrMFa3ic0wXbHzZTdjUSJ5EPr5Hqc8Dv8u6+EtCdQXuITmGacO8KO8
zGo3av5ZdG30hmiOP/g+Ko+KlvKQ61w8EtiQSMhn/Csd5esgQHW3aNwOOQDlb2qNLRL8iVLfEtrM
FxcnDSTT2Yui7gaXXoA24Uu3tDmknV9qsILJg0BbclnAnf3oeZK/9U0bfQVevd4u0ZjsmJ7UOQlt
+KzyIcbMjHLzuoIZOt1liHOibsXmeH0J0x8pXAz4WqO8nto+Nu8Knk+3BzgHR0FItCznkY2dqjEZ
AzNLYIUqNAL5KqI6GbCPYJRSJ9jdoE38zoHcgH8ZcA2VgKJa1D3+XlAAAHjALGl2lkDo8h1a+AWK
O8HxfQE7Yb9odG287nWS0DccvCvoNVKsy4nYPttZLcipm1j8momUHyJQOQ5qP8xA2DTi3S1IyGFH
Iv6gXBOPGN7EkltQY/ONDhitUUFxj+dbb5x+72Pruyu+hcK2Wwb/wwIGmo9YlOjTwJ4k6ceylvjD
UizLfhRLclmRX25wuPoNxXzOlp9QrjG0R+bc3qTAdNDLohyxu6GZCNuTSQI0oNvCPlszDN9yvfi6
N4nZDZRM9N6tefRi0eWVh8aihqsyu/LhuKKoumD3G9e9nzhww8mXKD3nzRB1n/AVOLGD2wMgSFKm
9/Bpx7bCUAK8RHXKJRdpvxzaJdNTKfurf2gbmMdoY2FxwBaJUVMnGNLxdcTUpP4hVtFqdugqGgwm
wsur4JHMkWuHcCQ0FmP6kLmkKSpQY13yfQDZS8Z6gR0gmgN+i0Hv6V3PVabKGt02htNUbuPSgFvB
gcvCjsM9KIbKWZzyYTeCIpT9TSiAz9AaEFYZ6cdhgYyJdJ5pHaaOzE5P3de2BQna7lYsFVjcUOiS
EaYMsKPMHlrUauPZcRgIv8xkwCfued93ctyzKUT9S0Njki9HDfPMjrs5pISKRwFREc8hJcp0TlQY
kLP6pfIzvv5PScqc4j4aMYYdGE7PvjK0uPxl8nhb34jOoB9YzDkiLySOGq9vMEiSohNm2MfRCWMd
bvlHmzbUY4iSxOArdZ4iU3bfnF45AVharGEj6GwbsWY4IrAd28+OQ1Aobi0KSn9PRUlDWrvWuKnH
uDAa42nhyBNKvCcQ5xe5QyjThfEmcfh6W4Vf8BDHps6YSWTzklimOzCEauKYYEadm4JqdklnUeOg
d2inAzwKgf2YWLXr2dDexRxdQ9XoEjtmKIEV2iI9djaXIegDT5c4mbp6RDUClHHfjj7thr1G1laB
4JtHVdxuKP2KfUOGrFkquzQlwBNEwct0n4ctSY+gTuVnXbjhlWwKvkasIEhXqcPa2UcZlx907FFl
OQzPmvu9ykwJgH+Ox9xXWzxZsEWZC3thjb6UYKkekXFcTsnkultFm6Tu48zdiSgEudeJtGe7lPDA
oSK/CMzKys8TSri8SkYdgLyOaz8eZ4sRUtYXegW1Spf+Q8Py7rG1Xr0X+JIIC9hkw1Sp65w1FAhk
2KMCRYeI/DdjR4SHrNw1svDvYIB80FXUrlP0XPQdLDb8PpPxx4z5dRhvJBa0BuNGMJmOziLie5QT
szk5zvrloyWIc5EaFXU81lvP2wO0Wzj7B4lwb/nq4qm8OsgpSMAUONopMir/hhlUKQTLvIlB1EFQ
7Bg61DyYe4kYkdvFlDn71WxA/vFwdCN5Dbx4WlAgRfFNmkLcum/ReWOc1YQ6/M5rl3qQZ32+z/ts
uBCMt4JN6Vg962K51zJMdRwwa6oYWTlVObH8uNGAB5P7llSJL6bTpIdJ1A6C2fsmlhnvRlM+OUIV
vuemwTNq/xjwsHdp2RTlXji1/iTiWhT0Qre3BNuweUNzufKnXMj5WnUh6XtCBZNd5jRn3Tu2yCQg
UJGKZ4RImzsvSfvRzhHuPMAJf7LNdTJVv20dGIOOrq+FZ+5xnTGf6F5D2p6qNZcKu2kueeV7Vj5H
kA/zXSnUijTskiIjnLTdF+Bh8BZYb9ITCBXwP+vMXhBVUgcbj/QrgPMIwWAPhHQethfAhVuo0oKF
e/gscQdK0SDFXA2jxuixbimXc5vNCtv8uHlTtc3qcbnlwBHIQDdca8yRiQ/xdUh5hbBgZ3btkizY
euGjQoWxyEfB/2yv82Na0MV3idPutgV5X+woa3V+QMpPf1p9bqNDsCO+peyz/A1YOlhQiQL8YSLX
itcUaYGJMiSErsr6BvAsZgF0HBx3IVbIQsv6uEkoABXCMDrb98smwi7B0KH9Nnn8TMuYObeYEwDG
JNG/VsNHxMGNr1fLwrccu8Vy4+04690wLeBp4Ss6fBzD1DKSdlCBZKzukqGJbwo+9Pl7SRpglXPU
lOACefwehq6/eKLNYyKNqKMOFPk0WjfuR5OXoe6YAbmRr2kXdm4NwlTDXNhm73hXDNh/Z4zkE1Ec
2MFmK/sMxEP7eyhXPeYhpkoivK9ldAVH21BhrOF8jymOhu7zlQU0BWUMFBY8AJN7GQnYuszPa41z
E1Ud6vMdT+apuN43TFIEObhBd1HNfTHI5OsEeqGtFjd8w2Qs9RWmsqowHxjao8WyKcp2wSs/zN9a
stIWtZUnNUHlcTe7TdYGuguoQEfOs7gOlkMkIH+wzqqLZZOs0ZH3t9AF8hNpaPEZinGX4zVos3cd
b8nep9Q8L3OIz70B9IpEU7FeqzUqz6wcIfHkxhQng8xjtttKgsJJwm8HihMvwzMctG43Q9zazXjV
U6QnmNujfIluxqCAPYg1+sqb4L+CNIkqbRzdtRvr97IYml+wxOguZal9LVDuH6O0id5Vu/RfKX6E
gbrBjYsT8nWWaXHnJ9Id9WKx6gr3XUllH7XDmK+qsCAssQ62x7IlADrmCMQpzgPMxXOFSXZFzm6g
opHbdYrnL5g4Ge0Kj0ZlwrxQMMc8Up9JMaQvgsMvr5EUIWetx4ipSqxDnyQ/goP6P+97DT1ofscB
1UtggEXShPwrOlol9fOcGpWyB4sQAXZ5UxTlBBtrgieKEZ8+CIlZcVroRD2kIZgyHNfYexgLiaKY
iABim0uxYYKfCPa16fzKfrAxVf1JqELatG4QW7Fkh1B6us7YvBCyf8ulJPYsyqjL6G6xU7ShbCxo
6Oq5z2aKmZ7BQ8WsMrichzQd1+ItG0eMh6gmDXBuwD7GOGU71HmjhEoasrbdTxMyucvZ9yjjxcEH
+KNYNAAJUlaFhWv1kyIOnZsdBnMMebs3eg09EIytazEKc6fbJoK5gXdwgg3Sinaj09OSFBYtTJf4
bJ4/q2JtFrFbN1ag74uzpPPiXghlnNqZFaP/oz3VCQDMd9dvSxQq/C3X8PWqUpRk1aY5doZTA48T
qTwo1tdvkmYtLYcjb/2ST18cabcYmYSm6PFnmCucZ/4GEAQa5hsRTDNkgAMxb2D5B2/zd2sVriHG
0WImUAljDiMy6NU0/3skG1JZYSlvx59SYQQberEOo8MQY2bjjCEJJucp5mzahXpExXknYNH9wwX8
Hqm6XgBGBCGziPwT5n/AFPr9AjoW4py1Xf7R/3UBwE5KvH+yByCHslvBF/uHZNXVCP2/diRGjWB+
AX4fyTXdn5ZXA//3T/S8IzFCSOQjI/PVh8Sgu6sPiJiIxTcfZ4s6t2e0sf8wrej3W/2vz02vY4Rj
RhGFTf78XO2CyhVJio82wJ3PUHjpwXzlKVqztlrhAXUPY4PfGQeXgasYM0n/uxH7ey7z+vHXZwyD
GPNvihi0we9fu2VLR6jnyQfJh3xKarYixPcdyAEWpAKdNNx30PgxY7KfgnvpDaVgvDHufcBN+e9X
8vsjx5UwzHkBKlhAcLuGD/54ABYjCURAHutHU24jm49q0rJB+KOR100Ggz6vm8x//8j//PIFTOQU
M2ZoSTGB+49xDjznzSACnT/SbAUPcQhRtkX9gc0rzKg9ct6w42aHu47BpRnWzJuiYZnL/dIhU7D+
w4sQJX++gQxEN3gC2DwJwJPij6tpy02wUlvyzjFTE3YwdtMrOiC94vi9dG4VGC9RdxLKua6A5Sa4
Ksw85O5F6kxAeydQol9KySWaczjgc/wMYHA07//9nl1X3t/XCaYcYD+gKYty0C7/MVfErQ0U6Wnz
7x4GJF4C6nqKm0XhuMCa9nOCHlDH/dWuhsyqrv/qgKz/T29WBCcVGCGmm4DpTgGB/P7ewsk1NphM
vY/gJ0G7CHAeMKGXQNFH3yQNAyGDdnnuv0vBAMKicJdzxE5IHRCIpRMHl3JlZDBMAoVftw3LTYoR
ZeqfpltEf75j0b9mniFWX8R4xRHt/f1CfYI5xyWyUO+YRprB6//f5J3ZUt3IloZfpV9AFRpSKelW
W3ti2MAGY8ONwkOV5nnW0/eXQJ1j4247qqMvOqLrogjDBkmpHNf6/2+p81o+kFHogY5upmZpuDnN
KUZ+RtC3qBbIrOui3U91HR47jzR0tAEeoi+XRcz+L/RLT5dhDwpa1/KzLLyIbZNpeTOrlamli1Fe
6KuX81czkg0EQX79/t+hWBTwnGOW9BR0AdM+nfXHB6Jnls1YjvUzskCbTHatk9FvfM4a7Dk3xuoo
/QP7iZfZk3gcPxtephN87irXPU+9JRs0ftbvB7R4P4uzyCLbsrELsGgwkbzrFmQEO04JVf1ct4wi
MmdENcU11AtMqlY3LDSHRzBtfSzYDSyOj2VmaqBx6uYkz1GzhtqBHVq6PrYqFH1yE6mkVKiZi9zb
Z4OtXk/VEdIi3q7CW+caEfH6uMKEIq+j57mS9yS0Pi+oKr2Yb1qQJddHt5hn3p1lsy0KOUrqUe8G
NbGJbkfUXb27jCgwUqzm5fKei1Vk8t1qTvkTFdoN7jzRSqWi6mu7yD7jFyubeueNrTFy5qrW/qrF
KNOCfC9ak51yFBbzIRLIkJ5KtwzFI0d6g07muBGKrBH1DWKuX/eN91M4rf9iXHcV/w4F6ruuwS6y
jAxyX8+rUXScH2bUsxz6piqtMJANzcRE8esrvp+NTDzeukliFv0ea/f7K3at3sVTYU1PFodzOuM0
CDX9mWiYWLzl2KB5InlJvISczNB30bXzKtH49W0o4d8PsyJUAawiLFxw+eA3/oQ3RMDdkN8pHgtR
Fr3l99Vga38SbGqYjWKOusYWbkqV3I4Y/5hx6tiukOm7vTki3YUpmxMiMqPmMg9deT9bbe4ufjcZ
cjz3eAqSTWMj8r2kExELT0mlqow+EBA12Nn5judqjNldHMM069XIH6Hd3UDYc2q4dllrzeP+10/8
fl4D9+TqbDd4ap7WQj354zSQyTAup6ZzPoxDqSP3I6lhIvcboRdP7GIhtxxiYyJTQ2TBU7FYJc5W
Ux2HBzUqhhSd0T0kfvVNs0nQzBySmiMSU2SDsNnYNflYs/VewZ4w6sKpUOpDY3ELRqdjADX+Te99
B8sDkAFiimWTWY03iMf+3VTdoFdaq7Q0P7h9bDG2+jpSN9Br1qCG7ss4pkLnwr2F8ayGOHOlmlLa
umGh0WIDwaMx2+pbVZN12efcSx1xIGes2qFZyA6cwmbmUwnAJv7MEhWw3zPNaa1dDcTI6jYL6wWP
++u3hfr0h/7Jo3kGWBeDoQLahf3ej2+rJ8Hi5EO1fLA4k9L8fdvQtdZ8Taqvve5m5AGWvmrWR8cs
1fpYaBW2JMTaBaT97VpIo492nqUN0wd2qS3NQebMovcBamE2KRHo08XElNdqdhuYNkHNcywgnsiO
hAsmfajzL9SoBk2BVIam6HuHcOsGJGLKkIg9M+Vfr+2jpsLsN2yId2MUVCYoPNYviIIUHv5pq2tM
q5DYK7SHsXAqZofX7a0Zu/OYbdDgct75jfrSfLccqUsKi429zrKETu29RBVCElvIenYeugHWwGdS
GD0dirWf9hFpLSp7G04a2XRf5hbqt0M+hiVbFiY9Wmlq57y/dWTHYZr8h3CZDBiQ45kUOZ8i3MfA
7+eSherttUW4p2nKOXcpruAzitTriLJZvQiC/epA6y0p8jwAA4T59zZZgfUxk2Ref6fOBY70vs+B
4qVGKtUmQHj+fKJiO9ghmCEvTCBd4tgBy2rVm3DSw/SE8kq0y7aJW1nj/AXNl8Z+2zZJc6HngzXb
fs1uR7tso0IT18RrHYuwIwqJr4iV9MMUDkIGuNGq/JuAkNSei0oWFM0mgTXdiBH7JBYs8AIKnMj+
sRt202QTuW2bOMQsIQu9MK4svTW8gBC+Z2zSuR9arCdEbld8I+XYIkmL5mxkMIxrOy25P2t2KtKd
ZxqDuJd5vwhSV7MBznpfe1NsYHNfwohAe4ysMt84az6tKwJgumJNGGIhbEkOKpU7zCsRScdCm9cH
yDNm8jiIPCIbIXrT2CycTys8RlHfeTg0TXxuUEOjA8fkPsCBO62XoVfC5TImIzZ3EEvdWN/WWVWI
D4s9RplGHQmEnw8z2tj+Wuv6UjuzYjjDNyBOsv2wOmMENa+uKiPu7jwcDdk+TNCB71YETUXle1ll
gSh3yKc17hejIJH+LTbRSc4BXWVp/vSGfprIseYTlQoIM5eN7QacA+xc7sOC5OQJrSD1Svak2MgO
x3/Gbmn1tPJsWBRsuIYMMNKlUUlhjrujuFUv9W1Zirp2joMXJnF+hTsuQ7CbjlE/jVeTHUZJsguR
dw72OSzJvRxVdjNyd/QVCUWgHleVb8o7N5k8BDZCErWKw5ag7XGKOi2GWp+AICHu7JGjWYKxTgb7
U6UNJIiOdI5JCzcTkVaU2EPNrsvz+8VyKRSTA5rhS//6TS1Jcn6GPV1wOfI2ovmyDo1nYseULRlG
ZQzTHGj5qZ0NYAlLyCc59rlRrYuodxMeJ7JsFpXPc7hQ14taMTG2nZsFN1Ht3KahRqxu52SWZtbH
bFjgN95ItHKJ5zeep3bVTtvbcfboYHHXVrIXOdjRLRgnpuxrZu0mti81K2ydnOorTWLkt2k6kVjY
osmdOoo5vEmELVPd0jISuTS3ehQvSRPoaBZafE89wsbykxmRbWqIfOJK/DCABgA5yjmYlsXNm7CC
bMhTqT/C/bNl8ZvGU3t6AYdAHQxicutyh8dMtZiV9xlfqi7utfuycNSUL8Y+cp0NBtGKDoCvhwo4
YAJA4/v166PGyC1pviZVISPWki7kanlscMgESKNej1GL2LQ/Gvms2rkUHlChQBu0llehgbWJxZ+o
RTxOHG2SsNPaTK6B4x+0aGwPGm9QDM3wSGEBcN60lxavFdqrVRjztZs66pYT3nSNOIaexRUsftR8
CbVZdTDZaurNk+Xke7mHdJH6GSNFcRED9G4zcQ8j5dd4xrfnaVvLar5gTYj5no32WN5ntgg9ayMm
jwCQXzvo3PXtW+8J105FX51UUw9HCvylMcBU0ffe9rgezi31L6uzs2ugIa12/9bU2uvH/27k188R
KTCza8dEQuZsjBLVxpcskXXS7hPsbzx0g8eJa0UmmR/9ngN4VHm+/fqiqpXgLJHSfkFLfCSDthCU
NTI0UPLGK4aKVsKlmPMRk4oF3BVhjnD0/Exf1KaXshoInTcEW/WGdMdLC1Y1I4h57fWZYhOcCWTf
CiaNcSBYrU7n+uurfe0eKDRz2keSQeGLjXuSvzjLJaafRgbpPTYSIpZ8c6lQU8Uf8LshHkLHHVuq
eV870josUEq3PKT6K0bSkhrkbOZY9K6uj9Wtvzaotk4r/6hyqxIOHCK7zNIjIVm8yvtIRbT07ZSQ
uRuphKFE9nU38X5BhJrNF0NGJd0HaUWhHr4dVdmpDpeG+oPmqL6IMXL5kpe6Gg7Faqv7LwcJbvPD
kEf4dXdlhBHhPm4sI7IOWbc4Rn+Jf1n1lSQFg+Hs35ocDUbL7cyvanxWgIqLp3WSsc6PBgpG/QM7
t9Qdg7rR+jLZ6F0UcnE7jVEpoFSpiW2Cg1GRm1c9ulOR3sKRwfrK97JlkKm7y9gszssFHPx8rg69
qJQFMfdEXox+2EWEDRGKD3w+RrfBFzaNdn4qmoH/L7gi5LOtTwahogbXU34a0V4QFJjalKsbMRH7
Rwn+hlNAuKyq76MvkSp+b5HxQInexvngbvOCJbbYzhpk8I7UDkvV/ITKP2W+wXNRZdnhzXhDMjBu
IT/FOefdr4vohGUdKAtFc+ytlzHTVG5Oq3cIM8P10YqhSvcfUJDGkzwg31GPPntRRxNZyOUynigD
OWNv5aorIX9PMo2fGXOteg3xKtXFX+OnGInBY/nGYKrn7ZPE5EtLB+fzlDCy+VeSU+zj2RNmVno+
IYtFFtcWyTg+IVFq0KlHe+joV69BltWwc8wb1HtqQ/MYhc3K31hfQ28hkXyiho0tMuKluCg4+kL5
yKpy02MD5hxKHlSNp15MCXalKHN7pkpLhuTrTh2pHJqZs55qvCGxVKgA92yGaynNyRGSeFrgxNZP
E9uzULuYwq5tk5NnpSpIiT2E6QckpyURJhDGWsLtHKao8Hdyqu28CwhdGFKgj+eA+ywiSPNIgVir
efmrBiYl3KFvU8tGYYeqzVFHGHS+15ZMe4RZJyvREwwq5FuKEGfpOkzafctmmqjCipRHPjPf0r8o
sbTSAqnQ1TNg0oAbteN4qaJUOboRFQvwiopCTNJb4sb4AsxX5icpm3pBM2aixdD+Qh6cziFJJM/K
bb/LiX9rGzc3nPaRiCR0tQdo7mkUKTy2Fc/nyWFv03zzxmRssBuFGFTwcGAYKryNZq5d9riKwRRY
slkd0NX0FMJiT+k4NnrdgV5eUCtoM/JNlDm+M+HhowrV65O8vsumRu1to/a3lGUofJlu3kxHHgpL
eh27fzV4ATOpT6Adpc3C9MU5ZBu6xieQuKkPhhbRCSo0DaXKbSR5WDOUI3aL4WntF6PeImRT6T7u
Sv3krcu+mYmADvCj13i4mk61aNPOS0u23jBb3b0dYtBplT/pGNOfxbKGnnmcmlKN8khbVTiww1HH
F8G2rD9ivaF/C538w4m4pbrz7MUH471eyG49ljQSprzs1xNbmaSro+TgiDTustcJC52v+suNa6hg
tAboWN1jK1shgiIqGrDLyL4RKQ2vmax+wu84XiRmpLZxsZi5hjPm6raGlwGnVRnrCMLtF7dObSpD
ZoAiSvVJJ1zNDPNx3JFt3MZprgxVrw1CHFhNepkrlQtLdIaWXsamlYPx+vWJ/t2BnlgO8wM9GB0E
ubqfwspxTw6BeLV5H1eV5K6dKJoZDco4DSBEqBGUv+bMxqRR9/7ry6s46ndZAHV50nNoM6ktC/Tw
fZwVG0mlTZ1DqOp1akyJAav2J7uTU9j6X87d29c/+r3N810AndGkY4TgWoSs+L9Ux/rv8NCTmzWI
Yozy7z5CeTZwEU0dCkBLHjkrZmQZq/TkkKS8YQCEgnHyNjn++l5+DCHYuk7/UehvV1Fy6efmj/cS
jpZJ+DaN7lXmVD4ntqH242gKHGu7Vmydf9fOP18QiySBA+lSvYF3/S6iCg+BgmlQ1s+vQjsKt3n9
0XmxE76N7F8/4HuUNU9I7BYYPkYC6u+QhP3xCec8FVHZ5/L8NmNM6OIZSgtiddvezaJzceDU4dre
DRP69aAYSjWfv9hKtW4VrEe/uaMfezptzlFKkXKpfQXLllTdj3e0eLo2OYvVnPPXQTWxr2OMzwPa
Ewgk7pjwCkhIL4xMDyYgd9BosboRRArNsG7GhpP9zsa1YrOUY7EDf47rho8TmAyNU7JYnCc302s+
q36dZn/9EO9fIy9O6JZukzExgNi/z7Ky7jY9EInxBAJXzUzry0ao7uxyuFs0dxC/Yf/+V9ezVf0M
9R882Xdt5oB/4QXrA2UpX5a9OYrRK+sVM2uFlzCJ/lFozQYhi06AyCITN0P1p+nAwk5hlGOSstyo
XTCbZPU2qMDKuCi7Ri0Yv27QH+cf4rOwa+mojELczUQ038UzEYvOSYv45uCUWkuxNBQkjvUsWwbM
74bgz5fi1SFCABvMSf8nsnoRmsUyRDI6vG5FRhj+zDWz2Sgh+MtT/SOaw39XCOx/Dfnwf7GiGIl/
uui/VoWfeA6XVBIbvmbL9wgIepn6pb9LihnAHKAAqOVQpWH+RjmoQs3MZkJ4pgLmgnZhRntjOVje
HwbVfwzGCGITpjuWHnzjb2WZhcfp1LOJXZLq5Lf+Lqj2tmT9qizz+3I2yCt0Q5qqdoRCBZjvAeMk
UOLWhU18MYJziDcWXN+7CfzKjuww5U4w4l2M+pdUlS+uGyEmH7GUdx6rsT8gBRj3VgPwV+8TXf9N
hJoDNtPnv1dyRg6HD9ZxkjnSpNLSe9LE3NmLnZmuPDpgYasbz8v0G3eVVJBIKcibcXqp7hNDaOgh
iI/2keX5Wj12G2woQ/jNLUvjrsM73SBwXZzC+bjWWnRiWz1R3jPujKcCkwN8THI5YBRHqUE3gmCl
3xScizstELLX3IM6egVCz8o+DojgCiqwct7O2g/U0I0OFcfBdNp4dt6cXcBXSyDYZRWUHcWP5rYD
DidzSbdz6z00LhndYYuB2LpdDTkQCsWlOrUNp1PqM+YQv3DlfSkwBpwxYFepPwoMoACUkXb4LipH
YwcqPM4veqvKAV4Cw4P7OljiDiBukEEb3ZUtfNkw0vbkdduLJkqN/TBY3Ve0GC1hEHsOZNpdAl+/
ILzTPThlAr/Rm5e9g731ErfhiKxz1AKq7jSka71UnohRL5DX4h3mEDga8WBUZzwaT7qVontNuqoK
1iyPP5khBlwkF1iztKjS7taB4qcYCZaOMMQ4X0XOeg8yNb9pURb7lCcokQ1P0oh2bqaJL21XUMa7
jjuWQSyFCN/BYJ5J/9RnlCIWzCC3uLWR6isCPwiqa4sqytaHNGpJ2xtacrOuDaLr0NxR+WR6WHR9
9svYKo+zrO09iedyVzs9rHSjlcOGjbAkqOcYh9mifI+D4JLomY6dU68hJa39tDGaSN7R6s2lKzNl
Hc/1iwiAwYXHKemCrHcOxLvU8091b3QPCKXSv5oJYcomG7T6HmHeerJKc76yRh17AbrUnaA01ZZo
Q8IBEpgXMNd2ayZVL33aXexWNI24d7M6/pzR7X3LbOdNT08jWRJNZ90ZpxPUkfHSnrphS1Fgby+a
ON/22lr65pSwzePMdI77Ajy7vpqEdQjlBXlbOOFuQqW8bNZGyE82f2Sjzbnmo+0etjbI689mlMYY
45blTxOPzHUDFQv15kwl4FqM06ZPU/nUmcvK+Ywg4JEIUdoGCLupKb32DuDQESVS6js2+02f5cfB
OOdBHEIl7S2BihatvuxC7cGeO0Wt0vIe6l9rXOJ3I9E0047H0VnbDoQLHsAIjwjc7YnWoxAajucx
3abdGO+wvuGPK1E/faUq9iQ5IE7twzrV5ZXC09F8a5NRxhZ7i1V54cZ0EzW6YrcRAC9EOBL2z608
MCF2YvLUE3vvZPiiQB5+QBGxfnEob0jeqxNHT4JcSuTiFUFt4N1hJpyexhixl1+7ctFJFK6lEWRJ
S+1zYHQT3BroLs8lvvkhsCFZpn7Fhms8WUUtjrOxcvIsEESmvoG8trhCXEdFAW/B8lwByILcxSRC
pYPQzW+gzkksM0lk3nS5mO5kOxqovSk/MSMZ7vIbqIE16lYXg9FUkbzeIXSHmlm3qzwhvugQ5Hi5
KqGdF4+g5pszzL8ePnFuWtchZ/ErremrLkBor0OiTasHvNRaHhhDIgK94ueSPkqxIGOJL8bVbq8n
PCe3KuPzAWl2+eDavbGJ4KQFRT1RcKWumHztLsu+plGvlQSmkzIDXdDK2y5Zcu1TDdd92pBr9s6m
NbnJFt90xEupOQjvhF54f7YrjFpkw9NThOp8My7GeDb6sTlgWw5WDe0jCLIqPuBrGnW/b2JxGXtj
unOmsb3Hc0duLCTmf2dw3PtYjUVydpDmGocOQMUtOP4aYgU+LTL6Ttw9Vwv+PV8YIBr2rYKLh0DY
PseN18DeMubxuncL9A+RMSm7huWCpcuocXujzb2WBfbYcbk8gjLG/O6dPQ1IZEM69Flq8Bw2kaev
V4K5eZcuFoAy4pLbZrKbLXPDfCR2H34CVmbwPzod8zyDHAk0wh386vit1ljbYGnGZJLajXNlRFA7
fawH4Mz0zmguMMlQ/pqA93DZcxh+eW0Hym9fFnqLY2mweMjRcLZdLL+mlj4FkyvqTdbM1mNi9EBS
ase5JbxlcNXiq9l0Hh3RzqwbNP1XwBOZcuz8KsLp9XXu4HNC//OhHpJ1NAr00Trg07oW6WmxK2cv
qFDML2DdvCkZ6AKHnTud7AGno2kOZgAnwgRoyP8omaY9o7Bo7lrTmi+F3YhcMSjLJzQC49fRyrvL
jFB30BbVvFf7ki+5llVf6aU2WQiqjDJ1pM7obgFnxLhQx5FAkGu1l5bbkKgGcUQu1uhWRwCo12BP
TUXrWbulBUUfzOugP8q078ttI5vsi+gpGLddvNKa/UhE8OHTDrG/3+c9BAg3dqbPGF5zKhxnyYhr
b9TbJ1C3GZSFltcVf9ZEOt5oUKXPi06uZA7tfZoS0dlagmoDmxJD7XWXTJSlJExh3oQZfGu2WNUz
9q5+1w9aEVQks4jkoC6FmGul5bOFk4C/mYzfTOgQW9R05Hod0IPXEJiMq47pjFHUYYOI1hHLN/su
JJc55go6iGNmn0l2P3WEM+FTcErZAKGrL0iwadipJlcTSEXmMN4MeTiVwMub4jzFen+q0nS5QxmT
3M/5qFvULqO+D5gZE+Bd150jT9Embde+RhsUBxiZTfMqQWFiB2j7cLTj9ADRYRci2uKWGQMU9s5X
cnrNFyT69Yj9UfMuHNFNaoNpmxRATitvuxhrL/wWT8HRTaVDdrca5FVf6KvAFJQP1AjXVocAUpqO
VyjvgWlMzCPppiV+ZxPZT9uPZuos2t2Ip0DsBxb9O0YtgWSdPhBuvSqXF2PashIIqLvNAUsysct5
CuOQpRUMrk/6xL2ncpsIqsbROvoXIFS3xUyC6sOq924Ffuy6jZdsptanQzX10p0fW9Nrznh0necm
dNN9JSPIfHjJtK8QBLULFw1HuW+6dlZit0K3/NhYWTIaJx72CY6WW5OKzsWFWyfeTTQ49V9kzUUC
ETDSj3j9gN+U1agRjSQHFMxDE1v9pXQXs5Kvm+x/dKz7/1go2kSXC4/svz/W3bR/RlX5/aHu7Vfe
DnWIfP9A1odYwITUh4aGY/5bnWhDlXwmxgkuioMa4UHONW/HOiH/4CxDGg1PKvr27yl9glOih9qe
anlSoB/mxPcPjnXWO30PhkrUPdKxTSQ+FpGp9+e6rBuo0jl4yW1KKAkTh4XwBDkYW6sbUDlCMNyb
tttXuV62uzAkJ0rZIVzxmwzY5TSfGtwIYAWyJiPtmGRqZ+mi3J0/olXRMn3DprhA2lBmB/ZB+nTb
543+rUB7js3e6UpqDrYGNdp8kwNDRBYmNjN33FceUwTymfQC5qvxlxWVUHM9peXQiFuTLXWjCycT
DeS5aIXY7ORnGyvLPlqrNbC8HIZylkDFIns/oFnBpppBdq1bLCuWgFira1/IvMdBAaMXaKrnnGQ8
JsdkXdOrOROJOkoOz1M6mFuh11Av2lLG59Zxszjoqnm5Hann6QVw56nlYdU8sQ8cvId70OR14Olx
fNmEGQZtMGR9NMkvaCb6Dx0I8/QEjEMLuqR2bqirx0F5SXBubHK5kIkDu888782QSDoOywukBRai
gDexfAqXqvQ13RupVMHh7R7/CcWhOxQ72Wbh9o8JgsbLdZrnT8xihk15nVk/RqU1bj2JfnNDsq8w
dg7MPhaBxKo/Lu1MyoUkULfBgFNcaF2pKyS7S8lFcHXujZtNDk5F6t808FEStXWf424NUjbwbSBz
Z3nqSQbKW55ErePZWMwBM/scJPpgbTu9BdGhpfFfMPkEJbOS7NCRy95NEUwOu0mGgJ2ac9esAsRL
GWdRQHC6ussQQl0slQh9vWiMO3gc0xZ3tLwIBbM4IitbfptIzwfsOgaEYwZgi3ipCvY9EWITdJcl
GxQRsV5e6+WAgvfCzMTk1hzAWavdLQ3BRqcY47K+FVkTV0cKwxiCY0iyRCX0/oRt9VB04mpiOTYS
1FQED5HoGCixgmKl9e6GLlJWK2N0cC+UyRQ42uzVj3mL68mHQ6YHS0yZHr/VYyT51jwrn5aJC/cC
SV3rXck6ir9Rl2upN5ATMgqUuEuhXY12EnVQsGZwFtTSuhoJKFCeupw+m1CLa8yG07BdahKNxzla
YnvTYTKGrICkID6wQTWrAx6N3CA9t7D3nuD69Aedwx1p+CS5TWZW003cjJwIqhZjyr4KXQdpaL0k
eOSoPDVt6rAexys8twOEDk1YmyrmbWJNK0ZjoxOtpOyNRt2bW8nJqNu0xVA41zMB4VPe2Spl6AxB
HFnRQo8TmmJJ15wvNSc5aRU1HIlOhFhlic7LNihyd/pkEh5ANTM30YVyP1I5Pl3vvEH7qnH8Z0xB
c543Lrpz+wShsqPcB+YHGAEYjz7NIeU2fHcZ4gfQX2a1h2nXgs/SKfcIUwKL3YGZaLnHtQ7cGOVs
j3Amz5Hp5HpsTkcnDS1qWtbtX5MmPtiDdK8sfKnIQDJzrAnr4Eg8tngmA7fWDBT4nX69kri4w8PH
eMT6liL3jZjNKEtFVeSlScGTWO5FqrkLHI5Jm+er2ZiqS8fCLhxwpWzvEgNShXohkiS8q2oX1Wsa
ICi07rR60cedRbY/oMqeeVnJ0ttabqp5Wy1BUYg0aaaCxYqzWbeod+/3GazzL23jQPjSe+0DKqbx
qdNnogZtJQRjDateoKV4SwtDkq5sI0XnR73cbWVMNcJLPiDw9WsY6330IPUS+dJdi/hCdJqNDn8R
jl3rfroAJmWXAbfDhBoa+bZsI8vHRwG2o2mtahv2xQSeqwJcJK5hfQ2uj2w/fzCWyHocp/WjoAtT
pKibMYaylTEP0p2cOwl+Ooj6cAl6E0K/Q8gHLd3am9tcQzW3AYU2n8uwE6e8MAcYTQQUjeuprarr
tV9lunebCs9uP3+K5hmtDj4s6vEYSZi7m3HUe0BrYzoP1wVH0tO6GN2ZbSXG44r1K7rjEBe2pp+K
fFmXQ2E5vWMDjYF7FF4AGJggMrqZsfvnYfL/l/sp/A2/3E+d/pz+4wne1w87qtdfettRgS8mBm5i
e6PYpQfJ6N+Bcsf7w5GYF1D0S5Vb/n5HZf9BCJxalbp0UGhKZVJ8C5QL/Q8BxFXJy5Gg4Mm3/8mO
6l3eCvufJKtjczzBw8Oh+l3eyhhlM+p6VB2B6rBTycrIvrFaqrqgpXV/k8JWmcwfAt9q+0jwn7bw
0Ce/t5iOnQ6GxDXKo4N//bQSCjkRS/AeOdK5V03zT0u7qmdDAI7lAmOt6f1k72s1WM81x/oj448R
POnYG/10Xo1TP6uyJX0ora01uwaa4MR8+G5f/ZaR+D6J/i6Jqi5Olg5UMqBdx/1J/99oekc5hLY8
rm3ffytyKt1BIRzdKxa0+TyHq/cYmvrvqtn+F01s01qk7Ul7oK2k23yfugfWnraT6xTHtjBUiZO4
/wZqOFl9L6HkSaQv//iCnIaVVoArYuj8qRZ2qnCuJjzcQ6yFrBkuS+cS9x4WfUt7Rooon37drMZP
7epQF4SKy5R/pnFNVyUPvxMnLJ2hr1Go4KrVzCZ+kGFnqii5PsK0wAq0IQ5vgEUgKkHW3jg3o10+
luicp00sKain6IvOuV8I4vgtu2aokYTnr4zZmz8tpvubXoBC5n2nd2yscYx9wdtksL+735LYaJQW
/XBA6xiJB60w7fCyi3IqSUYVlSeAJBvTBeDJhVRJ19vGA2NwOWvwGg5QmqW8SDpsRgVwqs+RhcDG
pxgEfQlzI+4k6KEnSLksfhjqciRIRFRP1HqjHZrMZlkZzI6qDFqbALFdzNXd1SRcTkAdtHY7OHp1
CZl8JiAp59sw8SDPri2VuL64ADaoAYDIb9wiBzHTy9ay51vJLCEDFACZd0j1UaNWcuwhlUA6RpcL
Uww9nJIWMiVUjMCc8ye9dKboi5Ek6XzdC28Ud3O5TFelHucw9uwUAymFmVnP1ETQLgXjdKa0yq02
9RQQyRpQn3PY1E8DRbKe1la3jhIBI8UCx7F+cgtrvNW7jg2r16zqoAWzaJsarf0Zy+x8pugZ5TqK
MayfrLifz1qjGQ92r0oYrYn9GaulWR7LxZufJOyKYSOFAZC3C+35PIiWJ63ZhvvYb7ggxGcqBUGu
aoPBnezP+UA7uutIu7XCeBg8XtrqNt4j5f3sz1ROnM/sjL0tukabWF2V9O7GmzVKI3TIUs+vfTVO
IypTxFYyDdeJKtdBQQSKLAibhzUXzFj7bsI7CYQDUMKFR2mi4ogsril6yAyeO2x74MEfY5Bgj27N
fBr0KODnbUEJFHztpRSfq86tn+II8k3UUBDDW1rvsc5hgPkUAqFnoGjSNgKG5mULDgOxdV3Nt8Ow
qCpTUp1dGd1UgZpTNKdRla3II7H4sh2KDQvelaoFA5KYZ50gjFASo2oPL+0v5t6GAulyjKIqDcAL
Le42DUba08tnAOWUm2LRU+aNNT5oPOsdpYjHYIo8bzc06Lw2sRoeEg17fYCFG4aXRodVfzNyoggI
+pKutZBJtFj/0EgAesldPT31jexq23eLzJzva3b8mCLDag7HHVC7xQ8tjV8o88TQj5PRO8TD8LuU
8UVHNEDbLzomuaDBCRqewXjYuR9DN6ROSYwf7cpELPeE3HT6NgLbHIlCdmtyOy2aOX3saP5435Xl
uO9MfHo+NSw5mxJU2FTUxeCUOtq0c/dQW2GMZJhiQGHpUbWMoDaexfk4WY3AkZZaJxs2OBvB6RB6
y3xJpav5QSL13sR1CDcHC8FJgHfdwIQwPnW62QQ1bh+/X2bjRpNxT+iz6ag7FY72c48yVdC/0EgT
vE/myxFa+kG4VUSdE92kzo5erScSutE3UnvGSQJ3uaBAjDzVeulRRGUVFKgrp4IXPmsQmVaIoXtV
XPibl5BxDuBHRklA5/YuyAPOHP0pBuD5huOEjxblUJDpckzBVs/JoW0+lwYwVOKAtjg0CHVHPmjR
6VrQV7CmM6o7xwb/8JmX5zPLHH3ZDMs4OUgtZJVe22S/dH39ZBu991gsMdQ0J3ILG7n8OHMQi8kT
A6M7Ucmpflo6hfDAfPd5rtzoMbUlE2ZlZg8p8LWPaYsXD2+WjYVTR7CdoHw5ujWxEOoJhDDaqEz+
IIHxrAllkZAVimhnWFTzvbBB9Xsf1642notW09bjihbKPVpAciwSrHU370jlttmFNC3ryxqNttwC
pbv4NzC2pfTPER36A/GT5n8CjcX95Nyjn8kcqJbT0bYGbQws0F+b7+mxpVnezAO1GXeIQPFf/4iR
FYvZALfMhf2GkS0dEtawdvl8zYrVfsAlY4ZfPHdKWowmdVjtVpfy8L4ZZYOAJpVpV0WeEPp1irD2
V0oFfKJ6anWgbI9LRUZLJ/XQJ3sA3S0hH0hNT5i92IvUvc2pdUq0TWaMvFZMNu02ySEAbYG1Ru2p
dbvlSIbJPUHrZ1kAvgljJpfdNz2n/IwdYqvyM7nSaRoq7J27SHcD1JiqKw3E3oIorowTvnXm0kYi
L/ZTj78zmtyN7GPvqvtP9s5jSW5j29qvcuOfQwFvBndSKJTtam/YnCBaNPA+gUTi6e+Hpnh+kjpH
Cs3PQAy57jIAMnPvvda3JJcmLGm1A6gac96TR67pJmP6AweyqLkFZyuh6VG25A0kZsF630/9QaUT
6+DkJMOwx6fvX2G9hoQAbx/JApsJjROPfCZQPTxLjuzImFXs403PC1vxYr8tKmfBf18CaZrDQETM
u976Ui/TW3I94GONraSPM476HqvFwpBBaMPn2gIguzGsnp3fXDrnzSvZHwektZKmYEasEmYkQphK
oOWcGBQlyv7b2zIgexDTm5Lfdoo1je3Lg9J+7sq+P0xqnG/FxNm3ggcWGUtZq5MpTbemBlWVPV9w
VJAcpfdB8yrNrk1vTIfyM6LZz2eV08JL1n2mvHsb+NrAbuHiT6jwCyUdo0Xp6xP+n2S23dNYwJUO
oWSqh1hrnFc3NVhYmWHlV7LtZ8IV/i042F4sf2Bd9IyHstH0Uzum2le8tME+HSXBTbxnTjkEOwfP
5iy5LfyyZyfvAmE8WrgbiSrr57rY9ZBx12yvbP1GgTeBoXcIBg7H1idKjVxEUT/E6xXNc7jmy1hx
x5WgfK/xGVE1CHPRwR87Q7uiR30n1p8NJnGOzffE0fIBEpE2PkwuuvY2JKouSf37ssAExVbVBosF
Hy7pVLbmWmuJASiX03KyB8zgoM/nuFHq6AUyPINFyGw726KWxvDrgu0FBMkZxDNT/VRAVGPsLibi
JlM4LYDVtzMzxlNJGueFy9/dN6ReHosp1T7MWkB2GXxcGO+03Wxc3IeE2RbNWE/blaN0+BwEI9fE
NW10L4AVOsQETVp3JPhmACGTcWfoiQGfywCSNs/dEXFUgqm8NO5rshRIbmKR2OCByXAkcSIRblV8
xfvj7PypiQ9kTlfA47oJEm4zSDpH9de6J8ayVDfBbMsj9zUHAyDAN0TL6jdOpabtpFehO6jqMI+M
lTkbxw8zzMVdzia6zbsU/CgiZFsX9mU2x/qOq82+XM/liZ2v2ttVocEGtEToV26UBOVlLOxhY/FV
3eiqTZ5azR1f+8a0rhml501oJToHyLnbl0GJAWS6tSrjnpMfYDlYaV8dQmFPlgWXLwNkF+R0zGr4
b7F/oEH1xelcLogNMgqCjYN/BW2ujjqEE8HUkjMdT8NGjdO6gpBVSKZdOrIairw5k6+pHRH4du1l
KEpu0ipltaGLyx25TDHXPp7LdLhVBTyicOLYvf3rMmqtOn4qxX0aEd46SjER22Ga+rmKYsiaB+x4
7aF13g/9E7ajTb8efP/6df5U/TAuWvk1Bu1RZOW/ipuJWhBj3oj2UJKZinDD84xHBoh07uzZaM7u
yoY9vS+Hf/26qxr1l8/no8V1UOKCF6NS/PnzUZKXVt4QbznnpfsmNIze1TCX805CIOqjpqrVveum
rMXdtJ5y//rV/6Tw41MHJlUxDzhv4ldGhhrIS4Qk0Rxw0VKAwDk3H6EpNefcG1jtRdLyp972lCXr
yRu8BYv7+1v47wT0UbVf/vf/vX2usnqbDWS2fhI/Nd/WTs8PV+tPwtabonxjgoHcGoVrJtS3jLL3
H/qjYxfYv9nAKBgyWpCEaLRx83yfgerWb6u8m2fHBIICwOJfM1DLW/8LvbQ/xLDfZa3Wb3RIVsaW
aZvrz/n/qFvn0H388cZGMYsqH4eCwTswrD/10PqJtOXZRSxjg4HFv17uRDqJHbuCf+ekjB3x5iUo
lQQx405U9DhwnlLh5J9Lknc5CM3w9hdKryrI4j2mXat/ZCJWnn3Kg/xWkIn9kQXde3UWIkBTIynP
QubI/NeDAykhWXUyZyaFbhFMWzHl9VWOt7F5raH7XThOtMu+UsY+kcuElAML+w5lRx+8ThxJ/AMo
e+QXolPuh0nOo3+L7s3bAmlJr3KzEXZkufAEwyBp/extElr6YSQcq+L81BTJrh3GAh0FcF7IGBoe
DTjClFbpvKnQ5liMc1KeSG/nd+XSXje0BYZNOiNeC5Hy5XZ8EINr9Wz22Bm06lRjf/ExOpvYpRyC
pjjEXvvmQjDDJi75PqH/qGqURLxAEZPbcZo8IzTS2NA/SVkOcomKNAPetinqwVlIxWFORgjkiCgE
lsBY0wqpfVOrGPcGNqt/6i+dbWxJQ0UHWrgQAYBaJ62Z4qzyYdEu+eclhu/oFKGocP9tp6TJsO+h
jUz2AObj/tojhfuo41S71RG/bJB3Wgy3bTZhUKjHVNOmPdEs5kPBLpdtrEFHhEX1dofA19m5Qave
vDYvIlmOZajWRKWsGSjoKZav0BJZe7z11bFpxLgv6qmD9Vg3NC2ncjz6wDS9MS12VVU3W4uR7A3C
Z6DbaYn41k6KLTE91ibHu3wYliC+w1JevcS1JhgBMtjAcTi1pMm6T1ATkjsr6YZbmU7eXQkC+zWF
YLxNCD469ZCu77gfmp2amuy5HOb4lhmheuH4C/mQYzHAcA9RE2B57xrpdPwMZNU6zKmrIWKLZ7Fh
dwl2E3yXq9iNyz30sWzZ4iIs1HPb+Zy3YDg+deT0PAwE7hqE9YB+xJPbWXOYMauZw0Yty7HuTdfd
EOheRYC5xZGoon4P0jN5pkVinQMkuxzIW0c+2oExoGRu6X+BZOjLr4a0XTop3uLQXWjqOirMhhgk
ZBO3CJi9Yy+dx7zztkM+2mua7YwWjsNJQuApJ3Doz+N0MyaJCdkGLyDbG82NXHGtR+zEd2np1s/9
MNf7Kfba31EwvhhdP2E59f0TV7qKVItESg2tf1kgXN7F7pCeagx3j4lhLR9Ga6mqXSBn81Pe9PoZ
nS3iTUzI3glqTrCDkvJlIkL0QOO3i9K5WLiCXv4QFP74QXfz8kUVS/ZiSZHhjez84qVjurqVBU8Y
87p+T1PGjAJPil3WumdQVG5Y+Vm5z3tL3dRB7ZzkPAS4rhXY5Q0/q90YOfb9xVlAkjiunt3WJOit
JF7m/U0CPncyaFWljk89n3Fs3Npap6JGji2BqRJlIB06dGJlCsNaD2F8yVOjB9iHlWM+25wHb4TW
P2VL/5C3mvd5dhqEyCgTdDKhJAOW0GSe+ej1uY3UUMVXHC/bDZLyeEvW0TGwB++iULTzaIzDw1L6
5dbp9eaTO0IPbyUx7igblt+hpfQdc8ly3gSVbM+wR23iL2wH81NpIiCsOrVdliC52KYxvgpHw6Jb
4mctKh3stsGgO59JV8jI/gaYm30pAWiFw9RdmWMsI8eVM5Eno/XBTOPsYGme6YN2k+rKnOm624Ur
h40QpsYTZ6f6tdHN6GcbAyUelHNUCvlAJgmy7iB6711OAwGwmzLOKHbTClXbwVx7pIQdD8QiJNJ6
mETs/17IitPamI3UgT5YiQg5vbpn3uhfNVPtvI1O35wRDlB6McBnnRt1i2ajUdMSgCYwoOG29QtG
EuNRGdpw7SXBCJd1tOTWsPBWb4YsPTYVprJNqwz/SjNMpATZUHCLOiSU6POnjj3v3qAaOiZajPaD
KXCY5DE2dGqrvejs+UoTZhYGTB8+4Q13vjaa/TlrO5NkTNLOwtUdvcr+o67PaUTBS7nIOfUvgVUU
V6neuORRLZ9SemkEqnGAt+f5qdH7hxmrbOgbPezymCIQAEK6ywykKnq2BHed0TeR5popIs5BDodE
S6/LYkp2AOXjbV/3xgvlrr3PE0ff8bx/ypfavwejyCQCEfljQmNkY6R9eyIAmBQejt/lxWmMJHSG
emIgrScH/CkrLLtyxZ6JWnPHnVtRsgXylrjs/jPyUKJ1zdYoOfbY/nOCsPLEO1RbE/F42DgtNXZZ
OBVRjZqzK03VHI0aTLPOxH2rBj0jUCrxNrB9UTSM87i1x1m8mn1PK8FHLzB5xUcxGL/nYH9D9ArL
1UQzcET1LtNb2+8qwhCbYjtXqRkqax6+GvCFo9GAXJqDNY0mW3LaTvxiR9PRp6rU4ocM0fe1q3ti
jxe9411k/c2U5JYR5ZAfaEyblU/HO9WOcjz3GXnzTi1/R3tUfuxmOe4SDKqfgWkYkYLRiA7F/4iG
60tfZMOR9q5Hwk9RbDuHv4sdL9hgo3QPUyb0o56XJHlnBrBz8pmuMM7knwKMtKydqbYXUCs3Nojf
OxAG1skcchLlRN4ByEnaaOzK4GDZzbDzZk5eGr7ffWGm0zmrGuq1cm67rTA0baurRZDx3kyRhWDs
k3Ak4Ae7fMzGxAhHlboHOWF+zJzLYtParqlZqQUCc0do+KdOb+9GYMAAMmum+vmyZ4nWUGprH4yM
vLE0JRYrg1YJvgqvR6E3117b33lEJSI32y+EICNCKuRWT+t7n3QS1DtLgoEG5lPHeGrjZrVJ/jMN
76VMwPuUFxAG2n0wzHJfuiOhhCpPtotV3eH1uVV4LXYoV7PN0hCx4ZbqDj3Xag8oyj2N2GYrlrbe
gn32MWePxr6eLLosmmfdaGImDSnQvEdmFNlhyeMGOZPxpYtdLXJUXm0yhDgbM0OpPsUIxtG1jXfS
NIJPGbB/GmPcfs2gHdx5qu9cbQJaJSDh0hpG1UOyw3FGBX3Ia+j/Sbb4p0qoO/IcP8JdevpvLfVe
+/xNLeUwY/2rUip8I8kX1Eb2UzH17af+pSe1f2MebTv6ShhG0MAv/F5LoSfFSErRZOvvNElKne96
UhP1A5xgVKbEO5vvVc73eoqcaECItufrPv1/5AT/pJ76Ba26ah7QqONswl2uQ+uzV3nED9NkARer
XVvI17W0oAyjoCZT2co9sgsxYHDbOeqUcwOiWdcL8Soae3qio4S+cAjq7uWHb+/fSAZ+nW2v78bW
sU3C4taxCa7Skx/fjV2rtgjScbo2u9q4TphWM4LxGhRM8ySaYDNJe3z1JnqQm77y6RXBGaCTALPI
s0M/8OrPgRBoSYM0JYGjLI0nvNm+sVeuE38xQCbN33RBOF+TL82/ecfm2kf5oc/y/o5d1CuUpI6n
Y7r85R1nXsq1VeIaKFiSbF3QZk8TmghrJzzVOFhTZiPHd0dYz+K5bGWq0K19NfXMKhk0i88UaINB
P7PFKCSQwG5ElXIg8XqngBbU5OltMQYngNQpth6c689D2p3BoNG0zRDaXbKelvz+r6/DL00rPhRa
VFqeyHK4NyAY/vyh0Gwm5PqVwzUKkeCZ3Ysejs1a327amoa5xPb40MZG+eGvX/YXKQ7HYrpfcAsA
SevrH+vb+uFeJJUrsdshqa9rH4kKkKfxmqRhsFlx+vzXr/RLd+z9lVjskcVAxMej+8t91tZAQjpC
AK/9Vrff1nNruY8FQvwNNr1I7+APhZau/CaEgiarv7tp1pvix5uGT0n3xDERn7ouq8MvL49WPIP8
SLSkh0YBWvTovBXl+h4gjyHyQyi3OobylHKrk6SGFo33haij4QiEyb6aKeL10JI5MYQ5UcAoCFvT
2qY+Nr+WKnOLyqgC9UVWaH9wLHcZv7XW/uNNb/z5QsETYNnACQ/d0rPX9t8PF0p3R6d2nFi7GGNc
vWU9kFuO/YWoVx8KQN6TTLPid+Z77dW8dPB4GptQL/JSvK/CW5YmVGnikRWRT18yKC6fsQGn3umv
LzG9il+/ZUCY3ESI8gP4hTR7f36Xbu9nep8K65Izm4kDfyuCdNnPIAqDnZjGMSTWQr+bKuWMHCtS
L+yNmtl13+5LuwWOjGvvviW6ft54pUxeZF41R4avYtM6XftEoKe/jYHMhCMum4yyzELLEedDfS1b
bSDxBQFnkhgB4pOFTG+cW2l1QM5a3pt5cpuo1Z9Ujl53LeLuUZiVhj1nMlepiDJZG+xxWTa69POr
krrvNdaJmUtdn0NbgmYylHpK3AY3XXbUfGQjG6l8qnxJTbXk86d26MTDqGseRqpKeLt46MYjgH/z
sUsNCXzR01BJL2nBeNPSSY7FRaN9RBeMK7IdyDJBDXo0sNx+zqYWFXNrVcUD8pjZ20ydnZx6avRQ
8T3sV7v7TSeJFOWk2+0MYzamqMQfT7KohN8XTlRrUTVYyEba4CaNAXRuOcmLA1uNKUM4ZMysMAR8
mCs9PZt90OL6E85+DHLN3A1utbz5btNHHNjzZUf7j94XTOI3KI/yK1ntrRMupkD/UCcmtQdaZKYa
UspIJdPoUwDG61TQqg5ooIhZdu2+4Ysm6pemUU415MWYoLzGmZeNLco4tPA5VvveLaJkJXzcSUjE
NGJ7Yr1z7iRajUIGw35mNn+FnmopY7gknagqjAFrKudnPGymubwOKInXlKMA+TtmN1NVubBQqYtx
bPVrUQjCz09B1i17ct5FTGB2xhwkN8vmQadiP+IwpDs/cg1ikiN1Rn1kuPmAEuOY/VCUhewiF3e4
HvYldedN2iGlbA6F8pjDqLkMxJU7CIs7SsaNQc01shfuXC3N45uJR8dNwo56kRvOKoZqhySkDzZl
x+YFR2s1jGjfzCMqBqsUNkPM4DcNgPHvZOmhtBpiTgU7p06qJfTxFeKMQ7SPESFdpxvToJKB+awG
rqhJMv+rNk5epmNCNaEP2P7oXzvvkt36DwFvPQ8det6BFnNPqmaSehCnhgm9TdBjO9mp0q3UQR+G
qg0dk6Si0AN7XOKI75ijc1nNF62tGIXC76BE5C9do9+m4/0aRV2/oN8JqqPVB6Kkbync+2UUFj5O
Mr+McyrTwUO5ldIB2Mf91NIbE4S2EcFiFrux5R1EjcDtHPkGFvfQz9EHXSofvyJuu7rtiZA3xhMS
MafcJrGVjFsPOEm7yd7nHfUCD/wLaTiBS9CjIAQT8i7KaUPP7EOSkfeFFaPoLNqRFM7LGBfE98i+
DUBzksEQWvCUFhKT8kU7M0ezd0YbJzTy0sBrI4M8geaYZoZMIsQu1BHr/7cxAnKWuH0SSi1spaTT
iTnTPvYEC2HJyHiOzGsDF8WSbfzJ1qxHtXZbrt02UM22BoN3ccaaLSmBa84PBKT9Wbs4g4r0uhgl
gqEOHuC8G6SzZGdQzeLRzk0kZfPaKPANbl6YcTMwlsFdGDaTpLYOlC0Y1SHGnyiDE/paSsnJIk/y
6WGgu/M7BH3rMHkyidHcYYBaHeH8HqdsIMW+K/sIyYSL8K4SNARRiIyIgdGGeCdQykAlzLNDP5vY
BGovQRb5PhavdfrhYZ3n3YCiYGCqOCsbMZreSc6Oqax5Yw0RF8aZHSx4RkbL3Y1fmYa/D0ShOYoh
iM3bvCf++9706wDXt50jWBOzWA+fqZpvHTrOMw25ipdumoUZ+2xWYtnrhbd++B5RomR94n2tmnbb
qfkUYwdUDrEForIwKCYenbZMiuyuBqOKDWXkVPBNcGaYok5vOsNWhDJZLf2aYyr7VSCPmm7YZPrY
kWe6GtMiNXW0zPhnOl18IhaQOTDWc7KoMYwT2XCiz5Qh8yf3jvsCiNubrAkrJEUjV/eWmPXhjJYE
uWPTgtR58NktEHXpxnUXJN0rYHy3W2mXmXlCUhSMZ5IPCNdSvdeh+IKZtG9NvlY6EJ36VNB4uZ3H
gfy5jhST4kW6VTIc6MRUXxV5EawhWYeAgjrAt6KMYAyEDqRLvGh6XO3oICZ4RG2WOdXL9B6iwnAm
PDN3to7ZmyDgSsdmO0pNBDIkbCRRadY8JosWW8HRrhuj+1KxIKuTb3BLRURyc4/kDhLsHdmQdCfo
THRnox9NN4yDUkzstBYWdK/v8o99MAWPmuKYfloC0RufxUDyGxgDGmrEe5v8Kkzoa2q7BNRzbLks
MtSKwIVoPE3iMiuP1MNp6EDtDwe7mifnsEiXi1PoOJn3bVlgh6jd2aZ1p9vEUXd1NZ0TkLwp1pmh
Sh85iaD3QXaJwd3LhglvMl22TSAnv2MXUN1DmXRG9sFokIhMOJu0Qj21wsJ5ggCOIW8KEDk5aXEr
f08THWNP6Q1uccwAHd3RN4uXfY/QMIuyZeQmzUyRW7dzUS7OdeW2a6JwO+nuxTZSvMqIkSTEDwKQ
q0j6KCfx/nrIG/xhKCNjtuZ+O5Ukh++RgHL3FxjEvK2KlY43qh3c7kViXH7M0557jZ1u1WAm1XBL
N5z0mxF2KyBIzCaAxMdXSL/Sx8NeTN4TmiJUdtJJEDwwRPKn+y4moYTNnTs6ajOLq0nhoOarzBJF
c+UxQLFuzZnM7SPY7YDPNc9acil6bVUKDeSQojusRnEpy5j334PW3A3p6hOUs64fVYdpnyxr10OF
Gqfe5f1U+t+p9N90UizXXLMN/rMv9+XLIP7nOeuT7Jduyh8/+d1M4v0GFstdczfgPXBK4Zf+0U7x
zd9cRm4A8KG92rRbqFq+t1P031wkGLrnY0D52UzC1NrA9qHjVMBmt1p4/0k7BdfKz0XHmsNBdWcj
gzcoOlCZ/Vx0JMqWZZ0n6XGovPHcENaJ2tZshzM7vr0tbegcm2K0jHsElRtVJQhQyRcne9iQB0hi
Gtng8ejtehH0Dzgj2XitMnjOfEFAW0BGM/HgQXNuZoc4G7cSRTgXqXMc4sWDDpOvUBVHWwEqge8A
EbUhsm6nAF+b0xLNgkv+VPsQQje9SsBuVH7yZNTsbjQV+5hDVP4hkPLZGMrY5e4f1NMipnWJKxVY
Ik3fkvQ+3oHaNE6iQSVLiOsgI0He7BSy7Hb3DlHGV/yI0W57fY37BRiUxW0+bFP45ofe6rCASVVv
5sHSX5a+n85wLNRj3KoV5zCkt2bAYrEJWMyAJ9XFEJmVm20ho5Y7xAUTXk+pqockhQxoWjNWzIH/
7OkdyBkje2oKWi5EnEwX31aosEoRkuncEOfZTJgLMls8FABEbzkQW3cxPZB5A5DFNnaNGvnEpa8t
CLLigEV7siOznYyNizhgy3suttZAliBZu/Rsoa0jULJeOBG0B4PpvYeYdG+M6U2CIh5WuaLhvfXY
m0LbkTZ662Sxr5jBTURV1FjqfHch6LcShwAa15MNvDwHjbAYkTaZQDw5+yM5G2qH6+GMV8wdDiLX
XzNOWMzh6awXsXiOa6WfAtk/Mcm2EfLq9cde5upkpACbKuWnW6dQUWIIZ0ugU3I/2IzktxNh8WDG
q+6aQ1zFV12SdED0QeNCLBjc28LS4q2WetNrDPD3DlVlHjmJO1+ppf0iQHQr5paLG8VdltwuKMBP
M7r3PnctAi2M+YpYIoYBhhtvx1qL7wxLfMBDW4cOyKNj6vZxcpZCL6c7MJ5N94a5cfioy278muWT
cedWrXPOk856KFw730KEH68cxnZuKKaKr0wSqXUBQfJRYoG81lpTi0ypf8H28tGTsoER5tTdccrx
R5aZpd+o0jMI0u6V/+on6fi4aOjIcwRmkdvF5Rgu1ThWB90myWcXu0BaAGNL+THFl06VipOmxc1K
nDUBub2xQQxuAgAXVZTVw0TvoFkIviEN56rtAhAls6Hiu6k1b6VjvC4DMK0ejw29rqgHi9MeAjdr
g9D20q7fUyCZex1B4osT+49J3H7RmXKqDUAq4sPh0B2ccpr8m5RmBGMEPwvz1DUPCWvOPb8BR7g1
pNdDl8GxCiQcoroauJnX2FwCq6V5GYJhSfZ+PPdJOKK0qugxjve9IIKq1wcKnzG+nUZSGfquaC9q
sqYtfvd5N+rBXtkWKkoSJLs7czERTo6xAVXYH1UOyUVHQpENLUSbGdXmZXCsOPKsJj2mVWxEXSvk
xvUYBBmt67/YPQ2WjVjONVXtIUGWsy98nD4xQv6dEyswTrqCcGbTQ0nmsvgwQxveVnknz37m7exa
gCOIlTFy1LCLTdHnzh3ypiJq3WLauDKtQtw4dph3VXfKCwvHLgX2frIR405GlVzk5Ei+gXxZHjuE
90dH+P1lxnn7LJNtOpZnNDQJvmYy0jYZcxwQ31YFcPTskrtqAlDfNj0dkXmJl8jh/zqXjt5cDEoZ
eLy2NiMNbzoTaezoWN4RXYvPStV3d9B4rUff8dPQdRlPp47BCVG1C6BstK9EEJRF8brkaBvs2ZNn
InRWm9L0EdUso/5pRNbD8K7fYYE24KpN1+WSqK8EOTOtRlS8S53EhuacteN+jodPRDN1W5eSsMAf
BcCqMfXxGFeqxDYb91dgVz6ysbg7KcrpUC+dXEffzVoWtlIiUKgy8cms2W0iz/aGK/K3EZEkxkNC
85tZe6WfM91DsFPDRSk9rdqkS39AYgFsnA02qr1GrXD/6WD2NYNGoPEcqov06Ep7jjAI6mdXoBVi
x/Z3Q6ubV6NnBOe59rKIONn72F1U6A2JtwcUAGws7rOvY6ZGOqEYS6l9WXulQTpvYJndsQuMClN7
UhAfMVu3vdGERNqYKnR4RC9pm2TXmT4zxS8x96ilCCgZMuOE3pnuxdid56rqIp0s6M+EFoI/qloZ
5WXZXtESSDbLaKfHfgmA3IjqmDiMmYNkjMZC/l5V9hjphjLQxLDdMBk/+nCoDqMsrS0su2toi/eU
ChYyZQKO/HFy7oDoVLueyX+i8vsR9PSdTPPbme/1FM8OqlO9vE68atnNiMrYGjPG5Rt3Gtyds0Bt
wMEC4sCZRhH29qye7EKpjRz5Xu9hziXuackJR7gwy06ayGTn7JkpzgiuhW4pCB22hIkVufTU9Sgl
EX55qDI90D4Q0DMrJhMefcPMIaYHD0rtEelbGCXwB7KsDYU6NntwvN7Ntwu4MGuDWNcGoG/03Fb4
MDdmTvjsRjf66otqDDJ09HHpbkygY+m2xWHyYrXj/FIRDXBC92ug+62Hfacwt4VEIs1uaKhiOun0
sVj6y5rvYErFAVQiefQVKyYMQfdN5X4OxWPM8fgFo4Xn3avufYqWE5k6Aw0fJ/K8QO5wL2LjMUeN
yax0bgfldzvpd8bO6gnb2FTUTBu6LHxBBdifXaonyTNowZawC9TbfVsM730OcqT6Bee8vtAYls1o
wKV0rUVuGru1zn07VmkkKM4gtxHIHviEIkz6zhnY2+AapH6OMwn12UpPPOHWrJkm+8M0HvVUjecy
LbSj1nXoo3R6uky+SXW5Adbvkt4nli7bFU4XRI0fLD2J1yORQ0mnvw5EJoDPyPX8zk/77j4PKMdo
ZpJX3EB42Q9ZPO96X3cPi5HCeu+KmUpWpy4fqGeVeIGiF2ypnIwrsnXwC5Vc/A+Lldk7d3D2YNhH
5H4LcBAIANLi57MYUoU10Z7S5LQCIROcwlp1bSsXiwgnoK4MKwCkRzuz9Rc0MXmYtEjpQ5QtqB1a
ZdcwUQqh43sS4gOL9xJZfEnnJgB/j0CBB9vRK1RIYwwkv1ij7ANgupFEMK1ofzgEeQl3aUPbTasb
2He+AZwmxfLnpBdkZwQR0trGKOI5RxdrD3Gklu/cDSV9mmhw6nJv11BAAy7ayR+HbtpiiVWf59hP
P+IEy55M5Xrn2CaYO8zU5F0NOkezbZwYSXCpAA+HpvI+iMoaXiC2gFhIHHtXaksSmrOjH/t3bCId
ZPfVeocp4jMkTs7yWAdKM7iQ8gp1kRZnKAjEeWM9zU4A5dFsdDbqz3duI6gdGI4aEfAMJ97RjgLI
o1pxj9B1rFXxhARAeUUE4ibYB3MF1xHj53nxgEaqFR85rCDJHEo8SDk0XQ3zqzfVrcRJs2loFL5z
KFuj7aNuhVMCYEMXuQIrccq5O3OFWJorzrJdwZaU7u1DK1faJet5/rURIDDhPpQfkncuJqqF4NQo
QAtw/vWT3sYkA3G/nvUVqmkt4DXxmEPtWJGbGu1m7G12G6kVyNlbyDUYGo0hfER4ncWK7pQrxDMv
NXCeK9izDUB8MgezdpreR6Lt8ptsBYGCX5uuc8zeZxaJacsDyMPiTSYHFlY+wgazMNW6Niqq3I2U
bVRELk2q2zRkK3FisPMzjYKYCA+94wAlyk9p4TrLAb2cjLJudL8yXJaf3QpJFD24YL5MpjlbO0nO
xrfR33/r/7+p/z13dT785/KfSVXTv31ufhSlf/uZ7zoKHUkE5X4QMLE0LHOdmX7XUejBbxgdQMOh
R0eqjML8X4W/gY7CRMH+Q0/gu47Chctl0C+gbORgtpKY/wGX6z178seRLkgHmgvwv3xejnTtdRj5
40i0Sln8NPrzPuO8PNgh64Bx86HH3F33p1yvvKzbFLAS0nzvDRBPnCuwV5WMkiqgmyAgECm7TU5M
X/zCutQaM3JXbTScozoiUWw+2bAfi1zMMefnzMmyKyeRUwfRiH8bjweCWXitJ92Z8F/jUhqrcU6v
jKlyOP9gRPM0BNgaPcrJ9evqZKEAoBdpyTJTmy6OJ/0VLNEaIeuKvlUPBGJia4l8OwH44qfzmAY3
WSZYnd+13NW7sJsJASLv8pviG9UA8u/EwbT8Xy/HH96Lv3lqLO51tBf/+bH5tw2zbz/0vWHm/AZf
hX9lwt0m3sgAiPG9YYYzg+E943uegBWk8v+fGzDltkPFoes4ltCA/Iwp57cxBPE4tBPn6v4jTLln
rFP4Hx4cHCRUxigeXGTGjo5H6ucHx5/cpmFLMQ6+r+oSGkIDYY4MkHCpVXeVSQuKcPxR1fSzkNMm
6ZM+tklo61ZDomkyXluNm3FwmBgTeTGBiL3n+LepStpz79blY1MrNEQsHMcuFo8x5AEfQEb3plst
28a2pyP5hGC+fjZXAkRbSQS8k6n1n524ps+W4kqz1ey8fRsizebgvFktsvoNyfLBs3Ab7Usxe/NT
YTXV/AVefODlACtseZ02XtRXTLuSOT9TMrf+3iVq81FadiJygmlG+3oUpmFszbTRHjXbaQUj3nqK
MMFT3nc9hL4q6+z/Y+88liQ30i39KtdmPaBBi8VsAqFFar2BZSlowCEd8KefD1HkJVlzu3t63wua
FasyM0Qi4O7/Oec7a49J141BM+ea/ZHPAbHwzVPXjz5vS22ae4PCZWIoBsJP7nJH0M2F7eRLMg9G
A2wr6qCilqo6xRItwfGVjX3bzt9azAobx4jsteYt3M3Iki/gnmeaLWkZOdiUqu5qUYo7zN06vYJR
Yh/0adTe+65I10OHSTihDBkzJLbSFfefxnthH8E2w3NJX25Uq7AMTVkE6iMK4kWyVXZv3jbXqb3G
ufapbXz7c6BPD450IcW7Hdv+meZl42mSSzDezI0lkMye8Sm4KoKzKY2nOF3GqIVw+PG9VWCXatmq
3HSWhb7i9R2imMV4otz4zojA6CcB/gutbdCrZTXUaD7wksPrHwsmiwqJwm1dotQVXzcnJd/DECL3
zqKifYozFdK305fRSwZaKg2v0LEe0TRdcr5IzvHkwJ+oc+6oV8eUMZA7XbWkQJluLHAMgPi8jJIo
5E569bC4UAIoZuSSPsVUoEuiR5IibadOnYKKoASjYdKBZmygDWa24gVdDeRms2xm+pzY8RFcGU9A
4nKPN16c8e5eOR/kH5BY4mhEBHfm1soAfnu4fn1sdOYNReQI+B3NuPGhFyOyDxaz/huHOGzhpBrw
QEzLjwU9gfZbZBnaIcbXEfXJ1XT+wWbxQC10lxfvK7hvKxRy3sFWTvyNonfjYLslCum0uNgUFtl3
N6b00NbwlawiRnd3fjq6pIx5RGrIOYeNmmsdZGFwbf7MImYIwC+yzdFoLdtBR7IlJc+7tjXsT52A
kA9HgtSgqzPVaoAJctxxYJrHaebY93FGM3RuLYzA1ErbbgFAE3VvzMVdEVsFL2vGRnFOSMG82kus
5OX6LCECD/G+mAFcw9R0eLKOcLnKWIiNm6BlFs0hpWO561y5rJzl2KjHXqLebtnb8Culpnl5T6gh
6W76mSF94Hb1aW5r/j+YF9SIH8Sk1zUqpXZ5rXFBBGVDHhbBIIKF20BlLxktbFOS5D8UcG6XcydF
0GFlYApZxTgZy109jAuazignsCkCeO3k5b3E2mQqckcuPHlJ/n7En/BucaURXecA63OdVqWxCmwc
Wb3PFlw4lH07JhCPVWcCaRnKKrZCJvCANXUvOl1xAfwyQW5abJ4esmTuSYy3nXjv7aGLtl4GXmTk
Kt5l0i+3CiYqA4TYuR/SvvuaaRbDAWLiwQu54unRd7Uy9MyWC9uEC8yL4Q04u7qt8epK2k2wV0N6
DHvJ5n/tBNUiX6fxqPYTxq69xMP3lTIy3ARGVaMV21QYc3PocvsQx5l9sK4ol3nBX7QMNM7u0AAT
9cxS3krDsTckyEz6SntLQrGPjAAJ0hYHi+JCQKl+koQtK8Z9ZYjqoRgh+AHNAEQDJTUxn4NaeVvc
GPN32yutYwTKYJ+NvvENk5N68eNh8rak8LJz07rpdwuH/tPgOPNBlAiUAB6jsE61ZxTq9iUxbVrp
mryvCWP4oDzo6lpBF6U1dYKYwsmj2up+OW+qWFffQVvmfAKI2p18RxJRGmEiMwpTkfVOcqg79TKi
VRQXp3EYVJtf6LpEG5dyIb5MPap2iizENrG5AcZefse3nFBb57cjg9u5mY9VP/k3hdQeoH8DMifH
a7UhNFeA1MV19quWMTAzl12/DIbVdUS8DIvlMjbOlwEypcXcTRgpU8fNdNmoqjcrlni/6E1l+jzS
6ncW4CTM5wgmxItMivaRso27xBmbB2pBMSfFnfGAe8Z7rDgXspmcev+2WebfnDHFUhKrv2GcACvO
mFwt8/JhmZyjgNXtzpFVHfD5EIXYj+20fPDlfhJBGQ5M4bsODBOKQkLSfxnSy2VcP0dNr993dJht
JsBpm2IZ7HcZuUjGqn0iNgU1cjo9von8oKSuLELjqg7oV6UAMQjVQDPsYkOGoQ59BslPJp2v76kZ
6LR1LKLDsMgP2I/EYXRhwITSyj4mlvcTucPhpl/Ui9ZvLqJTMwxxOQmXgGbUn3HKZGv8V+bjHGj2
aZ4y4z433P7HSHbtY77qJdNVOyEoj47Styo/xEVehaJp35hHRPcJndA0JiPBsBWczmNvQPno2NJ4
LsGqztJu27Z3N91Vx5m98nvRy+ncgHjZ0Cpo3mdpP75DU43WMWr8XSACB4KKJCGTX9Ui3fHEjcdG
/6JHjVkxP9e1exvVbe3ZA2yCssCRYbvTUXRl9ZEOTG2dWjxHWN6Oud6+9It4lSwyVoeeZZjxIUNC
OmuzY79JGaN64TZqQyPqjE2kQeXtQLjfWgCBLoPX7jEGwOP2zH6V6HhPse0JDBQyATc+4vINzcSm
BSIW5tCz+Gk37iLL6ehzJTCbvVkYr1GGZyTGS7ZqzdoOK9nnmLYLKhIWsa8zBQiWyaXO2Qroh4nt
xl0xRUIhDK5qoWkK696PbfeOEtX+scamyUJfgXiAaNOHuZq2GhSnC8RE+sSH+NldpMmKcClhL+TK
uJqdLVPl8jHNSI+tskXYNCHWrhmCA/gU+qThV3OdZjV3NDOUU2ttUVzmJ30RS+dFNkUk4AZF0PTC
HWjcpxNhsXVfBvdWryO5VgNO8d60xckqVfOQOIxMwnkRaoerZpss8u2wCLlpCoW8jdyD32eE2fJ4
ftav0i880JdkSN4yvFwhbXxEbTGdxs+jCHDkdFPPittZR3fRlCc0rJUdJKgeA+yTVd9myM9lqQfY
Ar2BFgjIXQ6fhEWsFotuTY8uqyPcNOA1XlnswL34LwK80mok7/gYZbW3JWAQZRuWQ7n3sy5dkz0i
JBwBGKZd5CGJFkBLm9FmorAZnmobwWp1na9Oy8xGXsc3fM908a5DHY/7zbdsmfT415nPdfyTLJMg
GhOafQBJflNc50TLxKhYZkd0LjNGAhTmbtJltpTh50MA84eLFIa5jma0ZdxWI5XwzKXyZUKlGAFa
z6xv+aWvCotGm5KR3V2GkzDscqd+GMopdh8KUsuLTB/QBEIDyzJwtb/khqnH24AcGh8gnb1g7hr5
bcwiG4/FdEYJ7zbztXon6/zovmMbcDELgdJbzVb85pUjsWRl0d0D4fY9Xtp8FN5BwBpU/DT5MCOj
Os5NU6E9roKm0SA5O8ORxqH+NBnNvMPTQ2eQ03dPiSyPVImchK+mdROYDcVJdfcViKe+G/umPRqj
E+3a2H9hoya3HhrF6LX2fTYuxUXOmOf5NpuwNhyJ4EtjmwaKuJa0l9Kjmk7cDJKIqx5oAhJfprxE
C+SWV4AhrEpCwxVCXwUq6JwPrVZ+ncepu9OCWd1Sk92mm1ikzvDF78WTGOYKCnObDviaocRwc8Px
40L6sbyH2ihehVVMyakqGi86W5X+iW1XXCbqlCms4Fo45JRt8HvO5hy3YZZ4D5jdHf01LflTK1dt
XkV3tSAfDl5ohac1dIR8BXVVh7bV+rF3F5uiuWP1O/QlK6jc/+Uk/z9ES35JltiB7jHU4tDuU7rJ
Of2XiVLOZongMt45Z16OTg4ULsIwBl0Ch3/+QMsP+usJ/PpAi0HW5xhsme4vD+S3bOZRRut9kRQE
EYSPZbevGvZqV2ITXeIcs+J6Yj+quOG+/7uP7tN1B8sSOspSfvaLYQb6ouEx+6fyNRPmkyuBruLo
ndlKLNwoaA3uyu099oOaLNnB//MHN5akxd9fOxErrEmBCWgt+H9eu8QOGCGPktk3BD8dx/pg0ync
mE9V1nGCsmme4a/tuYZDd4WWtNXAGaCKvWIfg3B5+udPaHm1f38+luNbAWALUIs2tIa/T0Mo5Bhm
M+Yw47WtDRKP8YOTJuaTmr3uW9Aa6b9I+ji/+pUwPQHRWKIonm6zP2Q89Ne5JaUeZKP0rt5XhAnP
fcJ5jbYULgONHNLarIevSaHb9k08+oN1aFvXiuYQ71JSXjInwwCscTffuE1lt7dXm2upodkcW9MA
N5bAQR3zmivJJsnFXr1cCGaxbgVMcexePZquhk+xmXKUE1T7915kzmfNCLN/7JC1uq1ChZRdWC2U
mw/FIRI8lD9xSo8juHUppSGE81kmnuhipCe6mLtv3CeqH7hwqkeL2CqJ8CtLEX+aeNchetFYxoFY
WxZMnVO1gUdFad3QbYOM0+LuiuKZ+cL21q4FELE2MXD2doZfv18HIKXbGD/rZv8jCvyL8abJVPKf
jjdv4MIl/7X+zOv+86/KwO/f+PuIM3Cp5YCKAGaIEiHQAX+JWOo2qgHpPNJWC3RZ5/P2hycQ0YDo
Jdc/+CdSmItq8Ls0YDu/4aLR4czoJjdE+jz+LWnAW+JQf36o0SSYpSNmmABrHCDYv1b4kgbEATt5
5lnBfYzVDi2VSt/FoYFNq7tovR1sRAnQbjUCzccxbFvqXTMLlw1tStHVKLRzxHNHOtTKbYwlK/Rq
1V3quNonrTUc/UYyJCkCxFVMV49o7CKsyQWf+hQfrbBL93H0xQR1Lejh69WZtjNEQ23ZQqRzO+Ad
/DxjazZNWq2CMeJQ39Ctw/PmUOTEexgzFxe849FETaXVOrqXqPyUOaw93seVTfPNvumEha3Nz0OP
ch7DjtYR25U1HLxvg2OAj8kE7qyxpeXHquZLhPELMYEWnFH/mmjMcJui0+gYz4ztrCu1Q0eIl0jP
Tquc6pU6tWzT0di0VngTiqm9BWdC63ac95+t2VvbwiMzT9i/3VsloD+jRJ3nnbLXfeUH+5lR5oMH
FHGNgVvtRW6SoKKIAz8ZMHzGsbQXBnrYdLmCuZYaqwGn6MrWhbVJUILXiOC0qKCoMJ4uumOeepfE
wDYJD/OBQq/FA+ntgnLYC1vm0HOwfjABwsgHXm1tRvqOkkUjdJL5xenHORz75UWIvKdr3orWBWWv
YYsFACDd8IWo55r2ifIoOBacRJvOocXp/DqFSAuBKaSpwKy4hDhwoTL6cvdBFBz7uQbVkNMalapI
e5mttF5BhXU2XU303RqmaWvaMU2aBN4OZp2A+8iEOnBjG9eeJ6mUngw8ldz8192k2+uKpZpZMYy+
wWW4i1CxCYzsQ0zCPjWaf2CsTqbNgV8wdOyWrCLeYVfw2FvCASgKbZNnzVPduS/+pIAbkbGKR9fe
alWqbyBYJztPlJ/KyT6ypgcRwSIMTpbyKp3Y17Exg++20jIIS4Gz5pp4AoSD2YtLwm/j+6DO6u0Q
53NoxhEOvBg3iQ89xO4K7Ei9c4DXbHzMtjLCvO1Ok5Z/UTM2JPRdNvJpNu+X2FKowFHA/+RagDXQ
rL1Y2PtEYfCxiXSEkDabNU6XN63rS3b5U7Tm1DHiipibneHzG6ytAPtEhmQfWdkzuJz4Ata53Fr+
lzjo9CMW+IZNo6s9FRwmuhB6BsP8Ik0fSuI3FIm5lDTkybyjLqp90qvJX0PQzx8Ujqd116kL9K9i
62e5BAKLWq9yevkcUq2bajKgqJmafsckQOFkAp9hdFjNBkwAazKPlIV4mXswTGy9aezjyuKo3Tsj
uoGmD2uNLO8zfjXeRRI2a5P2tdBl88H0CEuo7tRpiONEf54jm0o+zcAfxrgT0pbAtzYoA/N/XkFZ
sua7SAz60ejJAWFHcSnGkRomDhxvcj31pUslGdlxCxTtlqc6nD2tsvhC7VwBUt3VuXuj2fkXJsJJ
mFU+bZGNR2GqT1epp3g/heqcvZcU2YrByg8WYJ+Wr9o5ipEizMztH3U/PQzV6B59Sl5Wdus8uFC4
NxJ9aJME2CCULNy1bcNFMpvg69AXDyl5ncgY7gqoRis9S4mHp9r30lbztmjVqe09ZKeFo+RVO5gr
+F3tqtp6sdaGYDIFqQawholn+chK6WdTxxLLsXqk12XaewvHt8gRW6WPYcvQ/XlDF6gJDaXhkord
9jKb3nYozc+gWaCYaWbhhOqcRxpg47D0GMWSttL5qO0mu/k+EnJceWqObpw2s3Z6YRhHiiQ5YBUm
LuCZ/Q3dh2Itg9LfA5y9rQvzw3W7M+id7NA504svO+KNKfaiYrbcw6Cn1VMQjK9F1Eqynt53N5Ey
HKO0D2VcoFQMJ8/u2xvhm8e0pguKzsriAjxtBUr6rkggA0cWPomoaX607aCvUwThlaMGmlzgvqwZ
I4GZwWV4nunw3DG5gowBHmhfYMGC6vMRzHB/Z3vecxY0TtSBDNvRnJtt72PtmHwesVqsmiAn7zpw
Z5nBIgTZFguuDPg8Q2TbYg7CaVY6jyJnk0pDTHqam+4Qtw179dGCh9FTMgf7nzle2bjvRT69yWgY
9t7sfasH+vWSuEi2g9nL3VRBCYqraCn0HoNb3JF3OrWuq4ajGU9cXgRZmrB3TPqHooc6U/WGsoTt
1KRola5dHIxEex0CAUFKm75ZqeDYxJjv4I+q5V6TElUhsLnn/psek9GWu1jjLkdnn4Mr1y9R9k1r
lyrL2caetLac6fER2wKEnJe9UtzlHJTmP81knzpg8CuhxT8sTXjHoiqwDnkFio1wjS2NjdQkISBQ
PkfEpUbG4GhbR1tGv/Va+rOyqi8AhBe3edqjCHLNak1Q7ScJsVTAaGv8Wr6A7Cw9PopAxDMCQFx9
pX8LbTiQdIZR9bV8yGARO521b8wakE3oCdeMnq2BGJmLpwsJwY83Tldz987RBIUEbFWZkfNAlR9D
yPd6nCpVHVtr7LwgpHQaTifouAKia7EiSUko4D+Zm5/kxn+5vdYtjnv/2D1w8338/PbLxvr6LX94
bgx2z9BDLfBYaK5kav7bO8A06s+dNM4cfdHw2c07DOqX/fcfJhtaXLDm+Iuub1JGThzm3zDZ4Nz5
204ahgqECB7GDCyisibzkb+fVpnzgiJphXXxos57maXtQMk2aJB1VLH0d5UNQGBRH7ED0fdKAnBk
bYzJrbl+saMJogGdrQ/mm5Oo/Kb2ipbat4kwNPyzZiJa0drzizXa41ufl+26j2e1SsRsTmEw+gRI
RJ/1a2roYNwPcjYYYXWQH8dovFVMEKm80io5rHJFTSiemlZu09LOOcpn6BFUTw4rT8z9zg14iiuR
ZBN2mbheYg6Qo+7secaenUy+jPe0x6hhPeUZDe1Dwf68mPP8W+NpDYY4ZyTtT+D+NopqwAsggnnt
dCXNOd0uae4d6rm1aT43hkns0Er4V6uDinjEPjHfNYnTLByxysnWZTlPtFryBGvkFYWpm+bQ0ro3
fVHfB6DAH1SWj7cNaxDiW9Gvcdv78NpoaEX2a719SUanQaAGscQcup/uWn/Iq7Vmt1MvMOaZz70Q
IB9YoCK97pt9ZDjw0svIjC1v5zOLi7dem+qKcwD7qEqnf8efbiAHlpUR9vOo4UIwamyyZEETN8xc
9Gf2E6l/rSzsRGF31gO+5XzVYhtjPXXSaJxu8p8xduDsZNpFHbflVlyz7gORMoLvzjUFH0GEodzs
Go53fkblG1LqCDGEJWGo/wzU6500opPZJkW0buxuXC4cT+3VlDkKEgG9t0wgXFmMx75nhgF37vek
f9t1o1Ql65YpO+Mt/okFmH5CAvqfyADnJ0Dg+in+zzzhX9zwDPtqL/rHN7zDN8i3fx0k/P4d/32/
wy4Ik8Vi9Ia7jgncn/c7w/sNIj5aMQe/a4XV38YIgU7w2ccx5S6dTn+MEZbmT6yH2G2QVqEDWf/O
zQ/C0y83v+UnMLFwgQcZTBH8X1BDuRE1Ax4n98ZJbO0QR9XUnCpvJpIE4mh22DeTOc+t6jjpgVs8
KsBiwRfD9L4ntXIesVxbToir+AkkzfTKFjU94Ytkn0tsl7y5qFx2IwGppXqNPjH3D5yMCGAnsZTN
s141kUZ1XAoY9pQHeBHHEXfIDVh2JCE4//6WDuXqUEazFXrZ0NBtYsRrJvr22mD+uIVPYJob0i73
IAsXarouo3NhCXHu2IYBaBobpgut/AZc4MMG5vvN5gj1XkiaqHVGsx80guqE6Ur34Frdp9VmnIAm
P5kpwOCzeVJzMu11geWZX5R2U2XsGDnXjrj8fYNDUBuY8diyWxmMctw6XdEPxCRkhqyQmK9Qms72
YAlK6BDpADLqD3NX1Q89eYX12OuvhZMGz5MzzbfsF5eQe/A6Tb67GfU5jKyxvLczrdnbQ2vetGXZ
HgbfikLOFumZ3mL6KTgYXQKt+Az6hlCBoGibc2F+aso82IH1H790uRcdZoaaW/orC4LrbBxV5lMg
RLVaE/odM+rATL8PAy3LgUynN2Q53OGYXlgCwHhAri/8D9PE/O54YEQnv34t0xI2KQ9dNQKYTCIJ
9fWas7Gsqt7YTDE4nXol3AuJw2dVlKNjEDANykdP0VhAf3UiDssV+dwsaRTfAP+AhadgSTMH0k+J
B8KwqEdvTe5n5HQyWu68FgWMwpXLRv3Bzo38DsOOugVSqoecrZtzYpkgOUjnODwKh7QA6WNnZ0U7
0zxqpY/S7YqzU4r5TKmLdTEDM9u6SSTvZNu026rrpq+9b0OJZYDXY3jTKFmmHWdYxdI2dqWXyXOr
wIMi9HRn+J2qxq0k42+JWWghgpmzT4y+onFiEN7JEAE9tWnv6eAZKHJ220Ch9VT0R4WNSzVh7HfD
izXNg2QEMptIsXkz07LkpWszTqjGTEwnzDU6UzGbm8FpLMspI1JlD6CBm7olo0AyveFJeY0rYA7O
3XPcAm3CYWImP/AN1RvfB6zopZx1mAF9cxXpHytJEAYJD7griJEgoCbFvMISlsB4owev6chiP7be
SURVeoedKdkWsaN/GV0DOTk13K80YqujmsqR+NmYuDvZMsFqjV6+gYWy7jSItmtmotF2gKsWh1Uu
51MtNZviAD+qjz6JHEGgSUtQHU115zkgChTnBcJslNzAUDIPnZm39DY4zg4s6vDiJE6NpFwlZBij
pYUgiNOTJix8RlSAkdILeEmQoEiMmbCsOOtKTuftOFO7MXLapU9yk0pfPY9Tw5xNkttJHGpNkmDm
V9Lb0SXxAT+7xNyMyG+faOV2HwJr2LeVpW7loEuKJ72jM/CxXnE8ng5pVCIfS7e+y0qCooY0GCKx
DZgf864Ql7IbzSfTBPaQ6kaz1hbXxCBbefDnNIkOQEa9xylrzDAgV4p4r19KT9voVS3v8QW05zlD
0OTmqd90AJLJQ1VgUsvU4qbQBOvYkvpBNcY3mEy0CdlNdTCN0TyUHUnj1OjAYlfCzJdf8q5lvLOO
UvGksUGE9mNa/aMKkvk7vcuCZLU30xRb2vfe3JS4BA2a2LE6JqGROvnOY5u3Jv7DLMNUPabYYXqu
0Gy2jaji0MVge9EnwJ7YbOUhiBO5jvChv1v10j8rZBFqsII2rd3PGnU1jvvOIqj2NDBq342s0VaT
hO86u/bwI6O3BHZJWj8QyDVC5sqrHpT4Z6zKeNOQGkMvGscdBiJGJWRDkndTxf25LYuHDnLwkXpd
vHVtK05mEfd3qnKQ6idf3ekGfeld0ubNqifCvrGZk+xKmykUzld/DWmL0IeX2N+hZo0b6U1fB4Sr
MOeeWayinPb51nW0c6LZzQprm3wVU5CGtiHUA4WlwbrHJPw++AmfDcsVawX2/GBQN3ah1krjhsUE
Rzqp/ZEXOCt8r0lvjKiqdkqvjU9orzaTLIWHhVu6SYfc3hlxPqx0LXIe6W2e1kJX/oGt8IPSjQO7
Bx3TJwIfcFIcThx+nQCM8ngv0Q9ftckpw4yq4tXsVsldxuaekugmli8Mh5ojPFjvGCO4+txBGZpw
39TCrtfPHUioB6WGO+qm4JIXOrlV3rDQ4dp7ymazPEY1pgEG6bsqMKqzq2AQUDr2kM+4oSY8dwyB
LdJIdhX77NVdMLJABTadNZSh7kdnDMr5rnY7QqOw1ZnB6OlaCpycfKAYlZR1umOqstjVimYz+VF5
JhjJ7Rv+9GeS6mKnAQs5KU71Xw2vKL4wKdNuHHDdncWgRvlEE2a7u8mDqDlLSVKWWh+18wdv2DTY
WJ4hngxHxy0/M/KMhyTzYmwLaY2FbM73g1oGUHA8umNqRgxo09im9Kiq71TjUNrLyjWSEro3sP68
M1+R54BVOVlZRjS+0r2n7Qs1OudSpNnRTJ1tbSF8IAvdkjJ/mTQS+tjuClLdFp4iDBdPdBaK3dD7
za3waWWeEDe2ehN99/OYWyBF0ju/C2h+S7pi39WFOie2LU8CZuPbGHQpJhksQUIVzdomafTDaYqn
pITsb+aZ95hHPIXeyHuMpkQS3cy64K+rNiIxPmjN1VZlbSe3majPmPPmy7SE7yPDfi6avDo21PNs
bDxAO8iPwTad8uijHeaJSVvafkxa5a7g8pAgHM3x4Emma0x9PiTJdILW1InHpPloIC5hYCef2uDM
63a2gN74mToGAUpQTuXB1J+wC9NKSJfReGMXdRzS+U4Dm+4VzxntMI9sqvJT1fgs9TjIvVUqiS3f
gs43dgGD9Jsitrela4kdDrn2gue9WleTo+2SzC63FDnHZy+jKLk1s2EfR1kKKVNm7l3jiOlAB5ax
nfwBDkuWOaG05QfyPOYRr3XETkpD3Qr8kGHutMaxVm21pUt++mSUTZ0BFDE2KXnnOhQqxU21ABzw
u9dq+lrB0P9w5zHEm9R9lnEQrXkiP6DwNtusrAK4hJRlw/jT/bDMctLquCrx5jXkypj15tVFTGYe
WrntbuRYNklIJ9q3qG/NtV0pZOqS/poVZQnTQ55nt+x7wz7VC+xIrtrqkWAFlRE8Ie4DIYuwANmI
zZFGPv0H4iUh+RkXzNDLek0IJ94YwPgxag6g74r8HrMpHPgOq8Qpijq0qsrMDjq/6g/Or/GeUgpC
+NXAQDhm2H5skbTDOAEV3+A6RMDxIu+tSSiy2hokJhGJ9HtPsCABDoyzG0P2xtdJeMWtQnoK9dEs
QivKzW1UQeQ3Hv0pGjIkvdFP6q/pUDL5JE9bBOWTNyV5bh8jx0/zE4bSoH6S88i7Btt00rSZ3mh2
yqusdQ1FtrowvBHX3QJxCphVMLOJmRf0UYb4Gc/Td+GK5JsksYIbtnPe+J76AxpptJ3NURyiGZzB
ihLZaa13fnocQCFdGsFXozTV7xafPAv/4JZH1C55ECBOxTgAU89h4hKLqfrWRrpxqdPJP7g4x/kE
c5i7wab2pBKMHk1LU71diI5uCaYWJ5ov4M4D5X5oy2Zpd0AD1Ri13OsyYfBsEVxZ1Ykc9nbR+8vd
YF6z6zPXtc0WhlN/uYrjNN+77RKoLhzzpFedfWx1TC2pA64LN9q0dty5tCht4vH0XNTPUzrar52R
U57QpejCK+wWQED1AqwW79yDJOZKJXo/v9OucxtnPm+rjtftcZJBvB4pKGRePSj9QqWCGWZ9161b
rFAQeylpGVZRLPxbn1UYQ/GEDSrrDPbI4BzK41Rm2VPsF3B+2XpyZurGm7lS8WNJEn3rL292VBJg
04Ke05dDwf2NFo2yXdUVNakuw4/DnHXNYxSVeg/Mji8dVOAccmqAH/oYw1vcGM1Lm7TGmyH85q2q
45eo9PSzbTIoXqlK1/aWKQQwx0AHnz/qJy8oxeMIJRfdIRKVdyHWZt9jY/v0VFswGFITIXct0bEb
Sp1lP1WxLXlDIhck/Fy8ZrrInv1MRjvfDHAmz4Nh7jgK9c95O9BkqWGRFUijp66MBYUEcbXN8DDW
66mt1Kp1e4c0coMsgczQYPxLHPlFsetjx685uBDriaGatwCkqqBIH1oCpiu9UTQhjNlgbjqfzK/p
qeBAQUR6SJTKzk4ypofSCrybwuHkQA6ei0nXvkCcV89JbEfOyjVcXpw1c9PQwbi85twqTK58SVNC
5uGGm2u1LgYR7XpzLB6AiQKXV1xXRNcxFTd6fIyu7aXsfMM0DTD4ZJERZhzLmD3SdLjRDac9E3OB
elHpznIHizcB0WG0jy6FD/NW9zj7bw2c5tamgIhlXRqDVQAJHF5WOCSY0yQEDFd90+ZKl3dGoGV7
FzYHP3DU5tee8Mz0pKSWsb5qPQfe/g78geWZwBM80xOrANe1PPGWtL6/ra8TPuvnuO9/l9RoJjYV
PzfwTiFmeM1TUZTTy1/m3Xc/PRj/VQ3lXZ1Wffd//pex+Kn+tGZwfMD5oRN+gwyFzcP5daDM1Fdm
hWXIm1jrnLUWmMnKQB7yphKsKnzX+MMsrd2YmUcrd7bMNbdOYmx8L7qIQSGt9xte6i7At50T5fjn
T+4Xa9bP54YvybDdBWL7K4W5NMaGbjpT3gjRArlnrxjt0/Gn9+gfsnz/pwfBaLbgxH86Dv8+UXcI
lHLoJU2e4kZZ/nO1Ykv4e/ufkeT/D0GekeGCVP/HI8mn79Nn99eR5O/f8Ye3yfrNAYiOIzAgq+kh
xvw5ktRdqGZLuTuhToLDJtf270NJy/2Nyjf+iRAiIHUzYJT4+1DSdH7zGUcSu0ST+emI+ncUGYjK
f/8EGZT24BwNPJO0KCY8czE//TX43FO61NQ1bcKN2b6OGvb6rpi/+vjZb6B4UaCjYcWZyjp/8KR/
6egJfnPHrHmEDfbY6G13HGYXudX31MWuB40hmOVGu3Ehnw9AiT8Hz6txDNRk920/4u7kOGbc3VWe
M1v3tp3mZkmHDvuKA+gToKaBzbntuSsAgTBCyVXNuC5HhrjAZ9DZNeoM5SfU5GDsS7KRUZ7ZW6Vi
cGVU2bRt81z4Vc/ay5CmMDizTi6LLx1Z/cZLdLvbAmQyxbG347TAgkD0Q9cZvM4Uy6dlpoyjV8/m
i40tnXJ2VRs15Rp2NPmsPt7sHIa0/r/snclu5MiWRL+IAOdhGyRjVIRmKZUbQkqlODjnwenk1/dh
9QN6ABqN3vf21assZSjovG7X7JijJwBIcq94SRYNLC6QBCG7iKLl5hOPr/+dQtjwotUcoHjGUMp1
xil/gJ77rFZcstHIjzAchGrMC97adTOWBNklKdBRwnn0sE1KvShkvDbF4kd+UxyrFN+uqnNYSmVt
jcdCUz4eCd/5WCQVnkwQ2TEf8ucUBg6/rKm4Eu5ojth23oqGkFQxzkzAVYAVbE7Jana4yt9haIDV
XHiVeb66NnYPRnea3oe0gjtbDg8W1nssXJJ7kkzdPyTXMVVPM8wjZwgxY4RCWadUiTclcaUtWB7O
vm9/pbgOYmbPiUvjNHAR1aoDptg3DdFyR/wEHqmXUXJm1gdq4p7kmr+5pfnTlPl4WYdm3kF0vK1Z
54VQHj9AQJyRYOujGHNAL7kVqbUyd8PSupe21Y19360PWVqRZzLFW0uEjy2g1oCSkH+pCnGvlbsm
D3NAD9iwZTOCidjJgGlL4MY/2NL+h810bxYWoD1JSVhKBVBozzK7Qyntr/44mzHqmX6i5S3f12p1
dvRlZuE6dP4XpULywOU1//KpwD6rflnitnO0pxR+Clvx9G9iJc29o43Pzpir5xqeE3I4IhBU0PxY
Cxq6plxHJWwWaBu1M2GjcOwT50K273sz2KeVQwQn04KDdOe/jSOqEybfJqJDjAbhdCLtmKj8q6HY
hVpfEmtpSnyMm+IQNQ1xHAwDG1VJwwumS0ifGiO2b6oXw6n1HfPXm1YmJ4xUtMQPbbdzRu3dgRjN
GK6Kc9Y5Qai1dv5j0ZL0e1q9sDBGPE8zJC96nbhEQNgWaORiurgUE1O8TjIqsvB+AR9xsQpJ6jWZ
7nl9pVFfSCBRS6W0oyn06WlhHPKeS1u0Dyxh0LHZueabccXdW03uxwl3niE0qNV9GYifhKNukEkj
eGOe64mdIFBTbvhsO2oqvpJ5RFXqCEwmUj6w1TNCKflapIEsjZ2v1PLdtRyqcQrr7zyNeX3EPrLM
hOP4aqlQW1xdhR0/reAyMo8/Rtcx0nJ1afeumqbsh9E44Fmbgw7Pht61842N+fAxOHxbzA2qu+4N
CWcrq4PqQKFfS0uSRnzJpAemE/PJWwr34BFc+yzUbNKqntIjY7FVttp1a9PsrJigNlXHKTXppr/+
UhAq3wCEqVtZaJ88Uu/mmoPgAj2Ly3E8j1pn3wrdFBF56OJSa/l3Mvh9lJtt/lb1BaFT+Cz51ewX
slHVtFrRirHygT7gVwq9BIU0OPrvWvSBsxEARvcseUfkr33CUqA9C3vwPk3KmaNUBNS6VkFf7KY0
4zGme82ME24N+6Vc9KubLA0WynGI0nEcbzCam5g/p95TeLwc+u2pFfDNHisiiPuEsG9MYAEHIV4d
Kg8B2C4DGVFUhV2yNeR0/urvFjJCj7O1fBD4do62rII/vTk8emojZA8CspHlj7/cf3p4dB2MoCVP
6A4+RYiGZe1Gox1/koZG7kIbtcsyORkXIJp/an3FrbthdBZ6gikQMjgP/OWGdC3uV02X1yWH+V8v
E9XktUK6HwDSSzYmMT1AmCQDW8H1N/0QPZxVkNEfqNvoOYPHazBxaq1UKOwCLBChTp/8aRQ2t4G5
h2tpzE+Tj+9NEDWPm602ib9bcOyUOmhLF5x6XRI2NRRqjhsQndkqmPStC3jaapla/EMRHQbs+gLf
hOuTFxhNfbGw1S6DaBi7U6CRyQKU+6M677XKPQQLAgl7fWix9S0EujR7IxXXCkGQLNNZE923FOu1
BB9FVx/pn3V2OjRxr743mUzuTMUvttaXYj9v9VMrA/hRc6ikQptmgVHXRKpSerLJsi87OCZkekkD
39Mr/HtdqbaqfUquMjH+NhshLk5LAMyAErGDVLDs2qUw7vgODNCv6MiahfiZ3DLYq3b9TVajxIgR
cJYVi5NcWfInJhcyjn5wal8YlmcMnmP/gMaRhJmkkGu2fbaFJQZaV08/GsP5Ie321x7zcl86DAxS
2e9VP2VhJQY6633+qLW3cWSRWP3pJ5ur9lBQA8khivxHO1jjlMVjYDbs0P7pDRMjHwN1YlOVwMGX
PF2cUvLdXxpeGKOFlow8LlM1YePwOdfdvPwya7rKqq21bMLFvS+kB+Yq0Oo9DbvVnWmYWI+X1Q6l
tXwNGWKipIN1N8M7QI0QlPYEnf82sBiA64lxlbfpZuvN2BnUfGAtP74cRfHBYy/G61a//tJ5Dv8u
icPnfkpOLsu8UCuD9HHCC/bgINR8YCx9dlyXdUuZ3myzGY4WzhJca1nBWnNI+KCzPLNfA0fMoXLc
HouiH9tr4po4rD0AooTXKALs6KTLWbIZYdqY306taida+D3vzNZo7qWxjkcQfd7RU47/exZsgydd
/SnaZLxfdQtSrpSZPBYQr6nOdiVrpELVm2mbeCJWa4LRMkAKhBTL7qZ66vzAeZoXHe2MU1NjxDBp
+XDwDP8MPYVL24NKlHH1dH2DDvbuoW0Nh0cGXivppCFY4WuwP4iW1HpuQROGHro81/Li10DM4KtO
u3M5Z6RGC7AhIeD9b5RX57l2c/MP9Y0k4FfbJcZIYkad2n+6EnORFfh8nEX90bdWxbaZ6Fdk03lK
ODyvMtPKQ1C7D3TRXmBGjh794Gajjoa2FnydXel9J6ADw8wcPErEnfwdB7xNLUvuRBSQlrGTW23Y
NijRUU/YkhIDq3nqLRti1sJHcVPC9AGGJGBzvZG8asRVHLczoTuaKrfOytToIaN6dFli/DLjlp/r
MPaudiD9k1SHDjvzO6eZeOcVN/0qYWg/AylKjnrh5SfdmZl4k849d1yT8fBqQ4JHELPMW2piw74g
E2yeg6w/B+QdGlK9M2DPvAzOZkejZ1YpQ+yUXbcRdbF6vOrsE8ZVje86+L9v8njy6A9NcKGBZby3
06x/bSwHboo3QLWILNrdRbVBQpiu1jcCuxXhQ8cZZopAOWFD7klTEK1Ba23w33aRMSi/UVyATJOB
87ee1JkNsvsrFVuHKrIjb1Z/sgMeRBxOu6V3gW/Y6ME31xLZB9UF2PIbb3ouodcYEY4I7VrWKv9I
4NLu+8SHAV2tqjyxMNQjsIapv7NtofmQXqiL1RMFP5b/61GxRz73VfA8V8zGQ91NX/VWPAuYl3X4
uKaX/p9q2n9aasdKVi/QRdl36J55QLURd0VDcHGpxixCVynDVltLiBZ96+znrRC3tJ2+j5w1qeiv
z0UsC2O6q+oVGKlZ1MfJU+kDUedkefK9om/u0djwxwWp0jtXkOsF3pp/k6wPoHHs8CSYoOoZN3Of
OLTwutl+bsbURYVnwGswmA3HIsiqYAefWK6XUtnAP4bCiCkqrnvsaRnnqPIpDkXHtY5j5jrvpp9X
U7TOaesde8Gz+IUzJ4l0rUjSu1xKeFp8hfsihvo4R5D1qZwXmseyPBv7hui71h4ngIdPqhu5Cxid
dljxYWDnWAgYzH176vlORtNo5XfEzvIwMSfvp+ob+49eCxvpLwcbeVBV+zKwtco/DEAAYWUH83Xk
eQRHC6Mjcgff/9v4bXp0p2oD3o0s7Lq8997WYtbj3OV0jgME/D2cjfVTZ7C+zAtFNCX348Zr9UPD
H3tezW58bPG5/MqUXT2x43DOa5vPoVnZbYTmhFfcyCoahQRNr42eMB1QpXFQAgtuj3/vZtsdtSL8
jK8DU2Q8KhWAUDIKErMALKuBvlhl9mM8ld5Ja2sZNVzcEWXzYN8L3fx0bGUfK9G3LE/QLsstNeIh
4R7yFDJw3zj+nZVXLr/eIZu/yDDLA52u95bKgm+97u8lPwlret1ETDWXI+tg0hPTlN4Ro/XVzgjs
Gd3M7fYkvZ24WwT3G76U5DWKHOgjunIclLzGE9IavyH9UkMXeNVRy8knaDNvknqGYYpdehxCSDQL
kGyqQZqEJXQdeNr9iGfpqZ0znNaivCrBRt5JawvJGVQI+mWW/W1b174mSZ5z0HbpEfotz+7AwT+x
XFpIv4YoyvSQilHy0pmXRwzkwU2qVJD+zt2jgNoWY6fkwGSffcY18OCzetwNmFIaiBO01np1gYSM
JZ/BrvNvQuv6kF4jERtlYuNKCKyPNDC8nTUPhBirPKs+tHb4oHsYbK/0D7ajCFQ1rfzWFS9WH2vk
aan6ks8P4OxOOtiWVJ1u7dUW6oOXupG7lp/AvbJY8tvambX6BZT3kqV+RMfZN87qX0Mht+/bpDcx
VTgCQ4xlxZh2schT6XQucqBWgqJpsuK6GzIzG3qo1aooWc/xzktt1d1REbtJ+IN3MOg0Cc3ezu/K
NBUP6A+6Hk22mvxYtrq8DSPzdsEGKeo2+Uf5Q3sicF6y/ILnwrpC/zvXXNGKsZDHyh6naNY6yBMj
dnDR9n/GTI1nqiUKdrLCO6NrRVm2tCe/dTtewJo4g3+Vj6vI0n2ad1/c1xjFljpfInstqhM7MImx
Fr72O/29ww6952pRcfLGKPVClL8LPSIel8y15rBTK4Mj5OqEQBuhjknro1pOvwOju7IytXagKt5q
nCEww22bcpLeD2fH8t8zZVQ7q+vrCO+0DCF3Oy9rA/PBWYV5qZfsLtdq4qx0f8BxeGb59WNxku7n
hemoTukXyhrzw8qM8mTJ2v4enLKP9LS3olar3pTnWz9tW2kryQQfXDyqB8O3aidwfy7s22XUWTyl
hRGNrZ/8loBkaZyRskegWOanjpAbiBl4CchO4zzjd7OXnOG/MrjjKHpbJyt4Qjd3KDOznAZjLVXa
BO+pS4OXzDPg6oK0HyyCec1TxVUnifhVtd6V+pX2nu0fg7UhtGZnroK4nGuyJYylXxpDPOEau5mG
6wO8bflHOHp/zNR8souGw8PPs3PQ6uK8OLxcDWv+k4h26g6CqpIYVwJ979B4I6dU55ViJB51440l
cR2WxshCyNy0wM3XsgRkzTzDldszwZSXU0psOkzC1P5wJLiql/OxaIh8yO438Zyz4gsfljkrKpFq
1yQYmHVKp4vpJT6zBx33syW8mCqm8tw6yH+UxZI7ZtSnfFeZYYJ1rU/lY1CQYAagHMFqd2KAPY+d
TQEswox3qulIZI83ZjhHoNliYtbuZ9N+zw0bWE+i4YIGERSmpVUfMr1N47ypjKMquJz1zjSc6jHV
US6gA+nC+W7nJHicNHL5lEABOG2W3yI1UM5GuhKgvua7YrS+Eghnz7OPCcJVy9xjLWnmv87gyWfO
PtpuXQfTo97RTdUhRulGAVtFs69lT/ojsvLcjHtdCMj09ZX2M8paVsumOjOfgwmqmMH2sdAzce54
PxrB2uxFvrSf7GiaD6KuFrk4bV3/YGXD/Q7KWftsWJHee3qpHQteeP2O2ICC4lz0d57giuQFfpFF
IK7PPbvz2KqW5Ys5i0crJQ5ISNK/bwC/Xdcxm/5oufuT9jTD7wIW2YQC/eARYyJIkhzHYtjm+vzq
K2d6MOG+rLceyyMLXa9qDqigW/PayI59XenkMZrc8OgEyzHrmHlNp+S6tLSzs+6xwXbejLx3ZOjw
MjjiH39ZUueVCcF57pK02afdMh55DpbY7QeDy5X/NuOPw8Ffm8+pXmIYzax73xiSzwqjVVjAAQ8N
zzSp9eCSrl1mk6HmrqyRVrtRZhdmiFHt8Tg1YV/k7nS2a84fMAdsKg9pMmNSm4OS5j60MGaayjV2
NZcbxrsZdxNwvaZ/63GUXbrOp/gH0GCg7yYdjW9piyRkn298uI0KrNvMlvlF8gfQO9ZNK30VY4k7
0UsQjRCosx08muFqTS3BPL49eGLaeTzMXZ3TDc3aKeKFFYB0mVImpgX2jmGOGyp73CYhTpmPSrje
b7vPqJETUzEeW/wBWxAK38Xg49UHcwh9BuyEenamdkR8YsXt4jnA2NeaGngwc0i/nYyq+KhOk1RF
aGrLE1BwwhEWDxqmQ0Vrqjdw8VYmr2hG0KqNpNX+zIzXMSuCx0VjrF9JU55b4QL+aSdSVrA9HlUq
zfeiYAKPgF1W3Ncd42HoGqoPKbrznwan533KWdY8lKsm3zXQNGcr69BlqjXwr/2ije+i1fQbGd/l
YLb0gXF5HaxHVuneU6AlXF96IwkumpaZX0uZi/M4+PLZNC3EUGVOPKVNzbG6qxyf3mkfps8GWy94
KGebNxYxEpAtVh/gwUDhH3mf4B0rL4VhAgoa3dnhN10BZxr7tCAQMjwQZ7HxUS6tGVvIUC/66qVn
oEYirMts+SnpF/tIjIFBbXVHn1yI0d+yIKCwKS3y7n1yN9OdxluX5AkvM75SEZedHNDWUBxabWbB
izR66al6PMlZH+OWzqi7FrIXxTWeod81azO/wlMfCeSqvIoy7FMhiKSE42TUHlvRtTdnmf1jlRlp
TIMflp1Bt3GvUt1Iw8E8Xv2ysn6h3tJn08zti858d9c33YwZlekfOdNDpdGypyUrJL5RCsYUuwz4
4kN1ncbgjyYNg2KTKmHd7IzEZ1bjGkgeDaswM4jO1qnJDP+hxjl1mhdHnl3Ng98OtjOC+Ae7n4kR
I+vYQ6gJpiuV6eKOBNQX2RMjlpRW7Qt/+Uzp6AtNbNIgJwpkRYM2hajrlzcNmDSxFYOaQpOST40v
+iGTxNtlv1CdyVYYdVbUtMkGsPUzSxmRa+jebnQaZll97T/y0qYtYczW49Ird+VFNkwPEBrRgY0A
H2XtbEt95WQ5BhleNrC9G2ImqxR3bMKj2WF9g8YKWWppsr0h/HUHpu5GmoT/XQcPhGX5fh5rdGAp
3oLBhMrGYe1odZwDF9gqQj+DGrdAkLLwmOcsjQaNnBC+gGZvGsI+znZ1sNPiafVbrgrAYsn96tAi
0/XeynLYfkX3DhuneIDueEw088hgNR7kasvfmmINYlLYvlUy7fWVCVl1Wn5owathS58+q6DoHuep
e5was1x2egPOZ2dsF8Gs1O7Bo+Cp183sxPrbvLOl9m1r3nRtzLrH3aDsXc4aDKEnsH+B+cf4XQE6
a/GN9eW/Cqn/P0nzvyRpTAImLHr/57X1Na/rv3yR/2t68N//rX+trn0Ywr5lQfW1oWm4/zk9GGxh
mo3G4bvkDQ3H5b/1H3katLaN4+Gw9Tad/4zlsNhqB8C8DYvNZMCf/H/J07Co/m+ra0LUrI1MrB+I
6YZuGv8tUGNlIqhGu9Yv2I6arJsg/blaRJMOPovRUPDkbYthbLFki6VMA2lJrn20/ipFkR5vCCK2
QKgGuv5gbvHas4r1nf5v237jIbZEROrrK/XN9BVYp0cMH1GDW8R4xZyD+3nm9bHPm8LZLGSad01n
/mGIETTAS1tk4riVVly8Qq3HSjmPZc+0x1GbLBd96HDU2a453skCvvirJZKJ/oK1W3U2r+48VTA5
rOm7WJce//GgQrqNcCUX7Z4AwhytAqOa1etWSIx9+sCNN2eKF1uFac7KHfa7FBO0e8Hv9pl0ISl+
i3UwylyZ5K9GBh0NG3kN9BW5zIX36gzfHuf3MyZxYgFgHA+mKr7LLsDR7+WwBPSO65yUpnkozPyF
u6t4cAsvKY78X6zr4iElbpmC/DiyneYptx0rHg3tUwmWJSis1XzqcUAjaARW3CHdKYAPuODXzOuc
eLW14cnQS+cKLULFxjhtREzcf0Cb1iB5Wyvfe8YkmLz0Ix0hJzDn1uZ1b53yUg42I77XJ8UvjGxZ
rIFxCRlqAGv0LZg7hPKzGzTlhamJz3Kq2OmZLjWCrPCX+TJOY+qHWkprOBn79amrUzvXD0la9UfQ
jYLZaYE5Os4Y+Oe1jjx/IZFhg4jf++TCj/hrzV8tKx+Gk0FbXwKqdWHopbOXH21N90sI4P5Uv6Y+
7hCdF5cNLjQmXU/m5YDBAQ33lKXbyqEqyCgZn+mw9im/OXaWdNEGcTUQbmVxeVudBD6jntSxS+fi
KZfrkw9HL4YJCkFDNHMR5g63OpsIaJi5mNj6iVlmx2Bk5bvBYdNQrokMmbLpo9K8F4EgCHH0lE79
1VnoLFqZYVGMbna3clEnmWCrKjl7ot7XKIGvjEiPykL76PnP7FNU3F0llw9Dn9e95+XJPpHLM9CN
4dT1WRavbgdStdL0U+vYYg9V30QkhtggBi6ZAwHOHTSn/GxPJQON3+QXrVzWk97xaJoYAl6Dxfxd
ExUKOyPlFrPdbHn5y30DZ3Q8O5YFHyGfv/qmL899jv+vcz30xrXSYwD4h0YLwsFupz30ZT4fbkt5
pdVh2mmBhrhTUHSCpASM5ZenaG4KEu4ebscrMrB74B66DQAjmJb0rnbYSgxcmw6U+D6PaOC77TrC
psZJQpsc2wM/fXEp4FX2G7eV3m3Lmv6CNF0iP7P4cHjYjh2vYeGB2KlT9iJN153qmfuJVT5xpb5b
jeQQAGMIC3N9gfVwADocnL2UfpAgP9U4HiJfpwuu4NNPQW34Epmw6w7+oq6FqdG84kz0x7TlyPiz
YiFO7Dcqb8BL0yoWGVX5t7R1eoXQ4KKizKZn1I0rzTpGGIzudqtxOARz/2q3FdG+im0ZyDWDJbRp
P+oTYzocy5rLn5z5brV04vD7cA/mABRFYwI7+n35Z/WY8ztTD86sy73z1OPFV4BVmF7H4kigjoZO
Lzce06x7lKAyNZ+/1NrUN+XbxWe5nWZiSnAVAozU8HaY9lNusnpo2jEL+YX1e9g1wYfXZb90DZ41
CaGfbOQCnnK5IPPXlZgufcwO9F7jSSLHM3CsP8IMhn63usEJ6z41Vf0j1lGu6bxXWDtoswfa0R3f
OVe4NksvwUVkjcWtQI+mdVeMBzy7zl5vuunmpE72BNonuPZKf1p7bYzsovoYUpPdYTDdL4oa7o5b
mSrgOq718DQgefIJbak7vdgXlrD48Rr7k6X3TVgZb4cuoQHSCHA1jC+QVqh0gQ/8jF56bf/RHo2x
ePW04tVJAy49mvwc1uCXm5onc2IR2BpTu69KdPfMnPfD3J/Q+Q5E7mgyKjAHmEbasU/o/9QOaofT
r8NRR0VrE0/wBRYN94uslBenm/UbGvUTHIw7tvdvrjBXUl6QaUBz7jhpY1cLfiOdE6SyCcxtZ2mr
+Q/+YLG8LdQTei2riFamXcgx6v8W1PD8KvErY12GR5FqMEZMT149djSyE2fPN8e9IzsTyn/h7zrZ
5h19Y00WiqX0D6Wa1lNGxzxAubPME3EYSx3lJdDAI0ltz8sMsTcJPG7adkDs3Z7sP1AQ0W3HRvNv
y6rbj1lFFINeze5aTlSML7NsYhYF2VcL/jykLPtO5RA56rl8NWw61ZKGS8jKi7UIghip/Vkuw63L
veqPVPWROpBfhSfgBvP3cRXzPGlWL7/IxToZPcEMO0t8k/4MZ70pxyYJ4CRdG01rZlyc3En3C7Sd
3TCl1kfSTO0Tw7UgOdSPZEl9wckkK6t+SDUJ2qPpycqPvNfYINTHpSHqbxhGu0cane5MYCdhzsbm
yESfs0rXXrnCba9n+vAa0Lea79xmFklvuOrqez1tpYrspcTwtlvWYnoiW+ufAlBZZ9AJr7YC40kc
RUNQr+qJRnhvtrjSlga+cOwCi6RErDRjWOF/Kk0+GJmX44ibxyc6mh7mWmNdIrTHasmme6Hyd3ax
NJkqtzl3q/vuD3b5AtTgbGrGGBv89SIToudvjlfuKIRaiAsZfYwRvgfnrZEwbmR2cEt4Yr4PLLDC
NxLmg/wI6JnEiUAsIJUzRq+AksJADv6POzlpNDlgW5zMKj9ZVi3P3ozfSUyE5IQD9sWvvDci/3mk
Ja4emh7srDrF/qRmfSDtUqIEWwq/uL09RPzCip2lLLHvUO95rvnx0n6gUbz4bnvxtegaykFQy3dr
wJ4RTNmtRO6Lls1m5BWtQVIy71mErGxyd63elxcWTYiAE9roCnjyCg3+OAq6VnBStPEETPcJMwJo
LFa506PWWf5xZdHyrq3BsRkX9SKBKO+3Pvg8DJBr7+px/O6E/4fTudx3VOJGU59Mr6hvFyxXwaEN
+iVy4MLE9CLwgsipraf5k30s8Kmapr3CvNWWRfWY6XQAegbI8OOw3FX2HByhCxO8zro/9Dsb4aTK
3HhoW0RKDshBxdZklWTbRkjg9HOlw94GkcHLa0Au77zAuqQuwkfJLPimz721hI1fsj7S7MV6rjLL
+KpLx/2CboPNZyVSQP16t9OMkoFh4jM3Aw7L1fEZjyt59qYVShqMotoyodg4JP9pfcDXgK2zjCom
D2JNucSNR3FlNWcX7IneHutf+gyjd+yNK4NWWNXyjVwwgZH5u0lcCLOtt0bV2Kp4IiZxoigE24By
gh0vyQO/tbNT4MEPctlGZYM0pezptxyJ1prrlmxo2WhRaU/Fe9Lx/hPNMWPDjWGJ/g8UpvJojaa9
y3C7nbHVx0lv3YqssF5zm1RkSacmGc+quRQj1ZfCC56XlfSv7PqnPpP2QTe+CEcyMBVJEyNFvhrI
OchdJBc024rAmbYRutfOl0Vy7t2ljr2uPLIpZB3Vq2G3oVK3yoc2zOnAYyXbcZwQz7J9tHZa1Gh9
ENnvORjvXAZ8cPV8xFXQvqqGTLmnY/Z08uoCImmJUHOriKtKwddDo6sy9VreiWVzopnsifI2++Cm
1p+ynl6bdnHuAYc+sqEnHkzkYq/m2g77doxae0H5bJ0enUbJfb9q5htkKcCeZVW9qpEkrWkiqNFb
wYbNYAUC1JiyVEfDSVI0zZ2o1teqa9W+GZjp8ibJv0VvRIby1sc151uuSne36P9sDfzk1TPKuy6j
nKVHpg2nrv5h+EX7yobYgP5E0xgqv7LlvcqGbL+WU/UKOXrTeiciizahNttm2DE739ktWlFeBaHE
3TKLah/oTndjif2FjyGNAgGtOJuFeuwWT9tTfGywe/GYeoil36MF32rSXzeT3F2FOIZjFGdDZuvL
zaSGTTPYZ6xuA24B3ylpa2++8y3wVtw3SkP7wAD4mbYYBpGW7rjmLnwY1J+U64mCKbzBmnYosx8N
WXhnkOS4M4aiPXaif6Cd5YLDi+Mx64h5yFzfty3XW2n2FkWB8mA2GyagKC6+YfECLSiCE/6r42UW
8ID1U3nTn2RKv5pG8P1prMdpvHpN8trIddxxnUp/a5opwwl01piva5ha3h1i6y+YM1EfBA3GZlaU
Zuq3N6xEWLhr3biz7faxmJnONLjxW7oJGypyon4TCY7fdNUeJhdFFxKLWrcEKU4ossgcDVD4s/3i
+8Op5xv8e+mzv5aY+Y4kOMgya1tRzIS3UNGd6qMEbdXEZHqrG68sLACqsUoGvKb3KOnp8ROO5niU
yNuwHVxxKHKce+y7ez1D8AOda85GHqqZdStJxe51njaiHS6lE1O1OAVeVh/soGbbseDgmPXJ3YMT
fll6/JtdE9wH/lQ80KRg/Dj5MF3WLHfPreX3R2QycZ6aZNk7s92/2Mh+kd+bYDD04ipqmwt+qt/j
YpehHJr0zlKehevPdK6Y9u24w/B+sBoiQgW2s730bG0/UmVG/RFVERZRZ1lbNjU2eHSqjqaSfBjT
CG0DS7Gl36f25IduW1gxAnxy7xqjS3cei5tqoknD9D69tOQTY6i91uD+IDkvJ6eXOChmeYOizlgx
ZFgwRPA70IkV4/W3WEZm1Eq2Ts0Y1K/RLPjjh2AGlMQly2UZbXLr329uFJQB9FSlij1W+PLE3HgC
WkH0HmDFnuPKAfSHjIjTp45LkR+KrL3nMuU/TYVmH7gKo7hYqviQBAKZpG1dXHlV8xaiPqO9LUNw
qQecBS1BAFidZAknQVuQ5PoBubi7eORBdy4I7iN1I5vZguCcGAedGh48tHRk/nQr9atB2dPZlP3C
YnszON3jDdnwUPT8GqEc7opAmJgAStx0lEDCQchHIkM+yyG7eMjNzZfYVNfU9d6o/hwOzNddqFq+
/gPgztrQD+mM3lHSfRlSe7TsJ4E5RPMnc0cr29+1aR/dZiTxBw+lX5JoTbeSFLYwhWnVYaVhjp7x
AplJiVxjDaGeKU5lkgjHrCkhjQgcKWjGZ9qJknBK8Ijq08gZ6Rg9dQryS3rFFynKk293D2psYCsM
C/WLXXfhiH5rE1nv7UnFXLX4JhuLF45yIFRv5DohkMkkBTwjo+BCY4sMRro1npZCO/nFFK+S7XrX
GTVOccjN753Nuh2+1ezDwqPqqTWfzCXFLpjKMRbuzM3Ln8O05zo4avpuJcM5oQjAhMjnc0ZUhkha
/VVDtXgsUjx3TLMHaPYE7JS1vvqG/UAWD4pXC8TfGvT9ODgeK6C+cEMGZS1ySw9raUI6o0qyv77R
3YYVvr/vfkJi2bfl57+xd27LcSPnln4idCATiQQQMTEXda5iscgiKVLkDYKSKJzPZzz9fGirxy3Z
7m3HxL6YiO0L2x0tscgiCsj/X2t9qxXkEVr3O+SKkjEXWXAR59ZN5m0qdGoRl5TlVv33siWen2Jm
wcUdbiuFlYJI/Dqhl5OlCht7h/JnVK+cXUAo0Be4a73FRXyPmpaAGe1qPa5LUzl3WdfLk8GZnjKt
gNAJ2eOGnCk9GU3Hkxy7AyY6/N/bvBmXJXqLbF8Rb8jETW3aax2T6F1cMd2OLU5w4pFFNnoWCAmx
mKruTCMRoMYGKgfGYVUfo7Ty713uajiNGlHjB7XDKnTZ4iMpPRlKZ80ucxtj2tVGguZsiZBVm2ZG
gOFSyS7axcoTFUYH3iPbL9k5dMZk0vjsKkA3S2PRmRKeho3F6r8lZrb/KC7v2UfzvxYh4CuHC+5z
Yfu/f/7H5m//HHwUm/f2/ad/2P4e/bp2H/X08NF0KX/1b4G75U/+u//y36sAFPBQCHb96038MU0j
WKk/Zch+/KU/FvEOe3OHhbtgde5gkuPr/agA9ATxMlu7LOOXG6WztGr+sYiX/Ct8qwCrtcM3seCo
fmTIiJctaTQXSYyCX9b48j9ZxKME/BwhU3woHcj/pukpx7Y4qfwcIYt0BP9HNOFprITDzqnEjWrH
E1cwxDtAGaNQG9XFHrhPfESr1gfyRozLtcdNgNuoOtRIgf7aLQBPz7Oj6PLoC/S+1jTHawd3Uu0F
1UnGNfHi+gVUPWV3fQk7njKglA9VL5se1ELmYnvzwV2sOvqniYYVnT57scZywmZkJl4202+SxwXN
dqlj1dtexGO4RkH1T03jsy1WmCq+ePHkfCXY3W9apMttgFc5hyK4+NYm16b5RgSDkmdPcj9uvEzf
DtQ/sArtHppUGjunEeS5IQGYTAlaRI9lHE9X2tTaSx3I7CEju8WZfSwMMJ3uGADPtE1spDouH1K7
7Pd8+QovdDEdgkFjpIUgfUNudz9GkrNxWETFzs5tvZZNiEe+xbtLsTS7hp1qHflCzwqPFKtOH4Uc
f98OvwXc6O6oJ/U2+WxZ9x2H7WNPW+kmFPI+1HOzsXPtbI0pAtFRGum95RjpxcqHB9tk4WOndK7h
7nTCrxrL9V45nFlrJ09uaPhON5Eeq4eeLQ9vexgFt3AL1GUIc4vvrZu7MxMQpNHi4pd19h25gVb6
RE27xo5cngJO8yC199UGhcgTQPhrbXDo0w3/Fdrzi6d41tacFtZlap9oTqOFLPLyx7gGG2iN3nhj
lc5wHyFQIFyHX3hahu/4oZBIgvEGthFzcEdqBcSpWtW6NK59MWaPac0JIU/S5iKx/a7bZfyg7P5a
p3F7MdhlMWVEzadknP0V99XxMkVNtilHmyOAzXdqjKxaCGsET7PrQF1MXe6a8I8LUC15HNdbE7vr
DUYE8zSZ3beUP38XcGC+Oj0i/2Yafe/BiezyygRPyR7iBfy2YJ4vakl7xCWR5AT/4H42uvzBlFzR
ju7as0wUrVI8QEoc4GSNJAh5HoqvgKTsaGu0bXhSS814qZK0YqfRq02VJMMe8kNASzURLctrTmao
b/u+qdhQUrDJuZXCczcmk2XlaU+si2twM5oIGp1vtGs9t88GkeKwQW+IUNZ950b1HmiDKv88DZx3
Q6u+M9r0WUy1t8EC+kB4Pd3mbvm1KR3nmMUFMPOQmlnZvGUOQOwkwgKFd1LekJxK1/nym5q+GQEP
mmIxic2d+YKvG4lo8vwDHnHjdqCAZEsJVbCJTfXKzbC5k5QX7Qywaus0CcCIVo16Rv4jsRA7DeSr
2lyhBfGxMk4OmX8cZhJ/t19tOydjDHcqeYyb09xGZxwxLCOox8ODeMl9JhNs/mzmVLYBBpZth6Gk
1X2Ix7UiS/8AcDu9lq4dHPuYt5l2XutIPcp4zcZ03uctAO/FerOfGQ9vVd2fptpC/pqUj6IomuE6
qPa5A12J5D6xqVMizPmAFY0azEd2c4owTyVqGd9P/mBltJ7Zl6x2vxRVYW+1nr2nGKwAJ2sSOGw/
/PvJcqM7O2zec1WC+6kggM8oSbrEWccawmzfmpof2aTieINEIG+CNIfhIm0uaRMrap/RhobBNr2f
uO2uwnHpBC7qgpaCfHqbOxbPvc/9ue+4BoFvTyCgcYCtcNFVj1VNqtHUKIpunt0VWai8Ve8BNrgP
bF8cLRy9zZ5dPnv91O7NVQPU+FgmUDuhDLTppihz76GNne9lAQAskKPYDaGbQqVxBQ5xAw/MqtR5
xrFW4ScfIa90Nv6eMtLGjlPXTJC0zXYT8Us+4jk8rLF7DukREeow9Xl7ykC6dzxbjOprYsREaEKq
s0xQ8oMEMFHTTLaKmawOrAvj+TyqWl9HHtiPFtsdbCycYwlmtb39ucFkdgpnGh9W7WzZX1qufkx1
XcX6iRYSR60GXToPVboIG74w6xMFEe6pmvxlWItz9qtVe0SXCO7CtEsfXSNm/Gbx6uzDxOfC9eYh
fC1d1Wx7qbKD4MzzTruQyYzm1jH2malV58CiRGblqNKhzWcg4dOX7EQHa9khWOOMf4db+3f877Ad
SHvjde+b5n4aZWVuHD1BX5lFXpKqsjtrXKlx7kgtWNV7VZvRK8/kgEEj624ba87u/N72vptj2GGC
oVz2wcAj/mLQFnrJTOfoQLj4gDarif54drSKQotdRGeTMg08SBl20R+pq8/WDeeHaTNhWeSY6/Mu
QnoK3eeOs+WZhE36zYhNdlkZKYRmpVl5X/1K6WeeIwT1mMJ2HYxMA3qQU/prkYgwONbROH5NwGIo
bkaUjXpJ3t+PDsI8jRyhcR/FuilX0srq13jyk4uVlkHAVdwqrM9eNh9J6iXfVFslWM7zRxr2CGRG
dNwcIR5mG5GEfFjLoq3u5spComkGIoIr2UCk207SM29LashebSx1Hz7ZlDdXqX6XG7FXr4zAY6s5
VoQUahH397nN/WZl0VH8ldVPczfV+ORWluE2pDQm+i4cYyjfSGagFNEA2B1LgWS1oeWgIkboZPEL
e2hF7rSw2odYEUpeGaPFGqot0yOfuQhGizRLcrXYvPH0ht7WcmrzlcC7r7a0NSTjBqeWve9SFT34
eHf3kBCddd51OcxztLc9t2c0GJvYAWwk6ZwxClYnEbZ400nMstnumg2ZQL1y0nJej27NRoJNGIOJ
bLc2cVe1Ek15FV3Tspq0vTM6FRYGxy+Y01iJYylgo7bK0rx+TWqM4qsoYOZjpmmKz8kky5xoJegS
IMXV/KE5QN36JvhCS7IpDkLvE3uX7L0ImmJnIVelsIYd1KYJActYD17CHdEeJ/MYOaZz683Keevt
Oj2UYTkFNEzYM+l0a7K+OBgE8PEK69lrwxCFIbNwIxFUIqVeyOIQuCP/N6GQ3T3EVkh2JvGrfrEt
ivfe60lG5Hb5Fii/vdpeC0sxHiWhtpkD5DYwh45ryWyW+jNHfPMqWWH7I3ABoLmI/c8R1S2fphm5
dWfl4XjTNd0EmARVncwWUk/mWMkxDpJ7c+6iz1XuXIIJ51aYsRJysQy4GCjzqfWuqvXMS+eoYBN4
tNLDYSrlnU45G7oI5fuKkAM73LpXXzxnJiRODVLwnKuJsZiNDJKYwAmDe63B5+ARAcDwL+ftIGf/
KOO0388KS95M+dquM83uLBh+dUf9KFb6DuNtp6kcoGopXPVNTne0butPAVjbL1pBq+8L00KDUwC6
1mzSu9tQjnRccsyi2M63YQJFGCEV/bEKOcX04PVBL8GHAz2eW4s13BZwByk3GNMnvK8h5Y+2wXzg
d+e6HMnlioT9eUKyah2YnBEz5mEXn3azy+sKHTrykF9zGSSfG6Kn9QrwKBi5MCL4uEVS1luwmvNN
YojyNGglzvyE6VmqKPrqz1G7y6K2PWRl1e8Cz8qPVRpQrpHML+U0DtiLpKjfA6ty7q2qgq5oRvXx
v2X+vY2+1kVTfG9/nnh/n2L/Pg7/fzQlQ1lZ3Fv/ekp+LDqapNbvNRiI/CfT2o+/+mNWdtzfcAKb
jtYa/pGWsFt+jMqu9ZtlU4UG48ShbWr5N3/QVuzfJOVTtistS6ufLGsWaHxmZxujlBYY2sC3/LEq
+EEnYsvwt9XBP6EV2d4vjjXGeMZ1RnG+psZuZv7iWOsimeRYxovD2DtiwLvDFb9mg+TtQxC/O51L
jNk5GZurR8d6D+GYI+mgESf7FNgcYnonnmI/sl4YkaZ7GsHzR9C+/hvA+fEeH9JQHpxhtg9MCNR8
e7xHN5EByhAXTzGuhzHRGLWMEc8yLYuedXZTI7wkokBrIVJonbq5Ag9ZYTdm+4tBisKOTsM4g/CK
jpLBBkCpmNQuMRp1FzI/3/OoVEiKI4lcszKsU+1PS4Ba2ySpDCvEBkoYlRm9mPStNGq/ZNzyrWOX
WdZpmF3OzmNk5mg4Vf9qZnxTG/AE7QevIqiFR44Ra7/LG7qpygp8saPTCcwV5XGjT7ErVq8WY1tk
DPYhwrPibK3ZzL5H/MIPtm+P9zq3gZyIOfK/zdquqlVCH91LCZOVr8t39qJKu3nJBzN58Ji57oFp
hMBo/fypbNzirm1Ygd2MFXM6KwxJdMwPHXdhLacMq6aokLtmaJ9X1nPTtmLCBOIv4KetTAum60rF
o4NINZdvInDdez8tBuJbc22KDe4FoIoehOyd48ITtWfnOJZZecfq2Lu3GzLYZ/Zw9gGMTMmNteK5
qqNqD+huOIedJ3djCK4Y1xenVSEq92oorhYKibI1HS32IRMwhxmExJNfULQdYUA4GWlEt3vnFBx9
q954nBVt1dqJxUk11MhUadIpDO7Sbg6zkeFvAabA8yqqvkDCr15rHL8vJSBQi9NqxRICS0zzTRiZ
u6UJrtXYMSbvOpYQ3aZJeY+SxR2mMRBvRG1q1Du7t96kPzbolKlhS1A4xvCOIumusYWBoigtuKEw
RYKTGsnsHXyHwYy07SSnfeR3xln6Rj9g3iALbZmji4zcWN4CHLUTGyFpKLsHh+bBBE716N1zNhbW
StQgsHMxqduQ9qQhWFsp3jyUrxiw+lqLerb2AQcICsGMOB7KCaBrmtSHCVSu+1r1BUJH6w0V1ifq
E/n9GDA4Mc121RKJBH1GyGWW2KgLLEGnVpedeUyraopeiNV6eNX4z+I9lOZnxw+MR5IaxIAS/9bJ
sv4m6tvmJayyi+9ZwRk5MvK+UmsZ4yXnAFso4xRw3MZ6SHLxk22Z0Y7wCxHGuZ3RlqdkZ2r+sbWQ
VqoZDm3UElwx4GLfUmlcbZuSY2MniC2kPP9wKEiBzMY19Kw16veBj7eBHcLy90VdzzUHeCsr16Yr
gBLHsiJ0M7I8aH+PeeR8D4fJjEAc9J3sNhMp1RsDf+ex6EDQTV7+UMzuuY0b/xjDZKCBrhhPQ4RM
4NCbsFUcu1g4jHtA1cY3vHfbihqjNc/k/ejSmDRFUqymsnUuzTQ+tjMZLzxwe7eN7WdRQxjHRNGt
5qkr7sg5POCzI0QPLXxlNB59DwoPRZ+yRiBqCNmD5u4mtnOYjWXzwVLvYs7Sf63qZKA0p0oJ9vfu
XdwDhybMCtIlbXC3dL61qwrK6YeIYi/geJeocqc9zoB2HUKL3U1MIKvR4G+JZErWUV0X5QYD/2uB
9LTov3cYP0AxJD7C4gI5tug5r/y83sXaMG/r2h/uGHpcNLrii8fddo+A4G4j0Jg76hTjNVVGzXpR
rg5zAUE57XvjFGeRYPMzgRd1grcikpBWBF1diTPlG+l1KBJtUb8McTUczCxoP8Vd3XJhDMY+qMfv
SBHpnjDGtG3rQTz1NNO+YY1hc/V7JaaOFYBUxlbz2OliSKjgUzZw2KjckWYxInZT0IPLDkyo69Oj
CxbUuXaEx+k94tEUZ020b22VcVXo2UGRq3IKrpOllNytovbBaypGtMrmI2tnPtQ9PDMoxtUXbFzE
Imb8QZ9Bl2Y70fVYKCPp7rKm9fbF3JevxOjMFzggxrbtF0o3vuVL7sriBtRhfciszL3C0MlvaWg0
7ho3eHaCKjMJu1UQkptZX4BzC8zRY5uIkz3GwdlLMhcyfL6QTtoIZ3ciAXmsODjPGzUAtbDbBaYk
hXWxfB9dJwsZm8lcR3vUNXfvlE6CnBOAZCiDjrRUZzy3pdm8cMXl2Ey7ARCoVS9FZsV1nFvzYsWU
qritOuou5TJQw84cZbMeRagOkoo3jtI0QtSIVh9Wo7KPLqsznB70f6+JwA6o0UpPp9zhib2Op4rU
OlbhT0XY9Q+hl7jfCGUEW2gn7rny5Zvhdd/huAeftdQ4b2A7YoS1P+XKNki+NwnZDtKmveA+N0+V
D89e7Ucq7n3dYSmq7P1cYH+ZfWhkVjR9nljDbdoUKqrj1O9VBtayt0hhhmOyrYUsPwIf9FoSG8WG
Ns740MsuL7DKUO84a1/cp42ut0kzJNdc6EsetPk5m+tum7USQowM+qW5LKyHctuIbGbqWY7qWfOt
i8MnZPJF2lhDb7BI7ll9enAwcWxoAZLVCgWqPSX2Evy1sDq0ClMJLhI6H3M/epdJ8mRIXWysoTLf
QokjG6iU81GL+qHrxXefPZlbYzv0DOcV/py5qew2IpFvOidvosC6NJc0q1W9FsGM8d7rTkMOYh4I
cbnt8wpsddBbh3icMjLA5dGeCGTHWnyKhinBRVn5QL5o9hKgR/YStw9iYLyv+7Q8Fe34qOawWRZY
7Np6qsTCeP7Wcv5ct1ZXPJK477G9zbzXfmZNm3ThptsoxOwom2w3dgW5NcP96gfys4AX9WpWtnUH
kDTF7WZfK9FyXdlfM0lgOJo7eunDqLyBGlDcdJX8cLJhzbngG9QYhNWOb2ktKJg/uKWPYM0WkQwW
Lrje1SH9EIPzIIwpYAc0xDuT0+MdwWL/vqZmANLaBv15T+HGJZywquNo4xIVbkDuaaQ1T8TiYsFv
HUkNPviskvYlmUaKlMgjPHRhVwDdoWqg1/x0QUGYc3TPRtXoTaPn5zaO9sthE3H5DngK7PPBu5Fl
gbsiOFSStvHQMKmmaO7mFHNsiEJDymAVl9lbnXr0pzXj00Awi43KXYvhmdMaWQYNgwzg0QhApaON
uKe7c4r5mAOVR/OxrcjGwUO85ZzHrnvWWZVjp8c7PTnQYg3MSPeyRvz4n8Hv3+FrSiWtvxz87sLo
p8afH3/hD2nU/M0GgkZ7j+nYHOusvzf+uOo3F6SNQBS1/ig/+0MaFb8xiKErkVbgHshf+7s06v7G
p8QURJik5q+jtf4y4P3VwCd+obMqx/OEK22bXiOWnHhaf1ZG/cEI+jC3bWYgs/Q3Mp6ThzAt/ZPN
wnBtTYweHqmjHRof8Lhh9E/wMcpXrzHHTzYSyqvScfOCANm8kJuV2z+N0P9kHv0Fnrt8d9Lkx+cb
lJbWS2Lsz+hPr3NrXwye4qyminc7VON9ZYb5knjgoV9F6bRnXYiVoWR++JvS/y9nYUv+0gW3ZMvY
4StmcXpKtLKW7+5P4FHatPBCdhGopMD/nFUQUToW6h7Y77pYNo+2c2Z/npNdmrRzMyqP6FJcR2/j
nM/fnA4rI4D+yToFKc7ghCcrHvGa9py6KvTVCV1Wogw6NmiIrD2LkuoVZZZYcLGPrnBUMFeqvsnu
QjmZ5doRcFhMl0M7phfH2XQdi35QQaGBkNbyGO1jLV/ROBY4IEnumeHwxmnUvGVj0T2EPPl3SKr5
MilYbkLmHK/S2vPDmGeoMl+MujaweTtPHcMfuLC5omfU0WWOS5HhyGAMYtotoNpNRubDwZmhlc9t
xyPaGXrUFZ/UB4F1nK4w2T5za8rs5dQrzvYA113XU/vi4odamnnSwVyZIhwRBDDgH1yI6mgqqd6P
FBCBgINrvsITUD14nRFfzQa/3CYOKsqaClNviNeYNcGV0dsOnVVHu94a2X2Tv9cPo+8Ck/CrSkOK
U2H7JLoixE/hDB1dFSwTNznAs4cxoqtjLawBDDtPQHOXicSnksJvEzA4ti4F4JZgXmyKNTIFiHU5
8Fj1UGKgX/NrRQQ72KTNDJYS3HoH2/7sgELdhrbO79mgjLsmqOQyq8AyVUvObhWYKEdQU+tdTaj0
HpUUXBBkoW9VKPtdwtTktT23d4ZDjMBO9jDLqQcTWHTxiZ6meOParfMeAtE6kCCaYdmU7WGK6oLW
XNmyDWFwmvS66mmiXQN2bpapRNz4hjuePJqVnokus38cQtImqWOHH6h5/Z3ATA2rP3eyD+moxRaJ
nrACxsCKBJY5HUzglGxrpR1iEBs+e49hgCx0wR2GpZ0eHorpHkkXRCNseycvesqq/Cpg8eznQC3L
NgEQE/qRu2rreI/TdPiWJH22ZDtYHIdLUVVv3jaVV0fvdH+lZAbyXsm7pqn909zN1jE1rRigL3qe
d55sWbwTF2s71PBuJOMuKqP9mlMdwFmX6iuCDy3NpNsWk5+x5Sw83faTyCcCgk5LLLs35uhxgmVK
3w3Zjm5t+DlrqCKvM+ifXRiUS4YEsZO8g01T+WSDcgiGxDzMqGg8Cjgb1uEA6LWi//e9KZwlWzGl
XOqjWRynpEkeBI9hboYhPz8TRn4Xz51zkR3rkbWBtIMre/nZppByl9qfWbJVIO04IfaqeWkjRh24
UD3fPeXO84FZdD5EZNhfG98uXodeeg1Zqh4JPBz4IG8bswMaC7eu+2LiBTQx09e2efFQZjvmu7J4
r5uUimtsE/Pu91s5Tee8T2iMctvGLvfRxGj7C+aN+TltLCMq1slgEeDcjz5uPo6ySonp3QacapYn
F7cu/5MEnqe4jiYRwAooBOSdz8jkacQBxLDz925qQchiO21uipoRp6Jeo9+wpyiM3dC1ZDWVUZNX
c2V6N+VhT9J/mRlXDQu7axcF8k4VBR+siMKNu9pOSQzmgS7sDenG/jhy1pIrk7R3ds7I1sfcEtE4
QDsiL+eCwnEigjX+Q1RQv9vkTe28GX2OH5c3J/HWaYAbfVO4mkKuLpxctvCVM0BkpH0o1NTZbFwd
Fyufgz3KwCi3CSUOXxrRfrLGQR97z4vtvWDhcgUHaaUbgwwIrUShW6EzuRFxdFnQbq8A2DEx4gYN
rd5HKmbSOXNGrZ9kQv5k5YSd/dXuc81BFofbjsF2G8vCmEHR2ONZpZRm+iGc344iAjTdCq/vWLml
vXXHGveGkbZHT0pYBlxAxhO1KtwFZsLtG8XYXsDozxy5Jju7ENQKidVzahHM9/lgTdz9eh3XC12F
ssrAVrvR54bfZFbz8j8Hx3/n4Chg+P3lwfH2Pco//gxm//E3fpwcNR44S9NuYMnFP2d7fwezO+I3
0zUdVqtiOQESU/9DKVA48QCDSBcgC7OsNP9+cFTWb8gErPc5PHqmWpDt/8HB8ddzI2lgzzL5OnRF
etBdfjk3Tp5Fcn0y5gPKImBye7qlnOevD3//+BKu0DYnMG8573KK/uX4NXSpEUhvPvS+xZ3UXRYF
K1fzlv5fleafHDH/q1dZ/v2fDnm1741QMHgVJ39rjLdi/Gjt9f/bS/zSKUxiWfFg5CW6+eqYVzhZ
1fzlr19i+RJ/aplQwPk9BgztKVKvcN5/eQk9phL+JT7+QeEx7KHsriMadrOs2nNqzvZ//Wr/8J79
/mq/UxI4HGs0p5/eM3CpI6QRh/1zEVCT3vBfUeaM2zQo081//lJCIqosxkVbLRUEf/71mI0uRyw3
/GAQgJ7GWHHSZHF7a7Y4wf76pRYT6K/vIT7RRUMDAoGN9eeXog7HnGjqqA95nXfnJG2XWp0YUsg4
j6sqGLN9QYHQf3pt8Fayp2MR7MKjwIX184viMxXSwMp3mPCIrSiJAcVcg4rl2PZfDTRLT8KvP5+U
esnxg8qgSPbnl0oodZ/L0mAlOYVED1KfMhWjcuNjIs1xhYeyui8nFpHYZ8LbLh3H/+L9Xa6Kf3h9
cB0UR7jLremXq2YKVBmaSdAc3MwYt+SOFXH24dNf/xJ/nRiXDwKTHPgO2idMx5E//5CjII/YerI+
tG0l9g6nXQjpjuVfUmlSqTxJBiWce9sCw9nur1/6n10/zOS2NDlOe+J3E/Kf7iSerUaBj6A+gHaf
tqVlt5iYDIwsjmEubscAj98Usjv865cVprVcJD+/s5xpFD8sSwYlGON//qGb1CjjgHzeAfxO/bVw
NJZW0GXUAgzcdWw/SQnzQkowU4KJRBK63dhY/AriUeynsR/2UVnXzzJkhYnHqIk3detccd/19oaj
2XD2gMoBwqyp+W4JyAnMdo8Rrk/Ezgz0/ZSQn3RiJ75pdO/gZCvfMrcEPus227QQ/aHDvWrje8Dw
6AEKSwwnvE1LtrtJhTCgmWFudN3Fx9BMnRvyfvrVyByOz6E9hbdotvomDdJpPZOq34aG3d+0AUa7
VTJiz8ML0507HFOfcEakm7AMibo71VctM+fkRwBNXYNBvIGVt1eyOUPQaz+N+aSug9+JvdE56bag
7PeogGiu0k6oHW2QFQU9pQBnl2Tb2AIRwk2of7Ccli+SuO2ZZMW0RUmS8LBx8sH8tHgUkraANN2F
Vz/uh69em03Xfra6Zq1hXZGii3m9aAZOqf3PYYntd0On4/xJD9q2NsMsPup6RL2Apdh+h5yP9RtE
ZvvMUEz96qhbde17ky+0vMGYDG6pZJAwLlrkMA3tEBSX3yLB+la7AjeRbX07d8o131+y9hgeIbfE
xiUO1EfbkGQcpnYBuIyf1Cw/PBxyr6O0WWF2RkQ7/Uj321TxltQhH6R8UB8zAo63CodqPsQVd4w4
Lfkl2D7+W9BwtLWNfB+oyckp8+zmOVoufcKdzk3GluK2zAYfdaUW+w50+XWgD+AIPbXfeDXsm4G6
qz1H1Dlh+qY+3UNs4pQ7mfF6Tt3gZE9KHmaheQE5M+RWMRC5zE0OsR33j0kxd48tq+H1XHs0sAKs
AGcTTGAOUz85EU5QzBtFt+Xkru5cIMKIfDQjbrK6lBuUeOfSDsDyj7HU9Lin1HDhj4vQz4ktiwdF
CPc6BbSjxMTPx9WyIL4jOhTvwyAw90LV/hekNTh2ozT8i6TLgwVJ6MC7VCJnZ+D76m4KKfEjZqTX
GAbVCV9dda7Q+B+QFPqj9kp97xuWsW/K0Lp3RBacB2VTXVYRWXXCZuGc9+ahCystwZcA2etIPo/r
hCLZL+2I584D+N1i2+uMfTGF7ncVJ+53PMvtujGa4aZmr/AlxG+xDbqKThH6fsytgYhFCsFb3g/f
TPRGzCNUnYZ3sunHdMs8bB5EI6YDgpRccKzqyRwTZN3JxfxgGbbYu05e7wkNDp9d6fdviIPh1cwq
89BHMtUbQls0ptFOakFTEe5XAV74VNGIeMHeObzXNEWT6Qu8u5EmvqfUa+kdZmBh/K2whgwymO4t
lLpdUNbuPeNb/j6F9nDF+jHejzBXLmNT6bMYnWnZItg3SQn7UlTAFsup1Y8l3uNNO09M0oPhQmA0
JS9QieXmlUp8cvWMdL2aTT9xVjkwy03kWgQY/cH8ruCcZKswLUJMxH2MHKybA05FlnlG1uy5NOzN
yPaSsGUJs7wYgmzTlFFD2CFU286En5gOeo6JRFTh0ywzH0Ren/I1bT8Ec+I51L06+Qz7sg+epCjm
05RM1Y3NImed2j7KT6xzauDsLPaOLJGpFY1jvcFZ5x1tatTB940QI6jp2NdhEsEp1tTwrdG4YLp4
kPXMqa6PRm0CECBqO+380De2sBn9eisp9FvjN+V9GAsOOBI03X3OIeDLULUtt7E+uaYA/OjTNKd1
y13gDTfrvKWM2zmQR+g/HDOfd6Ro7RuZi3w/FBGaMZ5h6J1JIb4wajbTKvUi/3vjdenz1JAx8GD7
Qn3lj8tc2+TtCYNNY7A0HdjOcDeAjUMinYDEuEkxbbmGWT0D998orCLEH5eXxKvCslc37KdxXbAO
sdLW/JKQmHyhbJ7cmh3yR1VtGQRt9XSLmTgmixIAiM1H/zVWYfHcR1m2b70u30PD8LfRDBM5Nsxs
jRLnrVmmJCdddO+uZ7VH19Fusgo6GiVdn00Qj3fig1PdX7wW9MwqJwiOzuhFtzgR+lthLNCASQDR
h/ADos8tBYFE6AZUqLh9doobMQKQp4Gzg84yzyCpSr5hE0zfgcZK/SjGxvzcwjW8RnQHAC3J3Ght
l27OeUazryHjz8tGyeCfxhmrj6ghwRROZTzhOR+GZRXVbl1rFmfWU/WxS63wmyf400ka68es1vaN
LwpvH2iKG2WFAMCn33D3DKIwLjAIPQ+gHPZ5XulHr9J0wKjaW7ttm+/pWYnW9fKwY7PLrid2xvtB
0/Vnid5bFx4uKJBP471FmuBdZDCZ85ILXPsqOcGHitaOqdptpsz8I+YZfpSN2QA/R0rjQgrucXoE
d23cecQMsJVqhTAZ1WW+d2tLf26ZRQl4089LlirnKN5QqbrHbzPet21C1J5ulI8+941PsMX89dyy
/9y4hv7xe0roh/o+mXyzo7IQuFUpLnaUGk+Bn3CTYQl9otS72xo2OP28a7C4FT0JDrOzX6xuUi/A
j9ULdOLpwpNK70gsGpuJ6t8NBUThwSEhdDsHRv2AJTbfIsFlW/yi4+X3d721M0D5jeveUSy0M3NI
+17dxDc0HAsMJ2GB3Xmm8IILcfd/2DuPJbm1a9v+ikJ9MGA2sIGGXiMtMrMsK8uQHUQVDbz3+Po3
wGMumZWqEtV7L25DCklHJBJuY+215hxzMHNSKUugRtksHErHxlgXJawLmtEYkzyUZ/tWH5NrDz3t
TksDVB4/nuXJ1qZbRxFAc2hOHCY7HK5knXnrNJE+7LmGPr1pZvG1WoKxRmtvPTkenavGU4mAsUM+
htjSuP1TOV1CmZwYSNboWHvHILF1jAOWQE37GCjhSxWPwxWLwrjTSYi/ltU0EcdpAucf62J8wBtk
4hub+ghqxlhvpBYjDnPwDrexjK7xNCmb1tBj4FqpeYjIS7vRYKIgFyqG61LWfLqRVDdbidLFQI6W
yniFtnUOR9DQj/Nt6nZILrDgERdRXPYNEbLLjP7zsc2HbNOy4FADZbI+aEJvrksfqUDVWh1IrWS6
RDVY7Evvh9WXwTHZR5lyBDKeV0s7BSEOxgMBXceyAbOUV7MxcWQDBIByY3dze7zosm2jZcmD2vI4
pcVEWe2E2ovqi/FSpGWNTKNXX0ZicKCph7kBXqSGCVLzYsKR1vfT0E+3VSzl3urFuLabsSIUXu+K
hTF2RQnvwqIn2nTzWAtp4XSrgqwihNRI8hldaQ1HWEI+CBD6gxdto0TLWUF3ExnaPP+ZSs+lkyq2
oWpMu8j2LIi74XY+o2vJ1HtJRktwheQQiUcbpncooKs1LqtsPRWBglImB5FnmODNxmzmrulZeWd0
BkGecagcfK+7aYtRwjSij9xHyjeb/IONJrInowUxk2BouOA04lWi5qycpl9XG9uu+jVxLvoWPH4H
Y8xrDqSQVu0yKVW5pkIM9sVEcnmDapR0KJrQtZV+kZnypZ7Ma8QoxkYf+nSu28qdHWDmg5dzhKwO
JNAGDcRqhWla6ZaaimjR99jeITx5UoBUL5vIwBIdInhY2T02i9iompVqN8oOubxYJ7LgfLPChCDS
EmzGip1dDgUJnBkxK3HnQ7QLEwQ4TL/aLfGqwWe/7Uw3HrQET1ZLMi0Z8/ldIaCULxJfRe+R6sEh
iKziJsvi4knxISnxVQfFpRTtl6KT1h3ibzGsEhhCO4wm014PHYB2oM9cJYgxnpKqIW6EXU03kW9V
dwUxv+suxZGxHIZZfDNZ1noAK4hOIkAEQULoBm4V3Tg1Cfd+pI1gNxrMotWUHghONdwpTkynWvW5
jwh3Y+PXjg919kJ5r30a2I5fkgDQqMtKN/PbroyQ6+t52994E9lAzYiWKlIQhDR2y6uYpgjlZ4Iu
aU4Vd3E1eOaLCAQQkS6YxmsBFew2M5t804Zj9cmqqK8WqIn0q9F2mk9xEsg9YbXZozdKwgrLrDUe
1PkLaWkpnvfADtwhy9pDENpoItFaPWaNYbpDU/b7xPS7A7Hl8ZdGzLKIAFb4AnW2d9PJIv2a1lIF
cqmJ55pcLAi5XiH3WqyLCwSgdFcUNtgMtTJIC2Et2jUEZnFvMABbx55JGEwITuMqV8ZvcSftJz2X
GQylCSuozwDFrJMIlD2TV2q8iU9hQKg8cXsD+SBjxUoWJRGBQR12VEuq3F6+tvuRXQU+CWNiTGFj
KC6mVR2mR5SuT0PW0NBilYfKC7A6c0ipirXisTIiEsmshO4FYu2yBefjwNxzrPSYx2l+0UyJvkOp
Rym19tPRIxyJQAu7xSNZ90rqsl2ylG9jk7Twyitzp7WW/UAa2+wTbu0tuxiYkSRf3CeG0lzwUcRa
B6HgedCM/D4q4/KpaDHUgms2R40pTBnG2y5Hr7yIscOwmWqyW2FoMNJroq4/x5VFpm1b9bDQ9Pab
39s9o09buxgcOzsYVLZfsoLkh5H578pS4qspn9OpmDYxEyfNZdlzqy7iDi/ewimLhtAn27+KKIYW
EWOQem3bZnkJWBCjUxXpcCXl1wbb3KLlmwYwW+okGZPMtndy1DSxSpNB+EnwMFQ1MSYjEV8aY77b
ujDyF9pgn0VU958FCs6p1WuxkRa6GiXrtW1UTqzshWLgOZwdcDBvZlVlWeE0TuAAeZhjrKBVN1NH
LJ7JE+8qdi62QWAhBoitkcWlauWOJBr2ppHuv4C1w7zDSrgwDcXfMJ6WR7Y6fE8wx3yeo6lXhe88
ko3SH1SQEVv+FoIthrK5E6H4KhOb5BOaWi8+bEycyb0NK9MYo0sHN94WYy1XLLdtMvmiWQPocFEM
Tz7KLhDHsMsRdbYhL2wFmATUYrccIW9uTNxWDdL3G/YgDyzI8TWRZtaesTljpr6x4LBm3nPuxIyi
KkDbIL+iK5Ap+JSAF8IBq6huhxp9Iqyz7GOGDpYKF8Zamja7xh7TWy9UrBuJ3W1loUu40oLO+K75
GfJI5MvrihHf3ssAsqHkCC4SpNF3ooicOXZh8pT2U5Qp6NiZQaYst2us9GD2m0G99bzWcpO+aJd5
E+dbBuTJXcOKO2N/irXjdOq2Stqj3yK5HaRq7Q0/H7dNX30OnEy6EURNUsmaAS+fVNBmOt0FpZzc
A6PGZuSXMfVvnn1vwXjCW2qKF6OMGL3aDW48osWD+CVnhK8etKL1DsgZSPdRwp6HrdaPJIcM4IOg
IDhXYYKVfpnDWhwWBvpbc1MSzMnWLKicq2yskmOWov9KzRFjRYiKuKCFdbT0GvQvwHh1olSpSqPa
q1P/RZrsGsAFpUuKKjZJZYfogtTsHUJsbc12wlUY7u15/1EhpNZD6lMbCy/3XarCZEW740uth+0q
V0ccARHf17HvXSaQz5ItyICp1KxUyEMJKR2SNpHS2toX4ST9QeRgcq3SmPMiSODxPc3tgAp/J9rE
vDFVRb+tB+d7SdjSg8+rd6/rsgpWZp2jG3CqwVvhrJTwlcx8qzpDu9bDMltZjQ/jC9DtO0HTr7ug
tH6FygeaFjfaqFnO81P/1aiJ8CXIEb9iGSV7Le3uLYd9v2+xu3VQZ/wXnXuDYYsqUE3Z2o/Y4p8O
51elqpEqyOHqxjxiptuyAxiwb0n1nXGLNptufu3vcmaooARluI1D6MSU40zTn01ta2r7L/WPJv3o
tV8H1O1obBLtkr6SurXsSX0mHo4dJfL1/6J7bzi2BZ/FQCf2anogjYakLLVy8T+IWxNZzWXh0yd9
u5l9brLELZx72CqDzx+d7p8uqsAi3YqUGcyPcQgAOfqReLkXmoiKd+7fuXGEwHAzs8ANRozzT/np
UPHQZt3IMN7tkdqv9D7/bNn557dP571jnEx3MPXpQMN4Rki1uJyA6wk7vX37EGcfDp4/jZvD4yFf
PRxOZPeV3lRuwQfs0m9VfU+eK93yrg+fAoVRC9F4ILYqeq0gSdQdeID3RjuvXz2cYiZ9VN4/h/3L
yQBCEIhhKLlTur6GdqbJG0KetLjEZhuVu7hwstXbJ/36unI8ssWRB5q6Jk/fPTjKqj0WRumm2cAq
ZY3I6TT5znry+lk0mKFju6O/M7NtTkZJjq81UwWnAlS7P5OVkOYSm3UhIxqab5/OmSNxErYpBR6+
2f3366PoIHCbxtHOXZY2fAlKfcD/fCyq6OHt45y5TZoUuqpxr1i5ZuDOz4+8VaSx4VQydwnpXVfJ
s2KDMYyzZVh6+7eP9COU/dclC+nqT4c6GTayUbWQhnGotnPo3mUC33sPFnsxOF27Lrtsuh8xZGxN
mqDVqhS0+NSq9D6hhsVHMWHbjhgBAXBmL52SVwJ+XEzx3rSjYt/AYd1BK5suvYRiUJSkOLc+LWOK
q2ad6E1EvFeXDFd93tLGGhHpLNlroxLCQPHOiQr0uydrM6NMmvsqL4BmmKdTv2Smlzuk5LpTHTSP
DjCHK43gl9GywucU5de+TdDIV4n3qRpin1glmF5wN3aWla5DxOhLrYQiq7f3qUd11CCizPIUn7Z9
OSG+WpBqj0MKQRZqV2AMXhXhKPJ7DF9Vp8u9EintchC5cBlw9aumsXX46XG0Yh8vL2KBliEiWhCd
aR4QrgjiUZKAIzhDh6ulKxSPpKu9SK/P3vlonXnWdDydKDj4ZvHdP3nWvLSDol+NXJdIqS86zTF2
3PWBeDayBGfsdu++/ci9nvxippJCEAaB7AUc1a8Pd5kL+MJFmrvO7GOh6ZKuS78CImoUzRZZaHOB
O0o9itDx/5DG/1ul8JnXl7G2alkY08BCn76+FTZ4JWgtQi3DcXwiBV37jEpLO5qaFX377ZNkystq
xIaHf53O0BmOUHSObeamXUVrtNPo5NMOrldKlFU7q45hFtVM2RAJ63Tu3j74mfOkrjIsBmJIJBg2
/3qFJWHu7D2zzK093FZlnx19NIqgecbqt8sAMS9SmkRhJB3TPFkQ2QjWfq5Fiavb9uM4Zv1Kt7H0
VYlh/PZjSrmBYAphFDIM1To5p4KYxdbvWvi0WguTyaL7YkTXfW9aG3afX3/3AgoVajb1DcgzZron
j6iPwTETCTBcZuuGqxTjHFQ+0titCfOo37mGr19ADkZpQ2lgMtU6/XyVDIgDq005M0UcA0N5LCf7
azQYR7+33qlB5nf518WeQ6HPsTg11nzz5LxS8nrGTGEaaxQJbI9s7eRmAosDQOeUdeAAoQ2/fSXP
H9GhFHVmAdwMnPv5S6aIQgLM4Yil1u1jp3jOR+1oVHGJnhPpd9DqF28f8PWzL1QKb+JtqTo44skT
adbsOxqg9K7StnvYaS6hutehpb5zmNeFzXwYNDIGhFIu5vzPfypKO1sdQlgqsdspunJUZCZ2sOCV
9dsn83qp5ChwWWeiAPYK++Shh2I+AAHTCIAx2Nay3VsmUftdZtZtVDZM1ewJS0P+ziqpv/5SclQW
DomZGKTf6avmpVPjoH+JXcccaYUlgLSXWUG4OzlyynrKmGTVQE71hZILmGdANIkBQbe9bYbS3yUM
kwi3lMdpNGdjQByDDS0oDuayoIQTfkAbY907em+5flOb7/z6szfGdubNj2Y74vTGMJcMEtqbMFsg
x62j0Yn2ykCz4+0bc/YpQ1cpHc0h3uH0nU1FyWfEzxMXxwLArbxz1Vg72rJ5r2o588KajkVtyzpE
5sTJA2BKAiKLMmMhGgqDabYX7AZLHTZvn825FQhECXpEm0051+7Xh3mKVH3wWyVGQVAjccYRw2S8
bdZ1nbx0kfj9Kpo9IzJRPhlYLol++vVwNtp5TAW8omPsfZ2vXRVat2nlPb59VudeHkKdLIkkl43B
6WM81DE01pyXJwlN+yYeNfrsnvmVjmu+qXzT/tInRbRDxVK/86k6t+ahiBXU1UgGX2166J+ogSG6
2PWRxzeZ8jxF/qaIHgpCX1iu3znauQeebQ/0TcHO8pVaMOEcpVXUsUtuZrxNLVPe9nqkrN6+mNq5
Z4SLKHU+RwYy55N11Wn1gXiEMnbttlcfcGnmGwXF8cKLsNLSoJf9PWZNso/zprsuxyyGmy2NbWAj
7JpGgh5NPypWWum166S3Gcq2bfTe7lY7e+VxyM1vpgGZ5eR1qbxaNfs05WszCHqFTfmsNU6+RFpS
g3SyH1viVJayCOhkZsQKxH1X74gK+Rww1p0I9NoXoOh3dJGchTUqc9go5/H2hTxzHRlsUYJKQKdz
ffjrw59IfkM4UG7jPv9aTBreejhauZcwxB6f3z7WmcsBwIYXG1ceStnTMkbXRhUmTUNp72lfVRoO
pDSpz/UImFs6WbRGM9y8U2Gceek0jbY9FQ1frFcldlclgOH8nNOLzCcgnspSZ3RPM7OaFoY+lvdl
1ZcrRrKd+/vnSnKJM3ekKBBPV0qhOGiO7Dp32atdlVZfIc9NsKSRfhnE/gMUE/+d0ubcneTS0gbQ
wemylP16J3lX+qYWZe4qKlk1MGYYTZJZdtuXTuqmFhvpt8/wzDeHE6SGMviwUSyevIHgVwQOVy7t
0PlIuEXVr9QyJ7oXWdx/cyhHdQzclCqiu5MPQiFF2KSQEl3NybMbXD0gfGRjHcJW095Zvs49owYv
1OxDmCXP+q9XsUMXk010BlyQQMc2yL+ZZnlMoOxCditvCTxrfntzxAKG6UI3NV2nQjy5bRqpwble
T5k76bD2Vdl/rNpqVdAHeOdAZxZmtMUq8WF0nrFxzPfzpxKxmHpkIACH3MQ3sZkNW3sqj+88EgZ/
x0lB/8sxTp4JR4lA1QuOgapXWwAfK/a1WZsf9dbyFl6CPTMEJ7cw+4qoDyvy7/O+InKeeOMtlt2Y
5l+LJCoLGfcQ0UbkHWmqZCskbmgQiToJEdzqAAXBxXXeJ69Qs21ao9Bgd0s6FrhEYDk2am11GG7g
wyPYA46ifZycFMVFptXxJk9reKFd6TlsoAb/OkpUqsM8DBdZHFbXASzgLViDcZfAmbvqjCC97IgQ
IifaOYZ5XC+5wjG5VPRNFwFqIReFEiFN/VQAcQ1MFINxf5ELEmhmNszm7ct77tnkKy41nhODOcXJ
s2mVddmMFs8mWsHncmiebfIEhKFsgOms4Wzm/8VrR81NsUf7HmX8yfHMYMxKwx8zF3/k3HO6gsi8
I7v1neL1tb9A0CsFUUZtMpvWTw4jhjgwqsHJXJSkt0URzsZJ+0sZ3zOJumQqTWKf/tmvsne2TMb5
49Kl5YqyuT4tyJwiLdOiN+mJ5OP0FAwqLqFKKLeo3cH8MjhnjwPaxVs3cVeukgylENRiFvJS73Ym
Ul8z6pWdobbgWgnrJIjd6Hngii3GD8ZYTvQCeJKN+oAeKJYTsSqNZtF7IaLH17w7mMf10p5MwF1N
JEALTuSuR/wekCTFN4Tf2k1kw90tQPpscHTxv6dAnYK6idZSkfpDaZjv3YpzazoYOU06+BG4IfMl
+2mNCNXaTLO4y1y1eSaaZA6HUbexRgjJ20/yubXop+OcFka4UNMkd0gAs81EXWb0G5YpyYpvH+Tc
B9Ey5A+8HfaAU0SBWmJiLcFzugydIJBiy2Uz/pjH8D+CenzHdHb2YPQr2bM4uNtONxFWxWKUATNB
hGOl7ESnbSeKDTIwBJVN+M7lO7cQWLT9+Vpg2XtV/CbjaEB/buY8k+pWr6W11LzxEVzJtybEvBVY
71zJV7QHG9a+ZJfEBhYvlTyd00x1kXB9qdOiIQmweugabMqq3xEFLla5oQSuKMpmORSO8TFUvcAd
fZTNsJXIYvSBBjiE7d1LfAFotD0fJNXbd/rcY8t9Nmgj0b/Fx/PrYwtdolZw2aduXxbfDMd/wBl/
lxgMk/+L4xAFgdod99qr4qDulDEoEOW47EQLujnNczYq/Spvq3c+pOfKVppTuNfU+d/kyXto9A4y
bgRYboNwPKjRufXZbZWb+8jWrpO8PKaJ806j4twD/NMhTwvWaCLYLzfV1FX6Yeu3+TdHJChcrX2V
d+/sOYxzzy87UoZklI/shU/2RU1vi2IaZMoyo4+fm6D43pPktiRnzoYPFvlLpVDCZcqKvA5JH9r6
ijbLsyqUPyTjPYIeDB69cuYM68iWsbZgNgia6s6fHNKHsgRWkFfbm0H29oNtsmouLDAWC2Cq8B7j
ubWZ69/VXkfTTlDkUKikm7RXeBKLdUPJF9pdD23ZCNdtOup3BcpLPva6+c7TdO4qOLNTlxYHz+3p
ABZmQV1niJTdqSDCoZk0YiHEo1mYB3qmOPqJy3r78T13i2d7Bo5BSbP19LIXkeaPJcWQG5aOgjim
rYA/sftdGUQpe3joEaa+fcQzp8h3fXYbOxhxXu0uHWu0gWEZiRs7vlgHFaTMLKBCG6O8foxgC7ro
kF7ePuYPvcZJEYr2Ruei8oqytT15unwFVJ1lJ6lrpZOzDPrWuhOB1i0zqDQHQoWSh0JPCZwSSLZ+
6JTtAMh/2k7NukFLtFX6HsnsOz/qTBMTVQJdn3nVlq/2vv5gTmQR8UbXk4eezSD3EFWasam9ak5q
tEgos0zkU2aydvwqWI7MZJBfC2319g8xzqyVsy8cOQZZLAza9F/XSnjkvpU2YYpvOTIYjczi5tBI
plsElpl54HbJXRMhScRnQdxuQhMZCiZzVMDI3U1v9OpmHD31KRAU3nozqU+Uxdk26HmksE3EG5Q9
5hZd7rcRRSZLdrcG9ROsEQyKVUVMshtYpYRS30owYwc9j4272MiGa15bnChwpKfHwG6dfaLKT2o7
xu9szM+dPxMwPOhyntCfNo5ot0VJ3RicfxIPdwH+XHcAEvIYgoPevH2tzx0K9SVaA9zofDbmKuin
aoqhU1mm82fJycmEKkp7tvQMRbx3gsR/fPtYP+7b6VM/d38Ndq98Bk+3/5liJW2fhmwOOhMkTcPA
GMfHJLStV+TdKiN3+6DlqnfTDHp/BYHGv9UbuKUCgvy2yNT/Bvj8n9Gcjzni0/T/F+Dz7G7/6dbN
uUt/5inNwU7/+ueKhLoq/NL8I//+jyUEpfQlpI327QcZYvf1X//848//BX2G5aASc0qLD1UTfX0e
sT+pz1J+YFlFSEpr64QCZtgf8CM6cIlozaDWsPgQ/BWQZH8gVoHpF4os9lw6/+g3YA6vHjr4ZECf
jVm5YxoWnYVfn3AIObEWjIOKpJ0oSP974ivXwwgiFaJzRnlPkMa+Vr2147VPWqwsIqN+Zz1zTkul
+ScYzCIMtFh0NbST/klOw7ywyVt082pUrzzxNJL0XHfxmiQQP9YRhTfIoJ2C+AeRIM3H1LWlwM3W
vf5JQL6fglVWKP6lOgey5vamceJFIbWrMqBlIcxuoZGappDEulCLLzQl+D8hH4bOS35aVOvr+T+O
pBiIcLyvp3wbAjyulfVoOq4gZiEACG9dlGqXob1UgTIRv1Ibxkolimc0MhqBiDx4JliE7EVKvhJY
uYNP2OsijKZb0dQwX2ekKlEYphnZILuMGl3HhVDa2yTI2jWxlSiynebWcj5pzMNqXz5PNb8gjTBr
Wui7LQIOSwdxfLBu82TVEVwBTezjoHhHqKozwTIlA7n4DHhZ3YZJe+PX8hBp2cuEfKmJyMCz+mRr
4add9FilF6QyfkkHAmXjCHzWqPZfUOmsfKutL0AtmosE6lhh1RwMz11sXPspFd2PV2YOPSPV7OaP
de0PHt3f1PeT//p//oNl4z9bf/5foskz22UJ+JtT8mp1OX7Lsm91/e3bz0sK7+X8p/4iC2ofePUl
X39hzOLFvwLX1A+8x2yXWWbQlPHvf8NhSFWzbBokNjN6EPTQ5/9nPREfMM9ZyCABbTBfYZP9G+uJ
kK8aiDPKQnNQcRiWyiJ18jZLEoWUgB7IjkSWWiu25BqB7ZibW72+aFLgzWTCSr2/YONA0lJdjiut
HoytBNXqlqkgNdz0eJ5h4WtXNWErR6inMTYcFW8PvkVz2VfGOvWt4SkdhrJcjSghnh0/0/Cjqcmy
dUxY4QHFqvTk1zYrml1n1P4WrhmKdKCi7LSZMSOsbRGRqyrMeEPki8kZ6g1RhOkyyWyyy6Ixf2JH
bD9nVZ3uyPaZNmpobdoaAB8EEnwmUehf40uz3WwMk6MO6IksIvz7PmMJK38KtLbc6lDH9nXHwHvl
s5K/eDazogVueagQaeX7lyx5zX0cNfYFYmz1Y4uec5Ul8rZrNedSjYxyZaPp/pwQB7xwQOOSvt12
qxjZHnMytdpW0svcPhTLmDzr27zI5a6Cc7fBacFqBUr2OpPO3s/ilZkP8Y0CI5nsEzwT2tjbUFvq
HFteCY4MjuO6L4W6xAYoSKYb6l1bT4rrKRP8dUx7+6RGZx/rJbnWCphbsnLzy9IKZLAmapRwV2ru
oxZiqmK4IS+wYZlbfJbpRqfLxd9aT7dFRyqYDBU4ta1+tIZ0+DLGrbWue6iFKCzq2ykG8tqPVrKx
cPPhrhzGjyKM5EsLE7Ug8UlNw3oLMDFCXYijjM+k99DZxM5FkWd9talex0uswdGlb6YwHexiJikM
Tbq206RbhYFtuyB/q01pASIfVU1f24y6CIhiVawICXuxq6z/7kOK30xqNtjwv3F08t6IWzH2dXIx
RsV90GrRvT0wXVPQxRiYHU31UiGS+GArcHZzHFKYdJ2gWKOTJjZI9+xVAEd+j30vu8Yvm18mvXYf
DAqp3IohSkageXw75CV5LIARrvW0cg6iJL5uUSQChAalbSrdVkFmtqnqmPQFpxVxvJzaOfsUPmeU
6bhhpqEyNoEo7KUOeRdvb65jCCI8apnh++MrI1oy1nG6piujnzp9FZW+XNUawLZBn9IbAG5INGjx
BG2G6cbSn/OklN5Fibc8OBRa8gixQ35Mc3OLa1hTdnXYCk/fJg0Uabno6Ac6XyYxluHa98bpeiLE
4KZudTv94mQG2GIBEyHDUnFvFoNxU7HHALacgJ4UXh2tyezE05Rkzr7PpT4HMtXJiJ7RKj4Wg5JG
/TIcO98thIyrez3pBfFBJvYEwg4JCczlPqtNu1aYSUa6es1CyXVPu2LaeFZEHsM69z310xSUGHtU
CoarcpSpfEQxq5fVusbudJsNTut9jebsdDOcmNkScBVoQhFrFfIxT64ZL2wnbQmwrgRsjaFLSJ1Q
idB6kYpHbJqN4DonXiohBjq3WwxzXVtBV5vxwuISTIDzkI6F+RxD9+JJUaHo7Wh8qPgiyx4XfiMF
egKjiTE3Dx2BGSNoxVWn4BBcNGQ3OOvMjDnklPiVBXdDRfvkT0QPxnVCtrJKHBxoCsERm9jzkgUm
edzHqR9GxqIjnTC/lphNc/avbRkYzSFOelNdIZlQYOUM0l/DebSuh84aNqYgnEJVk47UX5NrvLRo
UR5pNuiHylLIto7zqiQmPHX6bcQo7pKsJSTfIXtHQebjyoyTOZa+NeS21fRgm8nO3uZBFd9kenKB
Bwp/SKWZ+cUQmMHBKwoJBq8RwBlwefBSdWFRrtqspamCj2hvS1gTCrFQvKsR65dvhWvmwsxOVAmf
g/gnxs+M4bSl0ZvKwlKy7ArMXv7RxnJ51SDG/wSUD2qLbjgH5vfGIilJao8H4W+bCvY4W602UReM
o8Yv5Vi+8I2qrmiBW5teesoyBH9oL3S1VGlSad5mUCP73sT+cyuE4vFxyJJd4sv6Om9sZZOQSbvv
MtX7QsyReTN6Ghway9+xdHooOEP1KZZauCLY1/7UaeWQkzyqFzBNyuEgJzldgoyysR0NRH31YwQi
3IAQX9LIE/6wARgtFkOjEg2Ml0sDxtkZAmmSN91YwEzWQexs6yQr7ieZE+tm4V3Vqmza4iZiWBFp
pGlMNYbZHsDF9Qybg/sz6PYhRBu0ZoMKM7IyCFvj+HeDg0Fc14g38XUvuCG2CqPnFMQQGhx/a3EC
G7Qi2B61XgQsjZN4Ytdc8S0k/Om5s7E/aBLADaEMhIOSTreOCdN0rbo0HkkbLda6Q4h3odX+Jgqh
l1ck713Fal8+EA1ZXpIVUN0w4XIuyEzKqPWz6AK8OyJUI+iu4tycliawETeZOqS3IrwYRUBrMW/Z
SZADzF9SW1QC6YTB187VZZ4a6lU9BGmzDHnzb0w4BltmKdUzNJNlWVvxiqi65raqTXYKIrWtXQrL
/Ta2gumgRXH+0mMWWxRDqq7jMVchF/mPXgUKGJ+hSvEgcT0po7EmTqeyFxiFcHp66lpUfnFphqEK
vLEOk/nrX64GBXcbYk1AmgOISUVvEcO3tV/XCwFUzZkHgtBYLGdZAvfDu23TEch8vVmW6axGxptl
aWhLee/tyWBC0lZds8q90HzWBwDhRJFH0GHpGPF1A38JJqQjkEMSIBghi04WfkqQ37G2xiL8Q7bx
v/X9cSzoATx/pRHzVyPgl0odpzfF9b+v7++b5+DMH/iztNdUB1ajOgu8f0y95o7Tn+W9pokPjDgZ
+yP3mR0/tGr/goYTBfU3D/KvPoH8gDEB2SpaanMWFJq/U9f/GLX91Jyi44zcR8Xkw4pHY/a06UbA
ZxjkI1BdJ5uUKV7afTGOGxDAfNBSYeziATjQsvP94lCbgtydcQyJBQYIMpZZ5VZlnx+Y5g03Uds6
ayJDho/BOJo3KW8+JVSeDABfsfL2aguGIUXt4vUfFTkOWUlJ39EHvQ+8wUkLt03BmVp+D8p2hjwp
104qcEnmTNLQvWMwy+3vRiHHsHWha6lDt/Nlq4XezpODEu0daZfdXdFxke+UjDpjDcJDF2s/Iof5
wLUUxjXZesNS5bAsepiXeU103nmmXmPzsUoFied9El55aRpsS6lPxnLmeuHr1GH9NLlBSpuWr5Kp
VV76IA2PdiSqclmkQUSNZ141Q1XuJnICNkHutc8OWW2AgVMq3zCuwqVF2b+EP0IPfOkMk9SzPYg3
hvf+AmkCSNq+R/5w0MGaMc+OgPdcBX7cKbuhz/txFceKP94piBMndaX6MUpBTxSmLrd6SBGy7TyV
poarqVg653WIyXg8fLQSAuMuC0IP2f1gTtX1tNv9747/P6HB8sTNbMd/vyLQ40C39pz9vCr8+Yf+
2vDrH2jzs0PnLWaSgA7x71XBUT9gZdRADDrA6k3Sf/9nVbA/oOtiwSBMAPkcgt+/N/2CDgKh6AYt
bQY7zBJ+a3E4VUmCm6V5Ry/ConEt0HdxoJ/b5OWggGdIau2QFaJrSpYBqOBuZXbh1gvUjHF6Hoyw
C6I5nuo+HNC2DwWD2IppIMUwiLBM19iOofwEKxdZE7YS7BIiOvh6Sd6R42VUtIDNmbT8dKX/7EL9
A0PxDYPqpv7XP+df9tOypgPqxcQ7z+5sevyvXKd2zZvMmLY6YI8cPpJ2rCyB1oMb76R6BWmCD+fb
B6QP8+qQ9EaYxZsmLWHu5slMQQkTQEtt7h8sy7nIGwnBJekQ51FEC79UISMqvJ6VStQCwr9yWLai
k8J1rLbzNqYP84KVLJxhUB2+nAUrTztt9YaV1s5CaazzrB0IvhbaMdHxMW6Fl+UHrOL4hfwwY+sI
8J69Q1mVRPiYeGFJBOgzrrVidcPHZCpteDuT+QybKq8XEZt7pDCB1/lrmg1RuurJTtYx1Cm1vbS4
I8SDNnXbbpjgj5ejFerHSjN4CHojMYG8peF2REuJWamBukSmcQwKyg9Hf83EeI6/m3+5GogEL2Dg
60dNA5S4CGXNuUF8KD8ptKdvfOKi5k1qaA+gBPXik971fG+sXC+Da6o5ftGP4L1xIlzgvipnRMei
VHTtqJM6XjOkQnR5xfoplY0lR6t40g36vvuGOu9Z+nUyQWjHbf9xon1yxMOoD4+FrQ3KZ0NvuHJh
jYUPiHY+5LuqsIm26zCITlAhFA6dFB3/lBAqfh18tCyF9EfDeKFADAhuPNLGrEUOFSoADmRw/jgv
zeeoJxy4HS3n4Y8totMD01+x6b9FTMNfrdIa89fhKLgLlmia+inoM7aEghBB+hlM3Vo2qVDbF6GS
lD0C+6ac7kY2g3yHZ/PsgWF68n/ZO6/luJEtXT8ROoCEvzzlSFaV6EWJukFQogTvfT79+RLs3lss
6pCn53piR/T0tEMBSGSu9a/fRHupXok7k0ro4+XB+8MK4+DXnBDErnUaZSXquU9RiC0RcWkR7o4T
Hy/jTRxLaqwQYe03Mx9h5hvcZANJ1d2UgyAxLXDDTWbXBjZB4zTfO50god72MbzME8yZMHbry6cw
6exP8xw6Dxq5kpfjUGXXOG6FT2K0SD3S6PbWMaE9TwWH2JfK1JOJ6CGWbDQSeTiMQ+etowQO9jrH
0XHei8mxpy0exP6DBp+uuxGx1JyNPbgsG0wxeLxjnDvNld5NNtNZO9QK2AQ97kE49lheJM1NwooU
P8Z84t3FZmWNv+Zk7qtH/jRPfkHXmm7jnNY6cZhorgn3tZ9aUZAZEJW+cT8L9eazVKudlUbCj0MS
t8zyLc1W9ciT4eNysYuUZ2lVjsGu1bWq/YqH/3TLLIgPQZMuDzgW8FDOUuxBDrYgphGIoG3OwyEp
0x196nSNeL0+77HUmY4m5pNEcpQ9V3HQeEp0B63mbyci4PM1ACbRAj1+YociSkVzn0qpaQ8a3vE1
KGujNWRs+/ySbDbZfmUOuvU5tvQ8vQ2GpDmfMNKvCRsyzQs5MBNeyTnnWTY4q8XrSSfyACpcyIOo
9Lw5DzIvm3YWuwq2TVQ/RCqphZxSW007bO/4jp1BfRRdY/FfmUaTPbSwSnEf9wQerj3Di5yvU+b1
4iohCLpee6GRlj9cczSw4PeSkHFJzjW1NEwmvNXCJvnWGM0YEs/Rh92zGXhd+qVhhzDA9gJpN0S7
FwXDlynUAEhcRliYHKawUFaUx8m+rV3eOQEsxmVC/zl98fqgTn/abiEI6gKtCrFJ04n0uMo5f2S9
Ej2+SxdBAW4FRlM6Ol2eMMkfpNTGplSDAfstnkAM4jj0LgsG1V/toQ+UhdudC5V6XBt52X+ey1nb
4k0YbVgY7drsw+jCzPxgQ3JbTJEVw1GBETVjtevm9jlWnY5inia1Fn8JI6tvd9RtDohHWc0BUVwV
4fSVpz+0diXWZq5/08BIVl2ByDidC0zPonHyzvE7Cr9nbeD+nEK8ngsa/yv8PY5Ay/W8TbNmusEs
I/xmm0OxzTmkSFVpzVuPGMBvhhWB1xaUhmiwCHHRO7e59kNM5twqxf0Mk9bsU1yF2WeREGbl6223
k1qHE8UwQenFlW075GN1NWQyP9oWcm/GYNkN23r1LfH76G6wsuvR1Seyxmrcd4BZppWelMXZEJfx
Xdg62Wf0EkABTVcURxRhxiZLa7nPND/dAcKCKiA+xaHNddn2BrO859CpvhZ2XkWbRBJ048V6+SVy
HPVoMUnBNd4mmc9BJHFZOZO5CuMhxyPMbX+BZDabrLeIuVNyGmxpxSWGZa61iXSbWd80Uw5s2kYM
h7rNyzMvq2dE85lZXigntV1oGzdJUFZnKoV+g+lL9TVJm2rklBqciwLIZ9jOudtf1p0V3PnAmGda
K1MceCBKod6WHjQMx7nUoq4+sGHP5/AP54tRIwVGdum4ndsGAzMw23Xdz8k5OT7O/RAP8hlQLjkw
O5aHpmj8j3zXT8axlERQKxRrDTt0VECnxdych6R4N521b3AgHVZYWHPEsGzZ54oJJ9OVyi0w11o+
8Oc6oaTT+fsl0gnliB+AkoX/GeyGmJ+cTpBqIBoPh2EsLjsi6NMiQO0xmpyCBIdA+tEJigvYZj64
qiq7XleCCIFheaBXwwoendXrGtYKJKOM0fb35GdUjzF6BVq2TlDkvH93zOfeXIf5Fqo4yk2BXOb1
dYaoZMzqhwFDFVXiuHrDoVFM1aM9BexY//5i0NIMHicKljeUEoNNRAupQonuGv1tWUbWRYtKlsxC
mvD3L/W2koaWAEpAM0BEmXsq3K5D362wH8V3yZmNy6Kn9rchQa5xUCoPrWLp/evrqRBtcHIUpRgN
nBAXUIaxb2S5vZdTFDy8nIEFLvP4pRYt5VAbYyTzweN8u0Y8FdMN+AJzVNinfL+ysHC/zlJn3/ex
co/RSHo2ADbev7M/XgVqkw8ngr5cVx/o76SjQIxkRLbOPuwi7HCI2T4DtP+ISvinq9BQMt5i9su6
P7mK05mitjXuxa9bb+PExDMiCf0fvCXiSwCOPLod2s2Tt5TWOUmtuIPuRdDEGLqinMI2fQTcnIPO
uOyqaZAftHRvtw/2dLYQboupA5d9/fiKeAjmMXOsvVYGzlejx0Nc6gOlSA9hfVt4MyM6p5VsXu+/
trcfNjwx+Dqwh9DhvVmQyI9jXQK07FOFcAUEHh06Z/A2MnG8D4QPf7hFFgfUN2pw+JGne5WLdxGX
ysV+agjUxkagPMiWbL7MYsGkqoOb1Kr59/cHgcBDHgQj542FwcCEw4wY/e8zh7yBQoF+me6BgOmq
+Xn/Wov07PVu7INOQKwlCNBViQ6vX2IZeY2n8znviT/yPUYWOQnacGKz22qQzWWZwJxZBTNl8jRS
143UWu3lUA9TsLOIf6e5KO0nPEcBIiPIOqg0iiy69lKn+kgt+3bfQyxgwllnN4fFdUqsL2J7JL08
YIWTGm+u4yCuHhOVwUwsn6VSV33K+g+ezttvVymdqSthTGG9dGpJEGbgJQFHzF5j8t5gQWrSP+AI
1j17jcGJFVWBWu9JDAmqz+rHYcC9d2PG/nRbt6LOsAzsZb2jSorPutnIos37P/BPz4SdcvGm4t2d
0pT1uo3k4PHV59Kj6NbthIh5Et4xuyji1VjrH8E4b749hygivgagHJYoJJfXy6WOmX5qDVaqgxXg
/qknzEIX3JmDlW78/bv708XAjbAMgdbHcXByMU8SyBPWODFPaPCukwJ/Y7316HJsvaJLev9ib141
d8Y0ANIOjGO2M/H6zvJUM6o20GeMtG0ayzDuWFl8iHSJ71/o1KRBoMyEAMjZbXNzqDTVL/n92MHK
Y3Iqd+QAb6L2WqeHIyTPaztkXKhh2kOVDCAhVmh5xwhcm+CYyjWbVZ2pY7CsAfTjFJxAG2mW1q0h
q0fpNs25rjlAWaBe5k7H7IT2vE5pjhd//64ofeKC37+Tt+9HWQEgxuRcQ7Z9WonEGBdXbt62eyFn
bzPi0HTIxyg+C3Xiqt6/1JuFjusAa8DC7wpI741GuAt10Q1T1Owb5iYXnki4fxS0/hafjfKgTOc/
wg/V6fXbxggVlP2QlBv+aEDcPH1LhcxxQW5sa++gSP+JKnzYN1bgPyyAiOO2oDq1zOzP5TSJDw4A
cbpELK7M5MeBZaYzBOYMeL1EYF92sYUscm8YIElywwjcQfg5Y05oijUiHu+7Y6SpRdxfa7SXflhy
UJhNGJ+Lbi6CFV6V863e56CIMlV4TY0lGXV9T8QsYaKsoyZ32gS+gBFfu4SMQX0oidw497FRTgAu
CWi4sZNWPiA84LjTOAzO5q7B03toSGJYCaedru1xAhprgxTcLwU4IuizHuC5eCHqx094V6bNRjfS
/GYEbbhsnE47mwh8uMZIRpNnuP6mK1DsQiLlrYWORW4CaaZ17R4uiNVUxy61XGMN4QDbrRI5Bg20
jPe4s6rU1swmkKM3ohqPz77GBhDsWx/G8smUSVHyzeBtJNc9XBrjeWyIOjgmWsL34k+VAkPnMI2u
h3niz12tluUFudpKXtBg932OyQVNSVFL/q6syZ9cis8BztS08zNV19QV31pUZPb8C7Q8HtepgVsl
pseoM9MLjNImmDQyj67Rm2bY7ob10N20ZssLERV2bNvSyKv0tpQ650XTd0a9g1U43aa68I6h45Tp
rVsZ7TMxBdzFaCa2/Gk6BdSWpjYUFDXiHrua9Jh/kVu3n+yRn3tXwRf04Y4l1nHgaQ4gGj3YXJwS
NrNzqpnLg4OAXHUyAgj38tkxt4PJgG3dO1FgfJejWVzUU9JrdxNhE3Jdp5JTy9cLCwgnysxWXBXj
YHe3RoxV9SZluUTXtIv4uhuzO1ZrTYuti2FoWuzk+27Q1pL8UaybhRIay5AVVBQDLa5wx9g9WgPh
wxcQtBDVdJMxxJdlk4FpeRhuybMJUYdY4doNyhj2+tTcG4XdZGdkz7DAkMdge6vFDWfDUgeA2bP6
ZEiaGsqJEtwMAqQ5H7ALnbDRxGR7+uV3Mrj24Etdv0BwdtbzY8xoMu6tRNhPcRBFwbbt25GY1OWz
glXG3F99M6NrJvAUcUXA4hsW072B3XZ8DtoLNi86i228cWxWUe05NEZRZvNcRaswczNp++9zXI7D
bpnVvoxm8A98CmxTFRILlcgrXespNxKFxDbA86sKZ4TziUAPyfyR4891ekDGCOzKPdqEjMgVobZT
ssMDXm8PuR/ymeaVxqQhmy0eLJmZlrlLfBHGN21R80MMHeyE/B3RYikMH+ZbP7mmNqi42jS99Uos
UD7ZU2bcO0lSWCqcJ55/ehqTjG3i1cK6mY0KFDiaqY2xBDRGN+c8ZgwQlcRSAINvfItpDsw2qzPd
LxTmKURNu+nKCiJQPFQQGINA5mDzWmYn+6xRvClC4UZjp6gzHohAYgX7XNcx7sbYf+pUyjEMS1hp
y5nyv8yJD5gTBmSF307fN8To/5M9fX/KXyktXv6Vf4akhKoDQBg4aRpIE6lh/jMk9by/2JLJEsSQ
6O/k9H+oE6YNTQKCBD09VC6HbuM/Q1JT/0sIixKbdocyD8fff8OgOCnk1HgWgJJfwdGJS+Fpv50Y
lbBa09I4yzT4PnGCQXHvW+39b8/k+qUS+H2geVL8LJcB7FBDXVA81Myvj2hpMKwZ5KChUmMCmJb5
vDF73bvKx0H7qNA6qX7UtXBHYfILZY455mk5wLtIUHOawTmRN/6V7jTDJ+olc8+EarqunBzO2Ps3
R6FxUv74NiY3wCI6pT6olg7F/fcidUpb5k1EH5yTLYAbeVCX3bFs+pAYAA1a6trzIaToSoqz03H3
M3HPJ5TizClHUZzVNnIIexgsLOon+uNlG/PLiR1t9hv9ezHFzbGG7XVWB6F/Nkogi9yZxboIpmI/
N0Z+k6WZf5ZpTfeZuWWx9wcEmFqQQwaZuxhuXoL43wyL6IwAtfwiDtt5W3dtfiM0S/7EUEY+RKnV
PLgVcpV+jrfA4wXVQEbKtDDTT7Q2jhp3mf2NaPv8lzRleSXNMfksdJKT4RNmO5t4mLVB1DDOSMV4
rpdBSclXizMP6umqqedxywyUhGZ0JgfX6MpLBpbjqstS80mnTTrPHAxzZKON5wDasEqsyUfQ6Gmi
/NEy2Tw6Mp/wDpLEG+j16DHz86yd3ormkfreH9MNBa/b1it3HsOxfQTntOf2GBVVsnNhmxfrMWCd
r/WoJClCN/Pie9+4NMUYtX5J/FTc+qFOAP2ot/5z4rUErBh+QxJXLuaS6QpmRrsGOzyVmWRG39Mo
8+x1DB3gCi6qR96dFZZHtx/7A26Y44M3y2ydBnGzESJj7SUypKKME/sqNgmsmWKdGE/KTioymOaG
3jzmbjnsyknvdt7gaDYhWE7+3CgyDxn2P+YGV6kQPOsQ+h4ZCozCo3zb8nAikOhPdZbLL1jFaTe0
svKoy0CZ101GeuFA/dWg5icBYYeldmc5sX0RUMGfY5Tfbs05To80pv0zY47ue2rMSbaVoXSKrdbF
/p5H0G5IUPpRd9l6NOCeEh0wYGWfPevEpa2c1CLRnVlLmoaf/VaDARkAZmgVCW5Sy6c1IVuYruCu
TYRezAiy6g6J1lhk6HSYwju6lzwBWgX8w+43M+jNDUj0TI6IU98GDD+ODk2fPY0j2e2ATixtvp7J
FsMnM7XENjGGn1PO9NxutO5TKgr5vYMBv+bN2t8rAkWuYBeLTSq77ra2O21ddN5tXfsosG35Vesb
85Ipp9iKWbaXmivldvTJjy8Kv1+Hhj/s5ty6Kcb8C4mdpTiPcTsdrBV+8dH8o3DiVKyCoe/LjUOA
RZKtaPFggRFYiRgizFN76wiEpus5qx159EY8oy4yuvQ5p4SpEXkEmhbKh7QdLZJGJkEdBZtKw+uo
n4c2ubf+5kOSQY5ynGl5F219o2W+TQ4lrjZakMY29QRcML/zCiLPBum4XyfNCr2dO6fCvsi9sdWZ
qGuzt2uTNq4taGOdg4JtlOHtkNr8k2YVD+El8Bnq5DJHaQCvAXzeXFVMsqODH2gDWTNtMNqPoopI
iVzpZFpF25HyXTwk/aiRJoA41312p4gXFXVRp+3xFQ775i7FRpjQX8Nv00fNrtI7f4B70egF23CZ
u/b5oCOSdmGpN+vAFAFGsb1j7u1pKPUVaoCRVAuNrBe7M839KIKaaL3JPhe5prurCS3qvEGNDaEi
KkFX2lr9ZTdwgrt5xpreEQWaVeLdqp2VMklWhD4V0lHASOszvCxbvdjHE1OIDp12gZ4toBrTPNDz
2rIoVF3YATvDaSHONTGSi8rv1nhAki+KZUPOGwj8bwvcWcN+vpNoEknHK7S+2kBfyG8m06p+WkBS
R34I1DpSX8pDRaC73PQOgSDbZh7LC4/ou6vMjp0nTCX5fSbMG4grbn6jjambrlMv57cBWPD3bK3L
fwmvyR5MqATXWQovaePJvLwL84j5dAsR02DzSJ2e7/bvKdz/VoEfVIEm6BOH+v+bLfflqY2QanXl
K77c3//aPyxaA9UtltyUbShomWFT1P3DohXWX5gU/SPF/YdAC+tWea4COgNbUsnwE/7m0Vr2X/hY
Y/BlqrEg5eW/qgJf1y+Wx1DnJSHYoW/GDPi0PCOgq9faHnfKgYNkXcRTf9OgZncgStTtBxkEr7Gi
5WI41ipfCp+iGMrP62IptCcrc6POuokYkj8uHIyZ0JyHNO6AEjE7rB5DcOYnX7FAfnsnfyhD/3hp
5YzuqdwIHurrS8daakxdaVg36Oq4tN/AVnmZ+7i9Y9ybnqLetHqjkMJAUoC9f/nXlam6cwTAwtBp
CBghL3LH38tEYcYhAXqZeZPlGoijpylWot71strHpbrclEOPf/+aJ+jY3xdlqUCpNOgyTj1siDsM
+rDyxY0NV+i+QGJyIXIHnJ3hgf9QdbZ3tBa+Vm/0dONR13fPTtWSzqY5PIfawVq7chXppdUaOCkS
7f8T3itsjgEJsMZhqAJF2pKQplYt0rpoM+E6aX6AOPNt/IYwvtwGpkvMBTG0U4zv16/OGz2T5jsS
Nzi5sVbU5j1lnLo7jzLnPouxB55Su31+/+kpP5z/4pp/X9Xn82BGyIVP09AdTpNkshsoFcZg3Bea
pL5xi+gXdLCa5l5Ot7YFf5BGLoLGFfX/brq1XB+pvZqlEGPx1imNeOAihQht3DgaeBcJxtXj7EOk
DIfa+MA8x1BNysm9YszFl0XPyaT8tBUk+IwEK703bnCkn261Ck/Q3UDmcLYKTBNwLbWsp0EHyQt1
qH5rMHk+liVwM0GI+cHrfrsj4WWCKBh+MFkGb1atIB3Zr/VAv+m7mo/EcgOAQYFQdyBFEWzn/df8
p49ECZf5Lvmf+yYvxKgSPdbMQdw0LVqXYiaUcY2kqTz0Lky4vEmsC3NoKQpqWI0rMrKNy3zwJ9Kh
ErjDKyOR5QtRNaztKdwuwCTubv4LjzSKBhCuYk74xG2PhBCMOvQ+271/EyfTyWWxuIL3RxdKgMyb
qXaShUHvzb5BKFWi17tlzLGsG5Sm1WPT5No6QyDxWMw8QApDH+atZDSEyXV9Xs0589I4xVL6TEIc
bDZGoLdM7iAgv/87/7ALuqaFSpw5AXzj00GVRp074G5o3Nhg6/FqecxG1VSPhh4Y97UixL1/QXG6
mGCgs6o5c3VadATnJ3tH3oUi0dO5vVlIpgsCHPiT/RT4JtyWnkbmujEdkM0gDoDu9CFhjDvCR7yL
eyVrNIsZgh/Zq9eJzg6wjI5i7FIAZFkTyyNqOTWcFXo0H48ItzzMEF+OC7orXG5Izox73r8r7uDk
g+WwBv5RlCRLMIE59aGTeEe6NZTlm5LPfO1Xs2w2CcTtK4Sxc3deDNEwEqA1JN1G2BphWpDMgmjn
R+guMVNglLiecVZbi0QMWz0nMnMgLlb56LQ94aWYOhETiuydiYopfRrfaNQ+V1oeklXplmWDEo/o
6zUG62DbjFv5MpJ27LccAQ6ZIgmBepZXFTc9Ms2D1+bJEXuk8pIQJRcBedno/aoSmfYVKDy9Mso5
+6GnLdQ66oBoRUcmiYqfhuh5tsvZ2ZP4iPSp4/ze676dkz9iJtV1TT8PrxkGAAywklbHdiPQazKh
teqhL7JkhNfoune+X0f6qk4wzVjBnasH1CQhXr2oFOZm7XTC+w6lv/HWBdmO6blEbMfcou+Jgxb1
HGsXRNtaRxH2jLSrIdjr8Dzu5nEw+rVL89ZQqZuGtUrsrrDR6wm0/Dlh5dW1G+ZZs0auGJH1mQAD
hVHPsZuyRtxZ8Wedkvkfdj5MTygNIIrCjufXkaz21PoWZULhsdtQArIRD5AFb18oRLPbAh8HJtIA
rw0yhJeMcNyjR7/QczIbkQEoIYtedysy5whZ++SYZX3UJix3dyTR5xF2JPHkXVhhHF0Oqd/98IrU
KdFTRvoZsE6zgcAbXjbCanaNT9ZoDQFt1HX5lVl+vBeDN22UB9t36OcllO+6PcOsK9ghPCq/IU60
v6KCtVe1U0XPLJTpZ9gHxErKKCw2KqW2WkcBAc4IEO1NbrgD1L0w1zEqCYpp8lYzcsWVV3bPFu3t
ekKXVN1rthenhwFj/tRiMJL5+b07BCUB2Zjhz6W7yd0c9H3VzcwMHeZltg8fAVWuGIVdrcn31Awk
8LM2k3/ppYZffdWiwTH5uSlxJZu5nnNvp+mq+JEQo8sUVGNV0P4e9JDxJ7u9Zj3VHqONbUvo37zK
MTj7PEGgHFYLcyjHQbFfD67PvgJWBbdoIcpHHoY2O6uo1UjNAHXykcujqTKI1AFzLYGldEiEoz+y
vIqF2J0ObNmxFd70rie7tZwdNf3AlS6MdXhKXeaxG+Wj/QTX2H8YBZySVkKkc3p4PZrFPuRaOZK2
JiL8teYL9dY5uRgVBAR7oSDbNKK4Wzz0ig2UooM5pEUq7mvdVv8QeTzHjoEUfT9WGQHqZz8PN4bR
8VdCOSkeSUzhA5OQvyDdlMG/Z/NwGsFJDaqniJFNZCSXSPbZYhQMfQzr3D/6bjndYiTGoR7Dz71e
9khqOO8Y2ByibgKLJyi99hkqA49SCdrv27bnT5dfm/c9bb5ZW9N1SdkpIJjH83W91CIp9KrmqsjT
Bkf6wbjsJVyuwaIynMVo3A+G9LfLrLePaTdMopruF0p71DHl3MyqepwFpHojn7kpPkmulEZD+wxT
bLpN1J+9zHPDhOpTTwf7aSEwIlFsn6sMUkHth/VjkkK5WU9xO98uhYJM6wJWRpI5L/LXBI/Hxwa/
vC3i5uQZnyzyRpHIgE6AXlwidddQkATogZuMQSzLiHcn1K8tyhoOaMv4euHtM7OkCC/VYN820uox
INkpxrNYQL4JcPJ6euGTDQBq5UXdNkyi/55zosibjrWG9mO9FDi9KlVSmXTPL82PqUqfOfGZgDK0
tbK1paV1AnjnMFNlmAfVIretpwiiRXbGscMPrARWISuP0NJkW+VG8D3TImbcxfIJkUfAMHhAYUgZ
xMnTbZrxxrPG9jnzW95RFQCQdPy/ZJxxABeWzd5WqlYlRal4ZswGhYHiMuDwNl5CDHcvuJ3yYA6a
cxvPPSG1WpTxa4cXBiQnbqeWp11kxqUeKv5DavVqKje4SBgICOo/MdjGXjSPAnpAwwFEJalFeuYW
2gs/JrBZwB0RtvwROdvDNMTufZJ6BMh3tR6fYfHBGsmYWj5FOcrH1VTl3P+yCaSZOd1CkOSpZBgP
HB2lcsEsnQ/OUZfPR0aWifrqs84AgSYu+LBMTyn36/M6MHmrJGF7m4yDnOcwUoL6RRw8LJqjCdHK
U6Poq6meIbl5EZqENl9807T8kmUlWlMCzwDJiVobiMm35OCx+SDlCttrf4LMeeERCx+gpLLYmkQZ
kF3XoEyPOzn5JOZJrd1Kp1OzZ6+nBhK4RNxBOrCfTJJa7oWm1EZ+QhtiTZ5xP5oND9kU2MOv2Od9
sNDYrx6dsOJDr41xgrDPul30bCDN7EBNyRxjaXjlqEHKQXNwT7I1ggy2bqA/Wtp7JY+5R1PDa+lU
lSYJm8peKsbl2Jwlo4BNpag+phdx7xKA7ohCAkewXuRwBXo6GaXUaqph8jfJSED2plE/J3K4izSG
l1X1QIt4BYcEwqfFdKvL2Qw2rilNfHVwDl3ZSN+fESnxcRFEye4YtY1tElxMVAQLPFAUowBqwDi4
NcRYGzmMTc6pfTs1Y9GsCxxB0HE1uv1kTWpn4Z/2HwplkpFB9L9I61IriYoFH97ng8O/nfWRqO8w
pcWjGnURD1oqWirG32rvm+DznJWhwSZPKRKqltzq6FcwD4BwqR7Ay16kGvchEewLamNtQqVBWtZu
ECrV2EJjn9x4/g5rJbhZ1idD+eAsAQg4G4raSj+5vccS8fS+ObfsdNhH4Yx7wMuCyMfc+1W5Qzqs
82Zozgn88rfZjHAyhEF8v6yKF1VQKgLj0rEYbRl1AfHOVuqwlFlBuXYwvy6Isy/YiWaZamu4LYAQ
jc1MahWrG9LwHqzwiLSJzLNG/t5MIQSjwBDGpWHBxGfJGfc2DIZxY2QhX5Yb1Jww6AjMHWP06bpP
SnZ7MzaubFTRN3TqLOoXHlk3smkvO6AF6YNM7MDlYXeBpo5v/DwwTXJHPht1ABWrOTTncV1hadau
yrBB91hrHsqpAkqjZMF1fGZmPXPdsJqn23y2aAkqWrUHf5op/NB8xSuQfY/VLaxOwym0mQwSB7RK
3g2Gh/yq64ciujKUi9FFwTZ62Sw0VpssGcnJX7LadSOQUFLsniIk1FLmispdpcC5hvt1/fHa6oV7
13tTfgVb6kekBdo69ZP2nHgDbKUadvYRDdOv0MRlyRVYNpkOLfV6KE0+YDWTwvCCE2mOR7nugDx9
NRV2HtIEDocdE+6yKu1RTmdan8Cdg7k84AhSdqtomJgtVlXyybRagzDz0s4v6Oyn88LAJGmdVaTY
B6VZ/vKnjHrBUSQX9P2ssKYVnYdurO30fa02/z1uogCRJDLRaPf43W1EhpOJViKdLEDZEJ9kwajd
hYng9TR5xR9r3+AhmbZEuKnr48ozyVLFUoJ9qR6ocbDrnW7ryIM3FHZUeFONA7wyAFga5UXyNpoq
YdqPauhCesPPC6QL2CRK6gOU//xSPNf57wUR+7a0Me7/WVJjcrr4lb9N1BluYKXyEHhKNLE0hqEe
FtWecW/Fltexp5XO5AYH8DSCehHuHYn/sy7Gyjcu8XL1Hwyta5+FhCLoMOG6oAfjvRaO4PxsFL+l
z0N2q0U9OXDl9bJv+knK5uhzYG4XfqnIVL1ZBb53zBsvzjdBBXw1TlZF0j1Tu7Jj32tqPiEs4SlS
Ay2Fl27vnFDtzFKWnED0dtG5sKP4pzU48GXsqueL65SVlJ3W/lF7qTBqMBKNkzlPC8+6cF2puxc0
bFNHAOTcrzAbas5KlLi7zBLCo1fp7CcYOoRIefDDuWN2JXAeHombINOD7iLoJHKHg8UZZuc+ArHe
LLSyyp74HmSotoOlZMZU+pcTCsKUfUxOGGnlrrd15k4w++qje0ycps9TxOQtsub4c9WH6ablC2F3
ptuROw7EnlmRk+tiPVuVdt1oTjmtKacLb2s25nQuQlv70Vem/YxMTP7MqCp/MUFqKbfHLFxRVwmC
t1v9aFCUnWWAK19hzDrNpsfkCJ+rukjqbV1O9d42p/gydhEyhIkTf8mrLrzDiHdARp1jJgV/QD8j
umW+9M0q+ExUZvqjrGf+S3ahxy2VcuGH17LQ6FgzPRzh+XU6c7jGH5zHBVb43wnPRxMeZwFQ3pnw
xO0PNIfx6wHPy7/1D9fHwQRV4dNwC/DlRQH0nwGPL/5iQWMejfpDOaeq0cM/Ux4sUTyTygFICA98
sLH/TnnEX2yALniGA3scaPJfuSCeAm9QhlQuLOQh/mvGG7MUBhNR2nNSvhSbTW7AMTRwQSHql11v
0Zy/D1H96YJoypjzKNzNMRT56DfuNrxYUYkqX3zHvY1B/vOZVOi1k3n1eThT+b9/vVOcT90gwhOe
F+MVUiROcD6fUWhLjJ11cMvIeULiYFwuxWqrLB/ev9Qp9saleNW8awYS2MCfWjA3UM0JHzWsQ6p6
8NhlVIWLFFuTI0J2VUlP7qYJ+5USWL9/6T/cJSuJESJuPIzRFhj4t6cKT32YdSgUh1YASxcEuwLD
24UylQs/VBW8mQpwo6xA/J9tYvkcKP+v3+FUZm3uTrF1GEuGebSAVCSrMdEphofO5bQogOGiPaaX
tDszVt4te2BJ2zJlMbCGKD7C6t/ePspmz4EZYpCwYp1SyRIjos8NA+vgjRa36zMxB5FN+cP/7Fow
6Bm8soRZOCcLKkxMPcMPyDqYLTLwHg3Ps9vl022vyur336p6jr9PX7AnVewx/Dew0Pdw0X/9nGNE
pRw/vXUYguhXK1p/SwPzb6cqy0UY8C7/l13q5GUCbFtuJzLrIFOA68QbaGY8p9LWBrX3R9POkyB4
pincEgnIBux8Nbs+HSgR624MEnH9IRHK4WEZoBiBRvUNj7V69OqUjkjJMhcJEEmc5kU4BObF+w/2
DyvYQQoF/qw+VVVkvH6yAUm0QaB4SpPXib1JWqK2IqfJO1Zaywql8cm3KQYFDh7xPZPM5eO11QT0
/0Mk9afVa8HetPCnY7M6HUXA03OmPK34eAf6xqVOXaQgdDIfqUD+dClUEQTGI8ow38zZUU3SYru1
eYgxv7h98UrQMuWH5cFn+WAa8Xqrx/UPgx1mh+S4oH19u3yrqMOTs660fQBGIPGaa5gz4QD/KEeA
Skyq2R0+eK+vt2B1SSLiXGx9HNYZthPqJ/22DxLUCi0RH6G9HoAkEFRPYY7xC65RI4KCuIWnv126
gcgDO4P0CBrK9ODgaopijylrfS6VCdiyg7xAPbMETaG6x112EytY5v2fbC8q9f9+5TA+oPIuQ2wo
HUtqw+vfjCtWgtW3aaE50/OdLiO5K2NH24VkiPVIMnKyw9Y0C02Jb0NSzc6WzEPnpgFcybdQ8+g8
gzxg7w1sPCekmXfPE45+8L+WrlYww4g2VIagMLZBm4chJTjg0vQs+kiYft3zogpy8QtpsMsVMPUF
fjadmlp5oWXum4QHuJrp964x8QNLhLbiP6CBwBIo8oPaODdam/9060ZE8+V+5KRryFEBLgZ9bDpn
WVFzDQVQOW0ENluTjYp0xRIQrxQo10YlK6SyaKHA7LEC0ii5nf0ym2u7MAeHbwzkCGkWdc9MkepH
typEtc+NeL6FYw1mTMAAWE+VhvE3Y/Z5ZVhpOGm6GsGHHhalfNGlzlOK2yFzXKVUmCGgPbdGpU5o
dIdPOTDpj0oG4nyo3fq2cbocYThtrxuH1rBi/x3s1ej/X/bOrDtqXO33n8h7eR5u7apKZSSEQAM3
XmHyPEqWLX/681NgnxfCObD6/r3YuxdNOuWSpUfP8B8Cbpjn7qPlUejQ02Dml9Om8DYfUSLGhe+0
7yInZTrAz6Pj5wpV7i7rg7ZJ9CAEAD9X0VoeE9MOeJamc7ZZfGm6woXy68nkuIvcSJDoGWHIUfNT
iLaii/MsL9WZsvtZpMhfTLv3+ZbruanRtwxbODRdOdfnwt/QTdRRZArVMvSZTPR6j65Kk5g8z+if
m+927VL9Mk3DV9G2jD6NaZBO1cSuadDse4rChtXUdT1KGgKx7jNl51F49VxKopRDaSZ8xYjY3QwA
xAuipjvOknsxHErO3wC4sTg+8ytLzD14lUFHS4aGPp2LCBFMCKHPCrBO77GXFSXfOzBz/Frkd+EH
W/RrRsdoO0mMJraTfua0MFOjvh+RlL3do3YvDM44eFLDFDyFTNOA7DwLTkAywarH293zDhcpOrhw
Wz72SvWP8V7p23ZS7WES2+Ck1PBOfHIqe76q2gEpvtaMEkSLXAh2pcNysEUe0p3bqzW1Q+ZiaRTU
+g55Cvu688thRKAuSbIqEDT6GXtkut/1Y5PYAeL05TheNbaRxGRPgoK1Rf+allHcp3W+dDQMZvkt
9iFRwbJf7jBFRglEbzXafktDZMoQ7emOqz0iViqNjEjYNrM4IQQcfkZ3D8VWI0LCqHMuTgbIsSK6
PFYH51mvZFiGu6RWzoq0sig/FmYCFw1yRAELoQ/mEPm1o2U0XcTIunwY6bCddD/uHxEuHK48vysQ
GFn9/WPfTs0RZbIdxqTiNcZAfbKmWfuP9VhH8sBsGTqTPUcXJhkVabQx8zwYiMFxIgdMkVXtToiB
ShOYmALgD/Kw0PK7BM4yXtYwOU86WPTXvBjWY2lV1msN4/J91Sg/w+xMpmOPFk09iSpFVfkpkj7n
A0WlQ+52Zbao2Tl148Avii36zwwsofnnw5A2M8KzhxA76UFmdClwz03RhooLwOiCKc8NmW58RrUW
eRso+WvqP4ve+Eb/xjdKOLHRxGmNOs5udHJco5gzNuE0ZqoXpyVoNJ1i+3MbieF90lYINSXOdhJW
7h2WludIctm95lZCkAe2WnkT+tOajoXNG41AIdzQf+jvgXyN98Dr2NQWLE4s8Ux713JrjoQwo53j
gMZHfR0+a2+4HjJ2MP2IhsVsE5AGg3fVcOFcpHCYZM3IyBTHeNkCxF+rcqOhOkB/TztGcXvG6H/4
kDsMzJ47XpFGo0SKhPs4XoKcGYaBpH7nkdnOhrvadxweclwkZkYa09qoozDMJoULFY0bNRpgLKaU
09nfsMw6Pw+fxpFtmw0RHMu0oVf3wR0wSQcojSq14w3ugBRvKcbuY1CX8fhNj+CoGS3K/NhGUhz7
2l+/gkmZiixorOAf5vnJ5Vwm4twOGs3wfiuqxdAUy09Cyaeatuox8KuiyHJN+Hjf7hYsvGof0bmM
3TK+U3TLsrCtmmO5rtO5tsL9pGMjPpwUXZTic7u+VcHcPTCi+Oa2+/vN9Z1XjXRpXIWtkZ1IEAH3
l9H9guBF8WWvqvVNsUS8OU58fZyQF0gYRUQr+l5QjDWMYxFdhQGtoMOG5XaXiZA4njUo565nmWz2
NSa6+hZxMO8h3LfKSueuAasb8hZqEE5MmZBO2vrj5sj2dptn/9UOPufVhF7KQ1fFUzYPjvjsK6s9
DihGfRqSUCHmMO505HIXcL2I8QdtStAT67KvSYpDPeEiyYND3cX+FXCFT/lorW9WWTTg6Bb7dq6K
4GOzhk2RzW2JaU/dO4w+sZG6S2ia3c6IlV3BrkhC2ruFeHKrdbzuIMMcURhYrvFHtsBdQCWZLxxC
3skimVUHUJQu9FaU2LZTCRbwMWzG8ax6D85lVeY3tl721xJr7TRRxfphaXFSOdpC+NUVFLYNvswA
xiaN8zVu7kK0vsaLpFzEmSrXuqmjfXiLLKibZFazdD0mJZHd0BeN17uVG/6boyZxu4yjuti4CK/7
WnTtYUQrkK69Q3kBEXW6aHx0RhkpjwxbCxWp1wXSfch713kAhpqQ96HZpIf4fhvcbJVLGPVsDfZ7
GlW/HlDCR1ir7Qf3VkYaGzgQVE58jNvIJyA669fBDZf8lMCVZRZAf9f3J/foteF+FktUPcBynN4u
jhbvYqiHR+S9EM1H4C5tIDSlPo4qQLj3Ojp44xpVWEPs5RcAOtxD0tYqA5BftQefpbpXO3VK39LC
zgIUll+BD9ve2vOKq0slAVNU3uSdYsuboxQkKDh9EWFEMcASxRmXvfuNRqXRFPTkZxQUoy9rKMMK
q27UgDKGX0xd6qGN5jSH4/wNC62pOsyIvy3nSI7fgnIr7kUNrCDdcSe68tYNYuMw9NMBhsukUx+m
PRrw/fzKapkLu3aYy0NSGO8HBOQQ2SqHCEj74sv4ullsprh+pN6XzKuB1RR7/Yq+cARNYuzbV33S
tjLt3c0COOzx1loaSD6itmu7Le+2ctpy/zte9397oX/phaJTEIO//f/3Qi+H9elnXdgf/8GPNiji
rw61relmUOv8TwsUtxdTkeGWTtvK/aUF6v0nQFkaAg9yULAhTDvtv0B3+z8eRZPptj1bTlHm/Rsj
mJfmvIiTeGglg1wGVe8ykIHc+XPVqDtQLX1UxVf21G3XVi3Gw9q4uBZhFv2l69V+uebSjyDSB0WR
NpBz7zyvmz/UdYhlEgpt1r1TRNDAylEr1BAlIoO7Sztq4jh+LmVVF+A4vCnP8n5hm07bXpwWBwXA
fGujdzqQ6+tlHj3gMRrpyKsSL94vSungRk1L/K7chnrGR2GOu1TGjqsP0PMZSXrwvhO/ulSBao91
6U1LGvZJQJLZeTiMOGH7tWfyUpCz3tXJprB5nPyHJrcWmCbgK75Jb+9eFZa6bZguM8vsq/rDnnvT
k58X6p+N8iBztSi/WZ7HpCopgmlK5y26H0OVdIdNe+K+DoqNBJzxeQosR3+LOst6PfT1ihybAiqm
LDe/DP0RBfhCxNwj6+CBmSvx7s5oCjgJueVSPmFHjFd4mItjQK/rg8Nls2Ve3MUXxCaPq7kL2zeo
3JWvlmDBtAJR2nPFvOUC4dD4iqaWurCHbfQOO3rcb0DpALPa+7KNUq1LpkEDCiF7WtLnKQ6wC5Iv
2rE3oITxHNlZ2arlOkRILnPzZrpa8qY+okIb7qmLpGLWwmO6nnfVoPerwz61kzG+A0GUVKdcRcuD
ijrTuS6HcwNM7BPD1VhmSYXpcObv4fhmald5RYPEIsQSqIbnmGWZ8OU8R7LYBLXqOb4VAaEOR2id
Aqoh/jnPsdAIa25pbkIkSi9Ey6IjcGJyA7AJ6lVWPcdVL8SEwn+OtoyH5JV8jsGhCccxcRmdGyK0
/RytLRO41wLXi9QD1rtyLe/ycw/eFRedPG7f5ctW40XUT8c90bV3OfahekIaIb4P11kdBnNrJM8X
CL4/3skZEq6VrXLWV7sURf1uskFAqNe7hd9Ne3QQXpQXEdoED6uOyvvOTVDy+cLbdVcfiMJcsbab
35eWgKU466G6s8Ooy+8KMSXgAAdI975UH9ZgDS9jqrK3Rcxn5GI6oFDxxhdkumsPtyKTjoOfdM5s
+YSkFh4CnNBM0f6/0jRzTqJrOo63N2catYURvlsaoTqZ0pgbjsImPZtwLjnVJZmbRVP0WG0JrpWF
B+Spca5dmTi3g40ZyDb4Dyjfn9vVDm720c8zbc/2cbN7fQ43/B7SZQP8kypf54c+ntmBAP1sJGep
sw8GOZB5c56csF2TqDHN3ZFxenTpoX16s3h7dVinrrmYgmWRKSK5E12Tably66V7wAbP7/GFC4ML
rGLkg5XgRVRyMJuh/gZW6a1jEQbauAGmPfiHOgzh1FW1eLQWt71rVyRv0TEA8bgFzpvZb4hacdeD
Xxc+tm1hzbCzoStTr0WcKRAJlG3Nvef372hVtFmxc7At8ulaFg9h2JfHDg/dLJ/6Pqsrm/7IJtr4
PO8hANwmNKs9rI/0vehAKZ1cRoO/HzHBUBco0LgPISIVB8JTcwQXEVyisoVqbJAEGwr2AhmFpLGP
aGlsN7oL9n+81vffoz9aH8pmbkFXleVVBMLiEbnE5Xpcw5axbyGIKRE4Mczzgtz6bANMBJ3TFPsr
LChYub6oUa4gNjbFGJ+HHakL2CP1zepYyXYsBKYlubtjRtfbXbYiypsVVTOBOGBeFM0dScnsPgH1
1emCQudpw7AjDZJJHjuhbGwBWJTXa4vrSL57yPnC6GO1Xa/moMZWknyuQGez5nhwTbwEuQF5tfqb
KijFq1rE6xdlB/jl9g06FNK1jzZoaUAh0XKaRdy9n4Y4vi8lYJKs4PW/r+Pg5AaLdRc0W//KAeuG
FERhPyIC1n4T2pcfIqfw30TT1r+eUK0+ameyT+3oL7dql/FlbfsC96nGorSP3ZagW1bLm8r3hqu4
FN6TJ9jSuKSsN5s7YbDNaPu8WYHzStDvyyhCF07Vqt8UTmc8BS2nuqP8lDd2kqsbEbT52S6DGgsy
0RwGPyZktniRJaI+AzCo7snWozhtVByBLfCKg1dLGmC5LPcrux3LU9fU3V3ltsy/+30t024MxEdd
MTuAE6uqGxfntrOAAYqEs7N96uRC0uyN+6OnkPkZ85o0FQAkAhq0qd5OyOrc7GW+3uzrALu2DW2c
eGCpPwTh4rxxC+WedlqsB71OEiIy3Np/xmkU994egg4TAzx+AtN05kbfnspmah+90o9EClFsO64I
ZtOK81EaYVde0dJ5LRct6lfF7DlSvrenMIEcrMPVaez32iqwOB+2aK7+8QM372Um0dvkJmrgP7/a
h1K5dIuW7rg4obGOA0lzHO1t/xJLFR7Rl+6zeUYZNi1RG1PpPK95WpR6uVjtDljHNl1UDfhxNml+
yatsMSjq29feqCUdvuhqKazxMIW4ODwnff+bH/8tP4a58qf0GE0Q0fyaID//F//lgbrJf0iAETjF
Mcr2yWv/myM7EQN/+Ds241ZOLeSD/4sSiJz/wCjhx+GBBLCizLjjR4oc8FcBQ/aYbJYZJantv0mR
Dan050kkjwN2LvAd8nGeOn6ptBtHSnfdYvtfS9Qc628QQnPPPqyra03yIGXt6ndQjSp5Etpr6XII
HQSfkRQb+xtnCIbJPY2WD1SqQaMf5YQ+ye28RD0bf6S3s91ZNfR8fwz3MK3yrUDzSHlq8lXmtYtG
ERuUI7JJDq1sznNh0694CycR7G4L/BFylk/DH3WlfWGMeoGFYjVxEVV1kMwZNx5WgqeeCDQChBZl
TnX/04u8/z6q+VnI5OVQM8Q21wM8EfM/6gj35eoMInSAM+3B11GsCrxSV0QlUtcoGnjNLWlzwkdu
TtV338yB048I/Cc8mkvyxvfpnbXY3v75kVwzhf6foRJCm1GUUHChNhsw7kteAgIimvrdIObii9Pa
QXM70hZrrnZ/oXt6UVphtaLqHVWA8UGzj/ECMwev6Cit7XFonoZNaDKKaKGphTW2EnZ53PNiXw57
i7KVOEomP+iDzGFubccQMHt4t+8NWJJjh04Mxl12QU8j+V56/+LD+vM6vxiHM9YzexDQq42UHbCZ
F+PwvGxokNFH/GpjdxG+CfrKGh6ol4b9/s+rx4n6efH4IFMQ+rTZDc+Sz+Pvf5oiahj3CRE//+Lx
th0Pp/S88e3UtTnhmxfV/qtVDAFZng6D1pLZSPWnHtBd6Otvf36SF/Na8yRcu4ajxliTmeaL4bzj
FdpOtjr8okQ8h3cBAmRS0iO0oEdegZneg/DfLjIDSsbDFFWOTSf8JbzBQv0yorvjfW6XaR70YdIj
9qipine0av/yWb8OiH2+HYHLdxLEhtBiJvz9us4uRnTNiBLZl80pROV/dRF5KcvLfFzYdwWjHJa4
1aERqf3zsv62kwyaAgYgHlUxQ+PwxfgfhoKYwUeKz5udLDE43aiN1UPuWhWr++ePeqEDZL4k/H6A
WiFVKMH75XS/HganWZXbfRGtH2CNWTHDe9u61OLUK5BtivHVluy53d0MFeZsNhVw2ezvahGNo5d2
LQER4Gmdd8lrqhmQYlmJpmp708Awi/V5WX0fr4M/P/RvLyZAsjGhvczbsX9HhTlJEzPMs/vPkBzp
S6Rw4pv6m3K0BYNr6MLBO+SdAjH6t8X6/cUwD8OWDBSTYcW/DFu5ZcryObA+7YHlMGlKoqCi6xjF
YznbmeOhutaeOSZN9AQfF0bKYZrnORmzDgqpeqy6fZ37FDzvLj8VvVMnJw+crL4OAF5DnvjLKsUv
jycPGGFnxzFJYkyMX77boFjHuVvm4VMZV4ClUjyq5X4vwm1mU+2awae6SMQokM738orTJHrf5zLo
Q60JlknjF/ozGxArj1DgPW6uP4gBa6ocn3LuewD285Hogv1NEb4XRcI0KVNd1LBTFUMp3k4/4xnJ
/A1oDW8EAocJ0ZZAUE4fXI1/xeu8HOX2YdcmhUjpPuWshVtTuxOpd0AP9cn1p4DzPZVrxbQ19Ovu
a7jiReakdLPEjuBfngTve0Dh+7uZHJlnhCCdYJLq4Hv5HujQWPfHJdza/d2Obp16VPMUqgdR82/W
FC9EIkhaAsnnnbklEhLYClNrMDurMRnioKNOZBTuBmNEU5wgdoZ9kOK36/KTIaZo/EiFamgX4g25
leTWCOdxmWnqQ0KwmP260Me6SPhoq1oTfhw1KvNpmIyN4R0o7mr6MCF8qM454+rqtvXBqV+sjtj6
6xKTmeVq2ZaNvbTFuYl82Gg6+jpWouSytNET5R9TzLBxPo8xUlluNvj92DTnH18gqClb1rQHihjW
B9vOLRY0sHu2Hx0KE8TaLrKt7jgxSOYfQH91V2dibJjH//gd0zgBrvCqPKjKjC03rBvSirtpvC1e
pfloql6Co/YGvlPxfVV9hrCsXIDkIz+wrrJsrvp2Xqw2c8rEfKJnRWRteoSRAj9ER8ycDgR6s12G
RHJreQ1eTOKIM3HdPfQSidboVHtGrgKyQu1yplSfMB/EGxoCmgbrYPMLmTQ7eXSShQTWeWX5W4Uf
abcp1nDYmOO3GF4C2cvfxC24yfqwRwvkuMsc/SkQ3sUOkQCXBGfz+Dsdki3yJeoEPuvt5OWqL46D
NZv3HrmKKHCcd7hd3XEAusWTzBD++BOaRJOnrhKhfH7LoAefo7DUXsyfrELCRYHbO0geSfPt+Zfr
Qk+kPvgJdVOI3UbEEdTgztgplHkhGljo1fF4NeM1k7flVPXVnQDaFrzHQ9jI9ieejnis2k/MGk+q
YwUX+pgs5x7DZUQYiBTQp0myMe86FbRV2KImtVaPY9zz/0yGWg5wVEOmuiN1BLF/RK6Wc67RhjbB
o4Q++VRP3myOtI/023CYbR+BR6hH5I3Mc0fHU49RBbWvO9InHIU+q81m9HKrQEjwC6dZgBHKUBlb
zK72qmqWh7FJdic4b3EbbFDD7cekDKpEHVDSjExkKluMOE/M8E4g4ovRO8lGF759YG8DCCmUPe73
gdYb2z8WaBj6x6RDxKonUQANehcGgWrmtETACcfdMK+96tWAxieDNnJ184YZseNmfXI5yzgBVsiz
VgAM5gm16GxrhbDW6wadI54RWCDvZqJrgEJ6LxzAXOjb1boY3oDPyv3+bhDIbeLtZaP12x4JxISb
IyOuWsNVGJchSVKq53hTKZxfWZ5z2jCmhY9rot+En/cVnEZpgq3mO+Mk3uyoKc3lVpbFTTOUixNh
gZgIs3mq2oSUSK56Gk+MAMy+tJdNsIdyr5qa4nrYkcwZT5Orlhl2f+ARKsUEMRkUbsP76FGbtZxl
ugNm4RJy635aeEs9TH7ugkF3K78LgQsTBQEVJOxcuxpzqU62HFd+khJm4u/knJu41NjKiN/J2mSE
JUAFwtPobyHrJ0uL6KBYRc6C40rBhlLT7EH55O1POriOIQz657jF5aW4Ljdr4aN9BzAAjVOkyLjr
9UgT7dAx+uTkxXiesQhSLhPbcWOgPUDLimdNfNBxafmvNlvPzAgIUYF/HieaZyXGX4AN071zTYpl
I1ulP3fxRDXyow4h6pvFWRmNDMkFhjQxrNUCBy3PulzqfZ8BosY0haYcl4mjb+OF9AYeF1++Grj8
9bNMD08c1avFKkFfjzjYNW6SbJ4Y3xBW8Me27qrV/B3Ea/R3sx1LJJ48HGC+j5mwYi4tBxtk1tiL
5mReURqgicb5tIqKk+sDdYmcdC2had+5CPbUTNAbIE5gzBwd4m60tvMbu9vax8R1Eyzi5xkA1VXY
jwpO06CW8TOempMF466z/NucJ/WyoR+r6SMifKAQmqgf2i8+7ewZz/Kwm5/W3WlppycWRs+r1YKc
g3Oyjn0aw6mDuD75MKqW07oGsbqbJxxHhxTaSufcwA8F4cAQQjnZxDuaCfJbPO01t7Ca/S2D6qdM
Sr/Pq4Y5CfrDTVKgxlp+SFxn8d+ELWz5IoMGilcWyiauzod0hIju5OzTvJCXsuQma7Featd9PyCZ
vtuzaZvCnEJ/LacDLZtbhAGc8aSSqEDckgRtfyxqJNm4+EIZXQnE2OLU86XrZJph4sDQo5AiOQCX
ixgO4WsyZ0XQFmdoe/IwDfa646aDHM2Fszqle8rHzQEVJEF/VTRRvcC6H1ER9d8uYprr4cLGWXWc
jslgb9sjjVZP3lrgpKwHTNLR5ZZwkxDencNwfrvjhdUP6FCG0TxexFsAnT21FdzmA76mbXORVxKy
1U4HswOg0AyeW2bRvIsp/uR0ddx/KXGMVduhCaWeUM8MvGXJlmgcIlq/IpD2hcz7KcAyubGDNrzI
EXsK76D9W01zocKRtLb8WsY9yD8nQ4sYB+qDE0i9hyAtpYcD/OzyZer7H9m3rds8dB7g3w5ga9aB
CQrIhc6jP/p21cE4+ocxX+cc/WobZ9XmjEtkQDaW2ysHZt60yTWhDqH+dwGrSZlrJSGQcLin2KSP
Mxc4x6H0QxPhOia1hBK0hnIzH9HtWmDY7olxja/3CS8zmQXlpLh6UKCsuWVA5xUugudRxO8EIjWY
7A9yk6kcohpkOa0YrHBRKF2mrgrfY4QDzeYCZeQIQ3AER+g1jMsUECYDIcjs4wapO/fCdwOy4NUm
d7OyRK8jsayOK3Np5Naar9zhHbypo3L6cPfOie+2pES9S51tXXZLZ/NFyUsge2dB0DFqumy61uWO
RkrKJzVB30WyQGMfmZsTgOLGk85FGfHZmNRFw/5G+QGI2mxALYZfhiVYzlkSwTDz/CKpTZxEdb3l
R9zaSXiiPh+FMz8lc2LyVfriRBtXLnP4CRBSP8B5rKP+phhqxbUox9HkUv0YmZSlTKRZIxTmQul8
WyyBSs9hbWnzA2sGLmk7kC/yjbVNbPix3S0xXJsU6bndE+LUyy314waDgcE6NoNtOhZhspqndzxm
DxaTMBzShwtddRQdLdMQEteYe4UnWIRVsn3+uxL7xBFKl9HbyUgRveI3DkhHdv6hcTAzgC9vtWYr
VgDvqVm6LQ/eI95D7+n7a+TCdJx3lH+LfMTHbeMbe8CLeEcLwC8HJVGsFdfyfodNkicfVAPGsjmX
Y8jI8xJGUaged2AEfCtU9U3zaZ6Zy5SXI5M3fpctYd2uMGm1KeTjcGKzdPTrnC2rVpCJ8uBD3CRx
dnOTzathnOfgbI+FUPH9Lkt3qG5C0CU8j959cw48b7b5qqohyXxsBeaWOSoQk2l4QeTjB9AHN4ma
01IaVxOirX2KZGk1uReTG4FTOxTfb9dSqYJLc0HAnAPFQJ0sMPRmk29KxP11lrd1TWZtswL1Nzim
PX/g35ufJiuZ9/u1jSOuS6fkudysLCOTGiLpWJhk3hvN034/Ho0MeC/tsuJYcQH43ZPdjbd5qvio
4rWALwo7AFARwpbshTarNDlBffJn3+zdtneT/rZbnQJ/9qJlZr9c8Qs6j6R2HTTvdrFUx2f1+8xX
sEf8imhWOCa1TpCVUA/Mqav5Sc0Av7sUCPsoCS569b0bf3VkgxlO4LLPoFiaIhDUHhUbKEPzQphB
kl5SePKepQ52fe2hYqKvAYPoDeyW603NkyqdjUXJv2c+orAVuYYY4plvy8C2ITH4URFjpZOQGGxF
YVN99cXk8aeCmmU+IiVjbZ89tUz7vW0p22bwBWEhPqhyLoR1hgHjLY/h3nqLlVmrw/qjOGqKbkSX
TBYGS9sU+VEym0S+AGOoHnORF7w12dHQBfAXWzt44FkFKI2CZhlQdSUJIQYgG0/NezmBNFuFqR/Y
TmHAx9Pay3cTKkdicngeo2BD3rWPNrb+GZg7CrO6icmjvh+9XrUmtWqtDrIrIi7wsqaDVEqYjdGv
pn8ECFWbLYl319q/sv0Nl3IWZDcVd5BYkoVcncgccarlYrwNIcUYaaq1LjBE7rflNdTkXVyCJHXa
cyxcagouNgsDYIpAqQidYJEHfk3iy5lYVU+9yUTRFSSKg5x+rhrRFgCEejmBQiZIkfAvYYafMdH5
mBTKVIHfC4s2381DD/u26iLjlGmw+TLeqXh9FddsdIok9J2ztex7XmnlLObRF+TTiu6IuWEu5dHa
eh+ZgpHmCD+4a3YUvAYTsCSv0cKJsxFV1aehVYmdyUDp9c2TN2ymQtffI0eyCZPodk5jduWfu0b/
j54RYnqQERnoREgwvmgux9sAISFp109bLk2dqcDIl8HBwt2zTVKxzHzfv3zky64abSqUzgLkzmCs
xSROv/ZZ9dj3sS2Rcg7C1Uxvvm+NFkcmrq4/f7vfP8oo12MuZgZGjKZedFZd9K12RXfiE0hPE5+G
0PeQStoI1sSuP3/WczfwpyFH5NA6jhwPTDzord+nUsJ2UFxCLPzT5nXIZl0vZeeyEwPpg+DAAKJz
uAv3cCBoLOjHIAS+qHaK2wwkNXU3XQgz2UgoeU3s+R6Zf8w+jEOoSZGiQHAnoDy98qc/P/5vS+XR
FiaxNcqVDmL75u9/mjJsc44I3RphX105G8/BBWXKQi5XSqg/f9Rvew64HOZMCCoZ26/4Zb+bNArf
YhKop6REMlOfc43s2DtnB2XtUqQX61+33MsRCor3ThS6cGGZJri/EezmSXhxQf/+afRLE6Mk2kf7
/VIR2R8KF90XfcgT8n2SCc2fv7a4C86viHZd8Beu38tlZmoaoA5qpqocNwQzf13mtZebWpPC+0hP
gtIRBQO6VDHq70TAf7fKLkRqvi1GTnwazTHTVf/phTYkhrHn1M7HpR+i5laOrSnNq5pK7axKw8P6
y+Dxhf5p5CI+StuZIW/AhI/20a8fKOt4J5jo+ePcMydCONrLTZgjKGreaz5PLVIiZQU2LcmiJkCp
5W9zlN8WN2QTw1sD2gm5/TenParEsnXGqP+Ikp4u+iOzLMA8dD3KpL74nraouTSpMVrGJn7/aIpb
EKMpL7pQovl9uX5fnA5LAtaI1r/mFA+w4KkW9haAvkcesSIAdog9aeEQUDmNJFpHa2AuS4WQohpQ
trY5+OgNMUOvDzJaaB4567ytWPE2tOiOMcm8Ky8rRssxVkiNZXIrgag6wcIyImW0kaE98c5Q1Sa3
iYRnrvhxnEceK/reoBek9kRNyKEmaapjNBe4Xl3HJMt4ztdEEhtwP+sfF/VMZ9JVG7SA67JvaMv+
yw0H1dm3wwAaAPSU37b2QmVRWkgTfRjKCTzquRilKYESQHiE3h8t6z9/pDktP4dcE2qT5xkN3H1U
UV/scQZlWk7AlD4kRWh6jEuVhDhVxZHbWHc2GDo+GObMQhG1AaznRcBSNE/z58d4GdAgSsItRTcj
4WszeH9xifbh1K+8y/JDM9D+vKq6WXZv3WZ15xtXyL9ICLzc5FiU4OVBpyhEjAE2tvvrMQsdGznE
UYiPakLp5l0AqIhtAR/OZFZ//l7uiyPNb0fXF7VdWOzcC5794osV62a3ba/ctz26N/Ehp30pixOk
84pKt6pXboeUgXfHPyIaNuzLzYgJUawFqDCNtHVpwVDymPn9uHoteagDxI0MuyqoUDAO5lRAtixN
W2uzTBsglqhClZcqDk2bGG1+fhpbdI8vZzUBd1FRwHQkrIDn5WxQEDTbdGlZxNH2BIur8G//vAgv
1ps1SCjhbM6pj/75bxPTABoreF+EWrBfMzdzPjCqQIF/Haic//xR3ov9bN4pwSsEcBFyLf5GGF6H
kZ6q4+ePsT88f9YS0Dpt1GRS/YVQTwj6PnsHfGgqwX7rTZf0x59mtZgOgbXaLG7gR6afSS04Eunc
DgnO9dJq6sXabwRHFSRmNXbNeoGIIQXTEb9oyuMK0CZlyY/BH9MiM0SykPbj7OyxvfN3aujMC9+D
mk+xnqfj0ffWBLwS0+O1gtK8ydohawHTChmT9y7nyjSWf4zQOJHs3ZqZB/dentPlgCfqAN0b/nLf
xr++vijCkTrCOgjAUsBd+JuW78Q3QM5qzD+3yove1zNEzZPLePQcNvHo0+Mv5QluanKt46rND6Bn
+3PnNu07hYylSvt46RmaFl6aYFAh0rCU09uc+lVAVhOqzMpY4bqR1K87Rm2fDfMM/u6MolvGLCd8
pYJ8uC6BQN9yI5UY93Wlag6WqL1/dubI6iqf1zpAES+xfbRSg+adtVuS4qDFqCITyXzvcyuhzImC
3G2kgTvLUU9HZuLtO2B0PrpNLlOCekQlnUtkZYQnnfYjqIngGqa2kfPaJxsP03GOHl3u56exHJwg
zeewpIVRCHHh1n3/uEbe8q4CGQsOyrb8/mDRt/vQLHCScQuc34S+EKRF+XKut6U+MSbQI1YlDJcz
vClgii1+p67gGx3lmsBajMu6/mdBJIOueb40B3TMhse9xoiE9NOCLYeZU2aH9mtfavuTq6X4CCXR
f1uCqM/KDaxuE4nq6Fe6+hvF/Zc7gw3BWJlgFpAqGC2bl3CagfZPhKFR/4X3heYfWMfmGLaDrHlt
dvj2zyf61wP9/cMigHLmmieH814E63z/P+ydyXLkVpql36X3kGG8ABa9aAA+0t1J5xAkYwNjkEFM
F/OMp68PUZJKClVKnfs0S1OaTByccDjuP5zzHZPSrnGLDxAtORqhSSXyjvmql+fZeTCNnv4vKvMr
K0JSNP7+d//lzv/xZ6LVYWXDQ/xnHVhvtW5JZlL+gRyaxhXUAXZlUjARvv39L/rxk/7nGP7xV0Kt
QHhAasJKjvjpmJj0PNMHtDIfZHrzmTF0jguvpOFJiDyS9n2h5+GKO1CINZKWWwXGUCVyNySWAMLS
IftCrCduG9G4x0Kp7SfOW3y1zBW7L3lO8aJ3RQ7gsdPMK4SQ4jPvYVcXjGevgz7rzy5y5s7TSk2t
/CiLbg0s/zGa+VwwvcnYxWn45Pdq484faRl1rBL6ZqtFlvqmYqHzF96/f6iFfhLhcUnWMoAyiOsC
WkT/uSTQFLudTCKWPsx+vfhxYsQ7g/Tl/bRMb4XmylcDgXfQ6xFLjxqwyt4sZjKw/v6dsdYr/6d3
xl7FmqseBDsEx/hPBZKWhTnrg9j+ILdYAkEoGrwNDmEAxLzLpQsGM5/2dt6BiUyUKmfbU+b7krnV
GZDz0BEjGCm3C5rtvbHMDM6wCXzNE+bpfpMp52Qu7NNszLvCyI1HZqDytlR40zzBYmz2l25i7ZKW
bejblWvfUzYO5XY0k89ZpMnFsAG74dC29klUVre51ckOvmFLsKKM+ycANNlVKRwOCDFp49bQu7H3
DPygj6N0Y0gPNZTWgaRH1xu6iBWAndYpixDOxAfTUpxTEs/ms8ZUGylyliHj//uLu167n68tucnU
oIJu1v4ZVdMzEuZ9t0PAm6Z1UYB9f6kSY4aVVhfqRRvX/KC//40/gWK4q+xVjEmLo+mQ8pCr/bn2
g7cpm5yj8zsed/PI2IxourCflRsGlemWRUTHkx5q+EcFFuhLEk3dKUlc9aoMrrH9+9ci/nprUWry
+NQd3HJ45tbHzx/6y2bMrdaJiuJ7NLFgoG8vw69ls8RDUOczVG1Vz5hw5CXsQaCC8RyksbD2MXLY
gDmJ60IQVkjiaEphvySdHNbRLyP0QmnjcyaSdl8bxnQRfYxH27Ij08OYro8eQb0YQqJKzfHCaE7p
kzxkVTuFy7JNs045k4I38AWjrZx+0D1mcAF4FuBCbqOR09svyeA95ax5qSgNiFSerGWBpGRM2eGy
9PxiDbSm1CLtQ6dPxSHOpdHAwEQuw53IusgXTP3uDDcpWLmiqMPQNbFX6oSUkQ+/rzqPldvi5U0q
ga7W0UvtsGIQmp0KDPC5a8rkhQS27tP8YR1owc3/0+Drr88f7hS4WNTuP9yMPz+SDZ1NaDaN2Xdi
ZlQca6ObfkPlMbM15C2jp7I/lrbHDFco32ayOPHbiQGP0N/fJP/bDQtCjbLZQLlqMhv4802CUqrN
W4gY30PyAPvgxxsilj6Wp0SKDrzM4D7WTdFvoT+Em8oNp9fYaYaK+wQf/z+8mP/lA7v6PUFgWCDf
/qLYXfJ+HMopS7/jjhQPtdDae10qSmAz2L3hXOwvZL53xwpo10FOhnbuCpuDzJbddJcA7UeQTFbu
KVF64xPlfG15Dszdh394lX8pGWyB3pWgRh3NNE3lT5eMAIQ5d2uz/87Uu46eqCys1meSiMMHdvJF
J4GVnVK7CCdwGqv8jBfVxn8S6tW4M0iF/mK5Mjqp9pg96Y3ZsyHhFNg2aSO53FFq+2bNuve/3+j/
+Cwe5+r7//0/bx95QnRDS5Py3v3JVgwk6w/v71+zVwngLos/Gy1+fMtvRguVAC1TtQy6FIoFc40C
/S1wSyOXlVBWFTGHvpIa9d+dFgY8xvW70JswbFl5jr87LQycFjrYPX7cKprVnH/HaEGR+qczzlKZ
0vK64PgxG+bl/VxD5rXdtjjnRvihFXoc2vORHTCyD0uU6k1ZDY6eU07BSOp3mZ7LXH3uqEQ1uskq
bx/13OyWxltH8/pGcg9WY+rbkJsr5yFBj0Kgo9+nBYsTv4L9WmxNYwQfQrjhDA9jHFmP0K/p+XBo
egY3A76qjqyO6lzIOSXjfEhoyVw8aSeLLO8jB8qgHlLcq+cZbMojklLiqRXxorTlsMNkZUe+CmTb
tdLqlK7775xuRvMsK9MfY5EQYZdAA0Fkkq9kKh5E7mZk2DASrbcQlSok4RZLBpxJrTDnevQ/wzlR
YzZ4erxWJzTgwImwn6pyV0yD3KFlkE5guWVyEHlU2xeXFSAqy1klpklR4MEILFC7rsmGnjabAUqc
m9m+oivcpktjs9JDzgPD21zpO/kQDre6FRavCL/QWwgkNKBrSU+J25aDLKpmnTzLaF6YUEKpSq16
eOkwQn8Jl5IVaxPV1XRg5TMxxmgs/lAzVHv9hWVvfRotTe5aXTQbU8uGDdCRWmOt35xGNONVwHkz
blTaddi22WgdcEfbX9wUSj91GagGBst1t4U7rhICwq0eKIz21Wstso1O8GC+MzoZcuZbEyPStLO9
pE1ThVTZfLDZjZtNGai9SScshnxflyF4xmjona0+juNm7NLSh0Y1IMXVO1JZyOSoLH9duHzaYaK+
LZZGdKHFp3G7Rppu1MKcSd52XX3rNrm167FjP0ASjW/QxMgXZL1E6ajMK/wKWeZeDnGkBnpj3+b5
DBxX5zBqUDHWfsVEmZtGm7RhQ41Zb+chmjZsu93byaorskQbpDW1GR0Bj022Vxp5hmLJgNFhxT0R
pKlSHrow1Q8d0R8B09PwK5+GhskCeoxv6NZxoc9tN2S7qKv1R8hp/WFscnurS1oqzy3C9sExh3cV
dWAwzIyKQ1RUmInlnByoNQyw5BEiVz8SjnbCmG4es9hyXtco3x1qYVJnLM5SLbAGHSKajlkjaMP6
0UJEd6mZ6HyTXR4GfR3NX4Cf5ftwIQ6T2HfVTb1KWRD6QSG8ncupuJDLkRKIW6Zp4iGCDX2rzVYJ
QFg+iajuUIa5xaFwk+i5q2U+McsL5X1mVrqPsq/aDRDMutLhPrRDk9BM7L5XhDq9PyOHcrclmfQM
DixEPTdV5aTIDrvqtslxJrdChR6gZTMhBW1JlgpRDwPEcq8Iu3eCscwA7vnoE76CzFVSW5am/sbW
9tmSjeUXcHAm5AC63WRBTX0cYTKv6rjqxd0IGCni12Z4LufmP6fi96JLuvkfTsUVsMhJ8q/pHOey
6N7+fCz++j2/n4vmL7TPbAjZtMGQ/dO5KDgymcOyZKUBocH+/Vw01zRKII8qlg1GwT9si79BOkwg
HYxybbacbAHFv5dGaf5kQbSYX0ID4SD74Yha5/B/LmyrpSQzIJzjW3wxiOQQPSgpkkzd8i0eefPe
LjOj2LIGjvmsJEZ1jig1fZlE8UcbsijzSF3SK99R43o6xEsNJahsbUTAjQ4EskgcIDt5NZ/YFjfy
OVnMGqDaon6koChcdmoZHTvGNJtsWWUYjF0CmvXJBkmnH8AUDMMRgXUznpuKmOS4w43tzbqcoYWw
HwGdYPoa6gSEMMpJ7ecq8ZC7Aq1Li0VHOt18HXqdM02P5cFExT0TK+Ro34Wl9oCEjMjcuk5IJjFK
WCv2TREnZzmU46GXvb1Xmr45MCNOK4882uk61Aojxl4PSt19HovJwPHHI4fHOY8UgBhL+jxZbeUb
vVEFPedJDCUfC8KiNTy1xkwDMdGXMp1guBmNxZwHMQcsDAit/kK+8IIpBIdIgnek1+7oqKw1y7q9
a6k1xA1yEuudKzLfZMjhwuYRBsZy4ExsFSDMDeLTTdpoSJVHMVW7BmeP3GA2Gs9lasrElHtWTCx9
iq1YHJ7V/mjGcQdwIIEjVHPWZtXQ2zcLseiNu3AgsVrHew3FOoUx50YNPqCDhuDaHW5oeilNOm/S
aB6yQ+QoOEiDSrfM14GV3X3bkgIia1eZPtxidUi4qdZ+ziHKJOPCSM3KtQc4FNpWdAl1vlfB63iB
LdSbTJXd4QRCI0Pk24No40EXxoQ69+khMd3C2GCTuGpaycHIcgp8aDbetrMckHQnHMIgV8tgBlbp
K7qmHZ00Kzns1GULUizbIT2/pfyb7jvRm0kQKlIPErchTJ1uKTo6TmebPoUbcAs9dbDYF+rQbaQx
k+08IcRd3KV9K/VKvutdrRlbN2uFRd76ghjQge/hRR2rSa9oXe3YGh3EOyOSRwwPqcZQrP8ap+ZA
vFRpWneQERLLK80q+ho1pkpGgQnED9rZbgAKEdj8urMURrXTFm26FmWn7VijYGAnm8z2cnKx8Jbq
anajaxHUu1FvB1K2RHEYQGdckvWcJnVEmic0cMuxCBfVW1J1TWKO33iN6dZB0rwF7nwRcctUuzcF
nZbdvsRTFn4Fa8Ypli/DrmKzsSEWszgi2q+e0nYh6Me2ruudfRtqhMDZqlFsRK2dYWjNjAehWTpG
ZW2dpNJBgBiV+llqs3pbwjF9iapkuWlqczyVQyb3rWSqPici2qUpdUPIZNULAQN86GPW7pg5uA+R
CQ+MBaK+xq19WXT1Fgg26FAlFKdsGawTYm9ln6bt+GzVJSgD4hmAKiSG/ppbK98Fo3MZeaNUIcHp
Jol5RBp9KrZDonTH1diuUUyHvpPvwjFdH7Yqqyaln2sXfIIwHyoD9Iuvw9p7ZwoaPVqpGalemTXW
ty4n9aVgPsLPQHYmHan7CBAhHiOHOYyqKI9s9HLUhmmKnhGhs1FEzn6yqGRQnA+O1zOF2XZWpHGj
911yo7lx/9itceOS6/PYTvWV27q8d/T5hEycIjML3b1iYy2GdFHbR6dREtdzTel8TAAy7lzpJHti
2ooPO1HdQKootLwqV1WxwcGjeog5sQml9x1RFYfZWJXV3N0PmlIyMdHGWd+7vRH6Y7c8OWqqBTMz
V3IbiD68pHLgyd6rxtdSRqOXx70Ce08z02Bilf5qkXEZGFq13JeTm4DYa8bnLG6ZtBppedYZ2YMg
tad3VGTDZkB5/gkmhrQUq142IMzb3WTqxguh8jlT2sS9HVDf3s2FVW7XpJk7vWmqVYqsPqBmheCG
FD2rt4i0IySKtfqGR6sJzKkv71PiTDt/HmPDR9FJY6B10SdgKHVfAKN6ZfgK2nLh1tosPHL8uJsH
msEoJi2r5MnvjA2zMGcQZ72Gfson0tia0crGqd0KDroVH0u3qe5qjflgV6swI2Y3nr8nc9M9MG+r
U7/WqflbpOS1F2tt7odru6lpg34AwjP3vqnX3/M8MTbaVLqEqOjleWIM6rMNbk5LUY5XaSsbwuzd
cz3ocKfsGZLfAYpQdo5VrcZ6UqdfZTuQqUa+GZI8Z35QR60lKF3E7r3pkggyON10KKcwYdwYmiNy
uES9ZR6VPeduWT9HTtHcFb0MiUcMk5t+qicvRq70pNFkbcAFpjtWdPMmRJbgqaIA0mny11KxAk/p
DlDwhsqL7P6JqT1YpcRsWbRh1PaFBfOnVmP1rm4xKGxsJyyPxaiYnc+KFsdoSvgp6k1Nx8diGlzH
bnwxJ9vy8OeK3TzlrCLTOlyOmCTFu87PB/AUFskdaMjRF6nqPkMBbPequXDQOwXhrh6hUclWJJk4
2UlVPYb20ERw+huReVFIKR0443Tq67LZthVrjP9eT/1nZPQPxTFDUIeS9V8Xx4fiI/mpOP71e34t
jh2S2N3Vgv+DpPFHgJ3jENRBtAQygt8HQ79leGi/2JS/KscRMk/2gVSsv9bGjJNs/sP6bYQL6wh4
/p2hkbmGxP9hMYKwU0Oewk+jaqcQ/4vartcJol+wcR1CY5kCo5byzUpDaDV9ourswpZBJ4yynUH3
ot4e/SzStZNAIHleSN2dfI1ooE2oJsOH3Ws82MKp+OqSD0ryJ3pq8h57Bd5bGXbbvFiKr7kFMpNq
Xb9tkpH6Kh0a44xfyVl8eD0ocVsXj0sinAfKInnfTP1wqw5vedngDGzj7Es3qM1rmSWAPpZBFgtL
qWp6aylSJ6YUCtMUxUCjH0xUUhhgsclnm0rUGXC1DNKY0eSEns16gx0Jwe6B04taNUR2dCZUNCSj
TWUPHFgNvPiNLB3MVo1BbYc/OzV2Nfjh2JviMD4ZqT2Q6zPbie0pBXWMDwipfK/aqnotO3W59MyN
/N6Q7U3ktuM7BWnxanbEufmDE+FDGzMiv6s0etNjuEVJqpfUPP126PPKF72uEvkIgnSxpvLOwn7n
QiOf6gZA92gTNpVkF8fAxGdKY9muYJ65LQ+2PfaRV2dEhhZ94wkTj7Ke2HdaTY6Jlxr5O4gtKvAp
d+4AWFQHhPDdA914yzi1xQMwzgYjhUqTrPyph6wO7HVKjMGNgxQuPCytVh8HzJwI1SKLCN/EqsmI
VXMdoJAyyy+YiPqH3sTFmfYaJFuCILWXxM7Cl05hmFWNVr1hXqicxkVPPQR8AsH2bPojqaOnJdL6
ZxzCVe1bbs4oCxXiTew4wydLeSxoEZolIpekGd8OZiE3Ve3ipitGt8aNotnDWSoT3YEr+uytBm4P
kGuqrV2ENSX39HRsv6aplNIfw7omT7g2orvCcQttzx4xuY+rzHjWozy5uovFb0O/0zxolY6qto7N
G03HY+PF4Lj3itFFLZGmVaB3Q71nuIculb2TLxhQvipF1BwNNXe/j81oN9hhc9ZhmjE6yQbTgnu/
xsogFumwdLykkSHuYhNrvDc4+GlAqS3Zu4kjAPdprGcb6vqcCWiHHS/Xikfex+yJUzC+s6e0Pbfa
DMas0ddg8HKsTwBqGOWJOcoDbtfykfpJBSGFPTZQav67VkYm563Zl7h+8+qSFnaZ4AHL+ZS/TDAP
TIKcwQSYXB7CRNXq6A6Jyv+VwA8RNU3uMKfifnXOqvKEnW7CRKe3WK72+QiYORwWwNxwgY35GFtx
uq9HcafRoaDUsRcKxyTyoLW5D5Pk07Npp16+hiE4NE1ibQrs3nRbP6v0co1Nth565CVr7azBt0Li
7sdFol7MKp9OnSXinVmjxWnLVkIShxKPOyrbIFHmVuTzch+2E6u0ZBjk0xSORn4SfaemdzZaYukG
ZgXw58Fc2jEHB2fDC7joGkX22DdfTDTdVyVz3CyYGkCZRjMc8fiJc4mcE7JapgcSMsGu6vP5ClRN
x3FKHVQ6VgRisJXXsTGaewC1k29mKdgyw5Ubu+KNZPXm5SFiCa2OL2u+Z593WIG75DSkxwpV4qE3
lBq3WIj3MNFfRRhTM6TKMaXV4WxXGc5rLT9GGf2pbs0vMfrgQ9g2pa9xWXCKOO1topqvINyjYFzg
KqNMV8605+GejJvJn3v1udA6yKNRyJs8kzIA83nhGoadeoPUG3YZciV1q7bx02RA9pRp+cWxIQzm
TvUOSUJu4BffY9l1g7CTXyKjuRVjmt51dfFiwhr38NyQAqluc7V8GFYfTz7ZuDlUxqDqmA2BXmDz
AnIIQc+OtcyHi4n3a2hrG+e6ONeJ1h4bo73pyOzbzq4z7FAimIGGga32EAnRjrlZfCSA0kz486rl
NZ7a9uyyOd6KUfN0bqMbwbt9UqMGpLnSF/fqVJe7Ffe8M2fSj7u5XC6YW9OQ+wcAGmSH6lrPs3tv
LE2GVZ0V9zVTpvEWtOcH6U/qMUsi7WZh17dR2tHJ/cqa2IOwHGGp73D7PaJBjwLUTGBFJkvfADDO
g0hE80XCzPDmQcMqmkW9r1hme9Hd5Go1CokHBsneDbabS95kud+wlHkYZBhewboxVOoJZbNKelqD
twnw1RhkOsJ4OYVvcavWV72yxzt9cqebpGlp/hK3eMC7tQJexbG188JH/8WTX1Gfsf7XnqXwjzid
Qt8VvFI9s9/HaWjvHcW1feYi89aYF3fbj7b8FG1YXJZx0/ZLfxo7coW9pm/NC88YqNlMNQg0j/P6
nnhFchDwnN2w0DR80OHgtac2fjel5LPlli0Qlqy/5yaUFxy1EvBrSL9bCHuTiKUNmNjc2WZrBjDq
m0O+GMadBPmzdqjVrTVqX62hEZtaU7IHgrWBkzM3e+5Ks962o55p3BlxhmxhINdbA0SwhfFHfwOr
aKcRenCjDMLFQjjO+4JIzIPoOCJx64sDoQ1CC34Uf/+pk/+pTnYtuG//ukz+f00GZuGt/fM6dv2e
38pkF5rzOqfldMGYwJ70992qa/6CYsUVjC5sCyiZSzH8a51siBX0zNh5pS9D1Frx0L/VycYvbEH5
agejz7oT/bfqZMhZf66TuQn5H5pUWyMih1f60wwZT77OboR8XUs6jg/eDOt80Q27JYyno4xqa78o
JV7MchznD9Ke7ZOVmTV7SU0b70uGCigCKuWNKAD1nAEFwgQaGo+C7QxgSAa/QdSa9gWecHs/p0Py
yAEodxkO1UOOXP5rSaY1yDo7PQLO2HRzW3/DfZDuIdQR7IG6e2ootavlXa3Ik0nCSODimDL9AQNF
dnQLWdyEtiF3vdFS/3XFubR0aCQyzAMlzeOjNrTjoUhyQhdy8jcDXYnsI/VoRYSmnG7LypG7Sjru
aW6jgehuMelX3KnuBYqIetbmRD2jLSNGZyiNeosISe4wDUcvmpu4Fz66d9ok+jPhWY+LOiMsFxj9
yQR2FU9FTvyJEouUgXwWvgOGV+dB2HR3oH6pnFIbtIJpUaU3rNt2llSrj5FF79ZoDKg6CZHhRV9m
T7WZitqbpJnuOAvTvdt2XTCaYx6o9qwhtNX759JJwtuu53zvymR5x6w8vxRNb1yjDB6WMafNRRjp
dIUzRYyorifbOoQPq06i/pYb/RRAlrG31SCHna0xhtUipm9mVsg9GH+eh6SCfyiuseYLA7phmKIX
0cFczcZ9AowhU8siaK3wTGRXflAcBmqZnQXE3S7P5tDUu7oerM/ITUuv5Ql70wlz3Al4qAdiSvI7
TFcLK1IlzY64dEJlY6DRvakgkHyJ5sR9tWuRb5haV8ewEuNDNYz1oxuayXlBu3seWxWYSd8YyTNE
8vaU9qp8MBnP7nKEc7QX1Bd7C6g4XD9pGNeF1uYcRSY5F7YtpadUDuJQEpfYhna1Q8dgDCeBp/LO
5Sw+ItUUoZ8upnxfAcaXUAi5n6feuBG4mXZ5JZLX3rGTl7oihLeIKuuaA8/YT8RpX7DRGjf6aJX7
Bjz3bWeW7WNK+eJPeSsPudKDkQ6BlLqF5Vz0utJfC1xN5zoys0OCZp7hqDSpNLJWbhn6W7eyGm/0
eDS5Hetmr6jdBmla94afjEnOPGXaRq9C+602xu9WTc5wRICIl0MgAbYemlvE3k4w24X+xTCz93mE
Ye4rkam/2k7xWA4GdJa2mncL0/Mr2ZCwgekJlaOlYApEUeCol3hA2OyPiqjf2rCh7oxAvjIqNqD4
hk68Kwa+CdS4fHISYMGDAbuJbOb8Jo14E0dK5YPopQgATeQPttF239BsDQ1xR9ojnv4Da1BxpObf
4c/E5Q1aFj6xTLMrZh95b4VyL2bY4SJcioOZ5WXQVj1VFw/L1w78OLzkPOSkNOoA1RSE8GJK76sW
SudCqeQbGdrMJZ7JzKms7AVgx/RkI+G9ViTY+LyhqOuamEIYXVZ1pzTTdiQP7KZucNr6rru1ujTf
he2onjGXyl0tr0MYDi/KajHKhKFdUzUyyHF2VNJxRoRSbCGad6ObeSUAg0Z1snelNk6bQWq9wgbf
cF46G3yOV6mLhARvzyUu8jm6Xdoy2ykTWZlspyybWmoSLrTkkflDOG96covQoZQ9aVCuOzyRE7H2
OOQroxKJah5zSGs9t2pYT1R1dZ6LUN1oGp0ZcWaOF0Ws1BPpgu0WMIlcIHtsD5PnzBnVg1RbdYM4
oaa5zMpvUsRARsrYvVq5Iw5AjqfcW3AyX5O1b7XtwsfN3b6J1J52KXqhO7UVOQTI3FAvAxElvgMP
GjaGI8UGz7z7xeXUuCzssJ4bx0xO7Cq+4s8Se07EhSVfO1zayGQ8jxjy1KaioK5V3BP51s0dxXN9
TiF2fFHCRF4QmFQb0l6ireaWUbDocbWx2tp4xoOg7wXpL5smdMptPKX698WO+vOI8vvNZFrL4dIv
5gv9bfIEb2WQHkNIF/SCG+16UFNQXaLRV7QwvtM0RLQjiiqPGfH0oPZc+iK2lmCeu4puT3du2D/A
4CavO74Fhjlyo6HqcBXsj7yzPdSPyOh3RTJ1B2hD1ZMkPz7RqnQDGGa5y9gbbaoBjpQ3M2FJ/V4p
TI8Uga2oy+GiDZF+dHEMfB1rPQtGxl3eAMP0zJRiummpS/cYkGHdZHXjvmZCJEFejOqLDJtwz5MJ
emSnB7MurLulT5V3elb1WHWOsoXI1bJVIzHcMpVwK8yovcp5dJ5wv4ZbTa3Vh5hGmV9nh4o/z4rY
GqhOLs1cfyvaZYYk3vP4R/e+wLKazGg3GaMWLMiG1/b5xipUHf120SQTKtxyhHizsvHUhCdaol5X
CQpnf5pGj71FIcJwpZYERxlud62jWu5Lgr8ToOY2mXVL26APtUOnZmxSZYdBxrpnTqNySnQy/5wi
vyPCLNt3Vv9qNVbk8ayFMu70Y/8t68Qr9Lg3New/QeO8OuV0X2gLApNlxEBi1PmhKex5A6HoUa+j
6ljFtk2AU6YT5z4W7wZplM9gCF6doRAKt3oCAzI7QstP1P5Y1W09dDtkWfUizpRaRSQ8ou1IOUvA
rJmb1UsGK9yyg36ceueu7sisfmlF+Nkns+Eg/Bl54xRSGUBNDQvBNaW662eqnl0eV+U5gYBXvlY8
QKm9Vi7ZFGbbmuYsPzrKmk4IETCgyMtutGhm29ck9qs1W/VXdOFRehdif7ixY0trHnvGfOEOuLxE
ZTa148IGN+qs9MOh11SeLPAj1obtSMi6SEmyEh5DYgSFos47UBLFdhDtM6uBEdRDJAMVAZnXRebz
pOjjXiSV7ZMbQlZbWUxbV9qUk0TUJ415InzOiWhZS8vLSJ77otiDsqcWeSoWVt0xUShHThDlgYiz
6DTZUvMhVc4XBFH1peHdPC5sZLs4Gd/MzJ2PjSsUwBhKv9OKafbAHlBuGYvee0yDm5uE8WcIP0rM
wcCAFqYXhFAwy8BoUA8AvTOv+UIwW1or0WExYTcRRB4em1xPjp0anYTGNE21tYrBk2ACGdn1194Q
wG8ma94l9ZBsgdS5GyVSUWiRjLcZQ7NCgA2D3+tCktGYJzj7Hn0eFiqdxESS2z/NHk6bX0F3JcDI
xRX9QWKecJ5btUfh+96bNkGvT2FtruYQPLekZfxHCfT/pQSC+4x++V83cWDFiu/vXfLed3/s4/77
237t4+CKr8sM4KYIghC3avRRv2pkbeMXbOfsLlh3mJr9Rxq5qf+isorQkQ7+1qz91seZ6i+0cIIN
ikXvRWeo/Xv7jrVP+x8jCL/E5hOC24fFh43B8Gevj6XPtJpAr/ZlEWngRBM+V7BeID90L+htvjl4
lryqXLpN0U8uSwnRetM0Z0dHyypf7ZxHZ3CyI6qY7Mw07DQ4JpttRVCWoouQKkNcO0XhN/cmmjrq
D2SyuRrwtDSAy9butnIVGi/R46t39WsFIzJAlApbynSyjVbbBFho/E4+NIOf4j/zVc6XAOLwyyBd
DoCk9OqqhL1gpd+EUqmBzPnyTON5iGa2OVRD86I5cYUZfjC8FEv8Jg/tL+yV71ND+zawTud7qxdZ
Jp98hAwSScgEA8hw1WDqQV/h7xHV1G3Upn4RcHChBtoFcsFV9hHh75ryQg0GxT40LNijAmxKiLLG
H9xwE3U5XtM0+8TSPXlCcCmB67SBWvND5cAlMLPoiT+By6A6h5ytQxA2fNWg8hrwY1LrhRjumH2X
+9Rsqi2LeBmIWvBfM/M6On23Wb8zNUPHS9w+5QBZC+mZS1BJo9swKl+uUSmvLooZgm74lRIcx41l
1rz80dA3fc0LMiqRBSjsnxAaUXMCFw14Gn/ORV1iZWl0xlgzJUQ2o15Cof8eSkXjOriP6Nm6DeEc
sP+gzSIAhv5odo4DLG2gbU3d9jF0wuxUkzjo4/1nOUNw4350uHpGyy8dLfvgaMrjj5uEUDP6DLNu
g8rmPiC76JoPDtgw1X0c6YR95luDn6vWdSChjtiOzDzQKbhbLSX9pIzy6Wi7hM0M1XoXdXwtWvNL
0mpIJ8tW39gD1isRionLxI2FLBvcsWVduJ8/wR1RfSBP9+SYfIOzzXu/8G9E1k3UTUoRjJ3D6A7S
lZ/nXKVWoynSGWSf1bpFRtI2Lz/e75xFOzxhbqtu5O9FREeKisvksiQ1BP2HI4+qFn3yIeeu5lmO
3ZS707G5Vcr1s4AYdX6SMf+KkOeboa2hGJNLMVUBT+25XKiZH1lCdexP+Jyw5AqPjGCXc0xLAua5
fbEB0YNj5R12em4mh0/jj4tBFOlAD8aXVln+LS9HVHCqXR9BQVsbgndBVmVteJxpJu/zNq18bBkI
Axsy8Qxoalv4k/rmv9g7k+24jWyL/sr7AXgh0GOaSGTHZJJMNiI5waJECX3fBr7+bVBWFcVySeW5
B6VVtpUdEIjm3nP2aeCerXPibtYoIfgOYdReOK0ybSmxQEysg5jon1nzU5uHkqPiMR6TgrWWpote
8B+nsUgvHY0Hla6QuiYkPWM7G2a+ynOiZkN8M0Tm6e3x0iFX7lTRa/6E3AUhncNi2VMNwD/VEsTr
pocwUovtxB7Gh1PHY5hiqnq7t3iqFmRTcbRIAmcKYQgUdMg8feTavI3y2U6Jh64ad8uxgdgc8HAb
JOLZGkYkir5lACwjnEf8hlCnYqtLpjF34Pk2UIXt3m5z15Nq2DUMI2pLnT8kIngBw67szIifCiGJ
bWIviIJydWYvM/7Mxo1bIFKkMHw/yEbMK2QIeLneuZ5WiOCgNn2BpkGdTuZkbp0x+Qw5cwlRGosj
eUIpgZ48EZA5lV1o8pyWyMePZEG5G9tikBFYVhyVFj3ODC+VuTenEMnkIGYOxJNB0mPWsqOaeDMx
Dp7R6pZnd6q+Bt/WrmqtbfajhR7KRqy0nuJc3anw+X2FSArPDgWT28ite2MLBr12E9GVB8JVyG3V
MZmAYhsQkfKzg4GvAPaapwh2446AKv4gOPb73KS5k+a/PbRDbA3UEpQ73ju6NhuGRGMaN5pM5JZM
BIfydrksOyODqZ6qTct+0UvLTF1joSyOk2VMp95Ov3HM4tKQtuu9XWv6++k6pZ103Qvuq1Eg5Tem
jsYf6JUV+HiYe5kSXGts59dgjbKtE9TfyKpe2XlPZlmABp5O6XQwlCzeiKb54sAlwOCHoL6s7Ye8
RPOSKtG1MvYnIoBpkI5OeJDxRDtdyWgrr9Fkqz4gDdpUxaRYS+LD/JyaWT6QfANNwXdpXimreW6S
z1pSTmsOdq4J70+7MwkUW4MGqZJLGbb9AeIet1BX6VLRqSKw1E9UVORRGXfXUWiAHYLrnVGKA1GH
Q0OmHQla0m1an+NyJTyrrhVCpvsXpSvLV8K3vxixWvarUJ/Sb06tKzN6KGWeCaWkb7TriqbcuHkK
0hVefU02dNLwzCNlVNYhS9FaE05wCZBxVjaZDnjtRM6VY6OeN9p8B2qzUx4hHQ9e1IdDdgwiVwfH
1tBf8Gq6VvHJHCDJ+6FWBMq56Nk+gJu9e7cVu/6+g3mfcPGzE+1tX4O11SG+Hj8cZZylfv3O4Zm5
ijYbZUOSZiw5hczRNwDpDlOQcwfcGDo2QZyeEf+WpPWzT+/PzzWo1HCcVu3/oI640tAAX1b9Toxv
kx3PoB6nr8ihMC9X6bdf/0rq+R93bwbGaGySZD9gePpgXp/HUDFw/vS7TDJAlp2ASyihH1J4W799
0j+dnN90cuhBL2SZ/34K+CRL/HXh+xPAn695bwdATWTTzVmcaAsz7l82OcFGn2MGe/A/0zx/KJ5M
2jX0cDgBYNEmFIfx/cMNwAnAdW0iEih0qPZypPg7kZ0/j6DFT4rHXqdfha4ODtQywt49J0E/CsLd
6vHU568h0VZR9vnd1fiLB/GDoOo/PmB5YN59QDORYlRNfICDbSkiS653X+LhFLtsFl9//VFv+KB3
hxkA+A7TN/5yLIk0pdQPj4NEwp6ZENsvEzOTKiL+XNEAjUnOzRi6zWeY5qEDsweiswrUmFrT7JWZ
KePiQK+rDvPXEgGDHV6FvRGxddwGTahuKRL1X2PS6eP82H8X36sWQvzsuyjfQWR9YSFBDe4kLrJk
EfG3XSKuk7pE2S8pPZJIpi3Cf+fNA6ANCBaQmQwUrNasB3WU3tYukWmNZxnFYNMyL50c3Jkl2fsX
vXZoRBXfEz/RX2RB3dOaHuAGb3JiivX8wqYQszYnaz5xJDPHZ6VUrVWqIN3BwwT4WSULUL8yFHaq
F0nnRsotiJ3YKHwwpoGrwCJPk24KtnbWxO32n1njfzERYW79Zf93/TV7GV+ar+9nje+v+VE34Pkn
KxPqowGg4Htx4EfdwKSkYFMBgNgFsmzxz/5o/7p/sOBRUyAGiMICD8K/Jg3dIfmMVq1qWSYBQZqq
/51JAzjkz9MG/WUTKJljqIgll+70hyctTThJidmtd9KS0SOyuaJaWwjne4K1aYlMxDt2m6qW11kJ
ytzLIo5iqu0SOqCCOhjigpOqPovHIO5zgDpFanmwHsavU2cpy5kgofpPO3PRgRfANZFaZM+G0rCA
4/PbFEgIQT+pod9MLo83FzHeBZzkbpOObfJE/+OUJWQBcwDitGkTE2IsSLnmYAkV50PJkUCxMzwc
UVOvKNM2F2gJgejkqDqUyUy2I19OQx1pVXt7RupHfEZ3LtzQONBAfk7sWnmMs5xda11YK4NIyC21
ytCvlrJG5bTV1Tyxtcin9gZ146uppPxIWPUraOs37BDSjYtoZy1NXVkl1Ay2kMW/VfQix5XqdoCu
gVX5Js6JjVZ3BCHMfDophjeWPqmr2O4uOxAQq17jaCKcu2DoL4lAJq0HeshYz+I4sXWkrVMMtE/G
5Q8ikWR+NJzqEVQm2H7RTQdOXc8cy/dLt2C1tDhTmT7XJidGuyxvp0SZn4gIU9cVYKU1wKkeMShH
QYCvHkPwbtIDP7CZ1NPAWr4C2TImb+3WuKTge6tXeqooG8yh5W2IivWhpAT0ICadk9RSL6hD1KWA
8SbapwjOIzX/1s7VtWoZM6kyymGRuL2UxHTcVdiOcZkEGlGvVeaPHB6vs5FQC2fGE2F29ZUENfxo
pM6d1cbltpwa+OetpCIbpLY/gyrYubXlYCRy7jN8G+im9PE+JJr5YBDtRhp12OY3mhv0XxQVooNn
16p+02mZfsrjOsLIpUUTJY0I40IWFbe6QkYlULcmWmulfkZsi8vTCYq1rkfQlHlyVgmRN6ylykDA
0FS726bWaT6ElRAcKxADJ8J0cBANVonQbuovAMN1RBA0inlvA+a9MHJLfTb44etWdhwP0cPGuGDT
EnOE0wQNogWpXpCgYXb7ku4ZNvCkk9+UwpyVLXG1ZfBNuvZ4mWkNDJoQjC/nxhgUCMcEWmyJuP1n
ov9fJnqqugs35L9vD09l00X/5700ZRZ/MI1+f+m/J3wDsgdYHGzUGk21fwt+kMzr5CHiqviufV/2
gj9mfAQ/BErqjgkIWeNlvOrfgh+2lEzPGpu77y7Uv7FNtNWPRw0WG/ZVpIQtnFRq1suK8G4fZy++
JsLekNh0VFNXqCIjez23WNHW2tCQ99sNlVoCYLMjax9onP/2hVa4RMrAaik8+vOLG2qeclqkZhnW
OyWjpd2sqqHI1ZUa6S0cC9M5yiAy9hXut1PJVm7fGT0TsdSS+imrLH1PkhRQnjEBN4AuY8KVRGz5
0cXG/VS0TvVEQxyiAfkugKtGOupHZlzjpWgGccrdXCko6oeWRVdRc6qtRkhe47epsrxEDxD7IFCV
18y57kOPckDDtMVeadW1znQOJ9N9yGMxnZtE0/dBmgMj0yuWuitOsml5KM2mdA7kSbavraOKu6zI
ATGIiFgAUYQZqRIGJkkJnaX3gNPxMyrXaCyKjmFDmUsXdypw8hdbmybCKZR+pw+Rfj+jc78u9LLZ
tbpK383KWwF1HwTuqiLz7iGB3EPJrY4rqj1uAhOvwrP4mjQxV4CAdu0uxjH0pAeU61aT3vDXjElA
tixN80WGvI70Zb6AKRZsBGT86VrFMXCXBGiiEezTxl9Z7sSvNlI+00n16ilLVH67m5kzCppR1U+W
EecXBUjME5N+cnSGQKyaMZ4ukyAe9jTvU8RU+D/pDCzXk0DIJFzlE9KqNeOaf/P9hmYsgw1y08B9
0PrlDsOjJUNNRbTwSKo7/tqxCqRYU2xL0DG1WRrfKLTfqlUpE96lGugErpyWHGzPzHquy8gqxuIx
KRkGPImxEBuhHcKv6HLSyyiDRuqnxmoNfUMQq1KuhnH+FsH8o+tITNcD2+wzTWpzI4vIMrwsiAMM
iW1yYw/s3uhd10Q+iFy7KwwGINTDZdQie9+kE327jaTVGy54G/60UcTEfBMGEeU2MpCtkX+2u4HR
oDXotqkGdmi7XDYFexpGvXGZkfkBxQHd/jlUNDKjggGlwsoeq+4VCSCRxGpXiVM0LpQPGxE6GSUV
lYmVQ3Y363JSFfJQJMS1eambZbk/METxpfFYHsvKJTDBTrCfKAnmvKVUy/eO5wUCkpM5f2Z7BXys
GHNGTCD69nWaDD6yACEfUt9mnEh3qp5oOE/XcDf1fY48/YmaFm/W1TBCXBM7uG0UJMsNSPIrQ1RP
TZUED29DOFZsrm/alhfl8rAvtranwBqm84iZuvdGLZTXE3qy63zWygsjSgBJggp0H6Aoc+E6sp0o
TJHODvLCVsuLjBY7I2B5JAjHgpJMs732ZNRzs0F/oIuK66fZbppdbZIgRHnOEnfGWAYPSqIOyqpq
k4h1mUOgl8F4QNdRSgyDGu1foPJsosY45+fAayBpCwo/kDDJ33JUlQGm6DzkLXkboR80hrgbCKXc
SnXZQxJJpe9tFAmwSDL3ONcWt7CLJe9QVgLRe4ZkkZa33UY6R8YBi4nS4Kb2u3B210R32zvLbFCg
Z4l7RLmhrClhKw1tqpTfq09NOG7mVvbQ13kogpXWIIxhc82MlWu4Y8+ynarLMAHyHMs6pozNs0we
mbF3ilTBr0/eRrwyCB7Zpyk136RjyiByD12VSW4MrXljOnOA5y9p5HQ/pWpQ71y0M1uyxbU7G+XG
yUqzMdiAzWzm29blaL6beqZIHWvBcUpTRpTiIiBaZ5oi7gJ1nisySUlkoHOU0+onZjFGAjTH294g
XsBD19DsSOs0XtpYY2oWgWRMBZxGsF5ZM7e1aTM4NqPLE45PQ9zVvRR3CdEY2J0bKuAr1PaMF9F2
SP4LRilcT56I3KrFiW6buMsJJIAxk1dh4A/IAngSBREjuO8b3l4Lg/Y1TPH6xpHJ6AadfIdP331o
YlMkFwbO0x3maLXevI150NK8SO34zZ5WL+O/p2Z36uPBfQCobvM71WXaG0ZRdzAFTFiWUFWZ35qW
wIYs0pfx6MrW8aracR8UfeZGfp/SklbEOe2wkaFkQk/p94nT1hiOB2Ns/Eoo4tqweLoyRFwogEYu
r55NkF74d/TOjIeF2i6wR5hNtHmbWcsyEtZ2pPn6IGK9KB7GMJTpJ5PM9djLUGfixxjGeGtEnfni
Yvz30dfkdEP7BcQNejSa3H1T0cxbOdBZWZyDkBnYzWZxGmekvquM/UPvOaVTCYSAUSGiK0i2ZOrR
SchHVKI9W4hVWBYlpelydi9ymJsRjQICq7kksZvdzEn2FTbKIgbJOiV8YCklfKgzc25RofLUpP3E
XMsz2awjppgSprFmJh4KLeu1LPKHMhTNAapNr47kqo1LtJ3e3NEG35fushC12CzuYhlWF6wxzrUA
qMpxphn0DVv1eFUL0Z1MVS8vWhzzi0Utuo/t2sxWSOKea3qMilbWxxZyr9d0NkWWhGcAA4vIFQro
ndy3UV9d2AkEn+BajYwSHWD3iZy6TVW19UbhzH9Nt2SV5DZpudSyPkkrg+fD2SvnTAbvIGdWpX4E
ZthCGgXqaF2pVb7WLA0RDipFtEoWIl+P5ne+E6IOYSIbleMpRqpv0kIbaDtygCRZbzyYCeEeHj0k
yWGwqCIJs46E4J3LsCQarO0Xowo9pItON+YrZ1pCxRKXZQ4F1i6elKpbkWNzb4ihvFTwBl/Fc+oc
bC1g9IqlQR45UBecpMK+U004LFK7v2imQb204UnBnFfM6SUjiPVe2vm9wfk5O2Y4dm7qNCp8pcND
4hkzjVxn0IdvLW4acmA7XL4jRr2ZQebXph3DjJPNRiqJu1OHesCq3uU+Phzc+iDxkXPqbXLpNFEi
kVP11mvSOcVm7seAdTxW/TAe7103IXMwtputHYzPtAY9M07sz+jz5DkyyV4UGQnreorqV+vM5qZV
uayWW1g+8sXpS9Jrd0piBxjn2/bSiaMZSZA0vdLu800pFWMbuIN9rNzY8MO6vauJtUxW4Ipt6NF5
XV52ZD+v0zRnf0Ij0udgFhz6vBEHGm90DXGHoPTrjWOpzyremKnwyUsybycL2tZU146vuDMq1EXI
xAhJrzF9rW12nQqZ4VcsAqiajKHYwOew9lmjS3r/nJoLvdgh7Wy2zrJC6Ih711Po9jsz5Ya1oCuf
Whzr64RmKEwH86aPc23dFYV6TpvEoXSQdfeARZSjzCusXYpj87qRvevnDhEG+xJNmw8deTjbJO7K
x4TtO9u7ngIl41tL77CX4m4adbj2i26UldemoGBsetuUm6RM8/2I9fdFSfPHSalxrwg7QwTcNO2G
Mo1RrqQ9QjKYu36rBjiETCetEevHSDdJtdsGYdTth8J8rWiGQexCQykqFd0VarA9Inb9JWjUql4H
ZTs9siP22V2DVqLJWqxlqqZ+VxuUMGpmFGb+hjxZMJsrJdbsndpSzcijTK5bTZJ0RmLYeISDYINd
0fvE7ZlInIZr15nqeRjTTPgE7TWSvXg9oyGOA073iPbzhcYywzl7ZfIPN1Gi1SDJQZMFykDPMowC
UHNlqAfbzooUJqYmtnaE140PStpqDsteoBFp3Augo1XHCSSqffq9iPxanotY78aHCmXBfqYct3Ib
Ckzz3M2ovBcBdmJjldcy9Z4wJYchrtO9VA60qdn4MZHmsfuFkJ3wGNY5Qu2u/UQ+U3+RN86llRat
x+IV3OZYcB/dsbWaVc/ZpTukdS3jT61V9eo+Ty23Oyi1QEu3Y9ZCD+vqfT36iVDYOYUc3IKroHNH
drMDxaYJyYvzFNQZk3oAlquivz1KhP0rE9QD5aMkoa3taZmhqKuwVdQxJL9Q7fUnGB6sulqfLNaI
mEjLDfIHM7+oVcLFNkgTZrFWzbxzGD2a2/hmzx40QpsdspNt2YhYA+BqdHJVJg+qmKez1EZxx140
8/J6ZFvu0rRfvTvx/0ULRP+PaqngPG8QMQLGDCbixzgTtCwVDo462pG+xoIZlmwFER2OY4MKhbJM
W9zC7nGMvYTLz/FGL9v0MBjacO6NwW1X0TC6D0AX2Lwbb8u0wCu8Vcjl9DEksJuIqbD5WVAuW4rl
6Fm4ataslTzg8JbauMYvJXWK1+975Dgfp3OP0pRrIqvpjFSBpvWQzNP1sqy8YL91jwjFHeSzpl2x
Ifv15VjK0D91LV1ByAn/W4Rn6CGXhtj7UsLgEgWqExW6K4IBog+BZASTR1ZK6mljumbtwV8EMENy
1AtAQXmuOw7ddcShNKa2d86L+nff6K9ukIphykLWoWNt+vCNFHII554FcNckCvsfS4GV2FFbeWip
VbT0xpdz3Khp7StKPh1NGRvlYizx2oiGtcXD/rAcJtih//pSfexiU3QxKQlplF7wCBmYtn66Un0E
Uq/q4mQXlC43FMK1Pn2ajblvH3FuzvXGwALYrMvCzFJrNaZs2379Bf7iXhn0MohWInFB51ss+sF3
ZZ8xskQ5a12IFcZFixsUCwO5d0WgYWNqo5BjSlBtYz2Owouuwl4BXaANyNPuxB3ZhOJEph/nkV9/
q7+4LHRE4cxy4KNB+nEAFXqPsQAqz65QODTUE/tGbLglpxlUd5nXAdLK130+s61WhrB6+vWnvz2u
79qMy8Xg4+ECOzR0uTgfmh+FxL9ZDDPXRGYcohNRS3xhbe3kZP/lkTRRdSAH0e9S9O97sRzcCgMj
1sVg4NW5Miw5pMT4pl0Y7YB/E4JeE4T7rUVpdh7Bkf+Ocf8hCgX33KI/pY9Mw4YSImDln29iJJQ6
JrZU2eqRyRyolXMRHRz09zxqE9MFEz9ONs0ZlNtCQ6aCpjFiHpBYHW5psDA9hbrgdEJxOfOwFvF/
mZ34E801VvO38pCuweBCLLZQNRHPh/GuDKmAeWSzD6EfEpq8m2XOp5saZIs1nLmBB4sDwfcm8D9C
hd8IFQRzKQ/nf69Eb7+WTRi/vG85/vmaP0vQjvrH0tAjKkbVgLYYS535z56jY/6BCIFSBdkABKDR
Zv93CZpC8Y+Ss/oHCTAMMGypzO94Rv9GxRnsL6Pyp8dsaXvyZqoFvVczraUi/W7qcbWygCTEMqE7
4dOYRhN1WOBuCH4eC8W6bfACgAKqH51cPELQhG1myw0CqEMnbceflVrb63go923mzqtCwH11+zTb
NlKFCKvU+IMGt4FRN1jrMrJR0jmtelTCrHqm+ameFU1qW/JM+rVONLNXOTHsAqXAuxjaZ1qYzvU4
x2xjOyqfYzzybmCJdGpxfqtoGGfYHx/UrvHqIb8iRAw6bGcAeMmmfdPa843J474u7dH2hBz7Oy12
U29BruwjEpJWhiJuABaYW8AYnywjp/gyjtnWplxy2amxuEh0vpOqAklCHc0+B2cd50Wb0JHsAeM6
ZyFYtbKGWp/bw0vZk1PB0WpcNzgOPsd0Mi/S0ZjpfYJzZE9vbbGEq35jNPZ2LGQLKzCb4ODpr6Q1
g8PqQcgAWzIWbfCLNkgsTt1woLQIwi6m+pjMbEjmroA7YeOdRIp6zut2071B25WrYOGP9Eo97Srd
HVeTXYqzW2nZYzeY1SdajpvcHW/oSubnlIYHgHUqHavEwcHjBX122VR6OPpMUKpXF3X62M9lfJPq
EfJfcBtgA4itXFUoKG4RswW3qKXMC3YOMyya3CTNq7NqZGhVfKJNMz6SfdC+uqblPky5TooqduQR
EaDtHKPBBbkzIiuu+8y5sUcyk4pMZ2LLtMHcdTodBpsDo+UB7MgeirRASp1F7pZwA5a6Apz5Cl9/
mW5CtnxHu9acNbkKgovnasCao57co1arCtrIQUAPvFSLw7L3qFc1QXo1nkUQacvRLkayW5YXksV5
o4128mxrA9XyKSAaDqsydX8tK28dmhb+lMflLfZbcdKtiVLpsg2hcJo8V0RF4hkRdhxu4nQWmzzB
evtWfZbmgJi4S8OC6r8x+W0MUHqG/rHjKEFZ04wHuW5qx3ihFZo9SAgWn5uerY+ic+yhYtBxVRuy
mZpoWLoVRLvCtGV2RxBO+bM0iwNqy3hra9SH1yTx0lUJGZpmj5B8Z7YDP76WoTzj/+Y75qVKUdLq
KbeUppV6uuQ+4LHmDelUc9ZBm1L4csjlmjN/9RTx/EFFIgkAMwIi2GCKKe/ZEQSOShTxSSKwf41r
aIYCMudXc2qm66AnqOPtmyVBUjmQhQRvn2mafRPOgPZiszGJEw4i58aYGIOG0uXfsjwyDoVZ9Hdt
AlKttKSFUmH54Z2ey7Psze7ennL+YrZwks2BSWTt6KX0VbcdtsloJM9vIw01Ap82hy6sbCE1Esgm
Kmv4/8qrsVoSXyJKtCywdfZAZV8DNqrE5BHlhn2DK83Yl0tJXkwYRpuGLrsW9raxqwZuat8bxQFR
N3dNQ5y7yca8e+3sKD4VamldcSKRF3UgtHOgJs55hNDhR4xIrHGuGTy7GgoIHHZRjEBh4o0Gh0+0
JdXTLEQrVM41pn4rKW+x1rnbkl63/3a38jEvbwlEZBfQpgEKJ9ENjlcmXDlpG+ZRUN4JkLAj/Vhb
IW/fL0G0djYx6jkZr2IHzjPkOSqmJRvoZD61RXQakIz0Sns31CDLB7N8hia7Cslf8FznUuv6K46C
19GgIg3poh0B6d/M0b0g3hDihYK8RLPPU6tv6JxxkJ4fwqa11qY6OUfL4g2rwPRTNLdaJcne0Iry
3LGO9StNL/GExcI6G1Vy3xI8ebIG5vBUOOHasivdE3ZheHEuT8TLrMcpAUNdHvTCDq5Fp0xXYgKM
5JShRC7vwOKxyhTdvTsYPmTSnGRxdj+gd9BaUblgU9qI1yKcvKHWvtYFoa41EM2LhG29X2g5gRua
+aURHYQO8wb4PkSfodevsBgGT0qoPbaK84WgRuy0RZtvSB+hOidhLCq5TlIJQB9Cg6EgeZVllbe9
bhigAJP5NR84Us8wbExcbJuqm26LpIdpZKdbPemoqpgzNzi2xGaq+2CVjDI9ppa4tyQtJdutgYPJ
fK86mr4bmYTXqtNX/lSk5CO62BnDGRtiWT7VKlDXiTS7I7UV+9Aw8Lcc11XkC8GTKvLaQ5u/6oWE
clCdq9ixv1JpiXfGWKvPtqWAEUjTu060yQvWUd3nWW+hENeOh+ONVlRLqcHAx0+U+DwzH+hDtgtx
x4PCd1QD1uoaJcdtnbevkewCaOqOPE1RM1a+Hg5xR/CXhumdzO3enwetOJbCOmXM+TcMK0znViCu
dWzR/qgRPurlFPB2aZFWa6MF59AKrfrasoX1MUPsZV6mtICrlx6Z07p2WpfIuuERZBpyp5LV3tVq
c4v2+4tqqE91pG9VWQf3o6DgAepmgMoypvC+TeWyMTDxyUL1LB5D5CNF+EhkeeuBLl13BG0c8fqE
PpsE5xUsyHC2zVjcp+g/2EOgB/NaThWHkdBK3MaUZScPLMV9YmNyByWTf21R6nzt0GAfKEjbi3Ep
WJeDMmxY08dN2vLaMNd9SmzqyQ6S8obD8oTYu2ZnpYNjHavGOVVDNT4XqsyeR03Q9IVLQEUslxQ4
45nmjl4yk3cxAsWo4BRPh9xx6fUm4XGYMOofWo1qGNi6GXeYSyXc4dyh8kiED501KVeWoA+W6tpU
cxPxfyO+VCh/Jv3RNhuDEVOgcy/p3tFUm0eWQdifpxJf28HAve8HtZljvaqDB7eOu/OYznHizwSo
FqvOLZRTFzrmnp1CuhVqWfvxBNIfGVFpUB+avhV4W64EsYz3IyS+HU7e+pNVd+UqYy5c04qLvNEG
DKcYFSgMe96nSAEu8mFQDmrJBFYJrd6VAXEnVdMlXhLIYFMizuJrZfVWGtlnu82cVdsE41VqKepl
ExQN6vmy2dYa6rh+TAOPPcPlVHKIVJRtqIWY6535KWka2GoJCeV4Z+oG7VYqVjH5eZvcUDuvbFJj
O5fz5URk1LZZSkBaj7TKhBZ6Pafs8dKhbFm5BudKjnV2WyftSJEuVZ70DhYJHvyvo42LurZkt3Gp
UG1ghFa0NKG1NKgI1n0DsYmETQ0oG0VOKiJX5Kj3qBd6uWph+z+ggthO4xSuW32+lZZun6ZYwyDm
ODBFC7EFiwHYQDQ+4bLhV2rtW71jyRuIWfeHOOn9SZ2mQzyI1uuTNthjbDrGYX0GoGWu8W4nezlb
00WQOBGS2USJAFZY+nx2U2ZXcWH3WGgGn+4DCbrbNCdx/Ya81BrdVt+O4YofbJAw4SpKyJIQ1iro
EVcNZe7ZYyan/cT+dz6abFVSLwnz1PRlm1Aid8Ddrcw+nRKYCENP/l+O2V+DPToQHx+lSOsMQMVB
qcF7yz9NuXFD8sAA2dHtvdDox9vAnmdfyLk9hQlc22QwjcvOnB/rWY+B0Vrn2C0VKCEd8j63AKQG
DuCKMHvzczuV0kuA435G1NxdjrmtbGIxfG1CqfmjqQ2XzjDoa5SixgE7+8jsF7XX7phpx9G26nPI
VsUn8lBfS8V+JmopWNU4W17GLpRerDQG9j/My7kCczBMVBWjc1t4hJJMXlDRnasCKCVTB09Bddw7
4u2nFQCfi1lno51lyautUdg1kASdLKBlWWl8ibCRwUCL3YMMZ8jtiXiDDgLJ/awaI4qF1EyO41i0
7ONbMtms2NxjELxVh95V8XAOQHrToUv38xzgmphnQx6NuAGygTTjU0Y2x2Ub5V84gILFLDVYPCug
xeYFDblyHRfRlzrPWfWVOn+1UVgzZxFhvyHBbtg0Qm2e2L5YPol3VPYCgBHsgc56nJhXuMzCFlFE
ph+Q5AIAkTNPGhlXDxZ1jAtwPMVxzgYHyaLssqu0qG3TI2k0+lzUtIdWNK+JJhQRS4HqLtZQjoYl
+4DMdV6dUGXiGEJTnOM+dD5hHa2eZj0vPs9RCbdhCHRDYcq33cLr1bG4K9j0+6aYHdAZXblpmRh9
R8z7WGL1q4hlY4Ge01Mc9uOTIPh5bdU2OlmziHBJUkkv0XqWDKGQTUlSOpR/i9jt7hAEN3S6UY0W
s47KgXVwlhA1x5lAT2gqhJLU7fAtavN8Z+tdvGvqsdpNSvE1nUCJtBIC+aC3x7Tpc85ZjXO2cnW4
pu9SnSn3z+sU2SlOVwPQWFiitAz0eJ0A2j/wxe45+AXoU6JyA1vJ2WeWEv6TVvF//5NHfamBUqz+
71Wfh69NTmDF+6rPn6/5ITwUf1DzRuOsU/am2rII138ozfU/DAriKjHKtC0Eyr9/VX2MxZ9iam/5
eUup6B1pDPM6OX/kLhmUgQQ+dvvvlIGW+vK7IpBGLYmkG5tvyIdAfl7++7sikCOGfqZZZO4chziz
PIpw5IZon99dk7/o0HwsKDuEYfAbyZrUEbOjuv/5U4KenbhehsGOQKdCYL/Gb+tMAcePjuNtbnHw
zWbSLHBbdr8rJy/36/1PRPEpSEvGKEM4oqDA9uEnRgj4Jh2+5i7kNJhu7KYd18Mk+FxTTc+J0MqX
0M0rd9UWUDXaWcZfJ4XurG81kMmyRlDo6VHQcP7KEEAo9aFfYg9aJ0GUlGSBCQinATgDveeyb+3g
TNDOuP71BfzLH2Eb/AATawAD6cMVVKkr6Xk3uzvanotft5w3uYKmKEZzcF/rmPcDkSJvU3Ik5EJ9
k+RwcEcJSvucRWO6tgqNSkKL5VodqOq7sIU3oAWyPZjVFGEAbbo87jukeDN2S4Wckd/0Oj4qXJf7
gLHCpbqJYYDS/s+DABFg39NodndEnlAog6y0moZGbu0y+Y1tb/E8vRvUb3ecnDMdu+AC8Fuqqe8H
tclGJ68EnzSgjtihU+PmWU59aDq9vlFNJGi/vjsfHqK3z6MW4hiLQE77DzOkJtqiyJWMzwvj5oYZ
heW1D3/XrPqL60f52KAE7BDOoH9si7gN00U2Ks6u0ehDsQx9o9gX79LWufv1z3lre324fqaGAc7m
weP4+nFSSGiiUiOxnJ1GsW0/21j7I5cxIyU3Tub6/7N3JstxI9m2/Zc3Rxrc0T+zN4k+ggz2FElN
YCQloW8drX/9W2Bm3Uoxbykt5zWpSssqKQIIwN3POXuvDWdTxC4hllWX3c0DquI6hzVgY8++i2FQ
XGAVaW7bedF9uQO+51osedmDsPSB/m94qnIczQnP5iN6vBJ2nTbZ2qJ0ZEpvR3zIVNsYmH2ZHJQE
bjO6Ojn8+iKhoH1+StAOCpYGRjcMmwJncdb9aekLZZgD3mmnwwioYkXkzHhE3aiOBkEIuwpZAGfP
6seUt8bGyXLm8rOXHvIiBZot6m6X1W17BTNgRCxZWpvGLc0nIWEIOJhUv3pjUTw5jbttxSjvRVCA
Y2tRN6xbN8wfiBkJdrEmV7AjpPYxjjiblhgX9hnIrHSIvrKcZYCyHAerHHnkQ0Kvkt2FlkwdSgpt
NzkYBOGtKyeh3UQ/dq+syn9oQyc9ppwCNiXM325FR+M9ZuNZFyqDDAif4LpGYbGU9p59Wfj4sofQ
dbb1IG3McXUPCtytmPCJqDpkbQX/nFNr3oDMLYvZuIbSNX+bZ+QX9J26bZR11t4J7VStUjfG9pLV
Lt51bRPdZZkPda+KJy+Ksd5wfJvgEQZoPJZ0GMTCFbKlCq3bM4w7cGWFRCIdBPkxndMJFWfgXrs5
AWKdTzN9ZRXJeN13JXyrdFEmNmprTOjx4jD7bmSGfwaJbmzsKIm2hteeigI6We6KZpvJ4DgNRnlV
hTXazYlk1VXUwms1vBKHYnq53M8NCUIQCQIfelGFc1AU1ouDfnhlT7F5jBCiX9phPT8aedZJ/ldo
62Di6Afii5F0NMASpcVo7WUV+EfoZdZrG7rqJuU+lUcS6YJ14ymmlfaujGueiIEGUk+C7SuwwGqX
xRLNaT1h3axk2T4yHejXVTaN/DT08ShUIqDf/S6OrVsZFj1Cp3o4dqgpV2Tidj5kPPnNavnNW1fU
t3Obn5OQ6CWUIdlmiPJ+04cAkOKi6wF9gBiT6IvNyLaROU0RParoDL7za4zh5RB3nXkXCj1v09Z9
mrvsVRYlZI5WkaWR0tDv0EhCwmzFJRXqSOc2C1bVoIkfRNS+6lOUk5Bx0aEj82CJ6lEKFWW6tvHf
Xxh+FOwzNZXr2fDptCGT48tM4Q7yuL2OMwsNFioTulFsRt6GbShDeOHDKk3HpUyOXLlv1cIvo31x
2eHDXLeQn15TUJNIqpTno7dgarYyZYpBrDL5hSjumot5FvYxLqf8IKzEJH6L18U15oouZ9BInfVb
iQNphYisIUMyDteTmZbv7WBHzynK7G+up+Zna2jHUwEe/pgNQQdyrrYvW9OokbrTWXBCczj2gvfL
mDMU//kMWm5lpp4SKPMDTxMxsuAyCzMqVpOhp0d7IDjKMmV8NLOo3tqUeOt0pi+Isgd7lduUl8mE
NqI0sao6FBaXadnTJkvgmZ2CGpudW/UzzS9qOeqkbBemw/xj6NqxujLhfWzCmkOBHmbQiRV8OlCK
QDQjdg5B/beSJs1FcwBRwhW3J89FcjmiawJRhN2WNpV60sFoX0te1Ctwq02/yUK0U+gPq+G7SNtx
E+R4/+Y0bd9jD80VlCPvS0z+92XpeEh+TM4XeVXH11kGCANeBQ6vCpmZC3CUb4e2f+lSkv1J2E12
l0d285ymFlQJU4+bxOBcaDj1vM8zYR1Hu8l2NZK6L1UHobNJHPVNG7F5yFPUkSkjRwpcjl9uXoUn
HWBxm2ervrJiHZ48hV2NLpuHGNaCWpFWZb0N2oErz5L4OjCRzDo9cI0PrIrt2FAevTqEcWRr/owM
cvWEpcVZwzLlm+AsMffD0HFJhiuiVWd5hNrg8XW2VhA714KFATYIs5m6k+BV8I8AjenDE2cVZ12H
MNk5R7anAUgFnP54/sEZePiSoKfaWpTdpxSSEINOx5Y00opmH5aGc0EutHE38wE0t3N2Xh16TAWd
OXa+os8imiV04+7O9JD4hGC/71oTAVwL8PzZ9J0LlYl079EO2qsUu+iK86J14UzmvmtYFETbW1eD
1di7Om4mxGbSXQ95Gu8qhjXIu/sHERqSBKMuoUcxOluEfTe014JhlcXRsG/rYY733H4ve29tv4kv
W1U08FhmAtlQLdLF6goAF62FTvEywEfK/HUC7LsqUebEV9Mop0IfP7b3/8oU/k6mYH1Y2/5zwXrA
GJ0kf65Xxe9/5I96VTj2b5jIFgcaSdO/F6X/wim45m8SQZCAv/G7Afp/6lUpf5OgkignSV38IGr/
j2pB+L+BzmA2AArAE/+UqOYsZ/d/n02XCtJHcEOtzBHIt3lpfj61ASPNkdBG8h5NWE2TVBdq5mSJ
oW+tc2Q2tR21t2DW2nf4lCT3xplxRzd83sORnyEwJb6zzhXRXiv2h5H4CljNuPTpdg/1izJN/h76
J8AEjKFKbtIWqAgsYjxDFTluOwwUUHiglF1Kw1zUjCVrVZrNe9JdsjudcsANoHeSUmX037HycJ6N
bZZRg+7x9VTm0F9j1Y2vQVTPrx5vf8IQgNu25kXisNxmrd4xsm1OpC/Wb2TNpq9dNM43RoYtSzKx
eJlb3a4DjE8eU1zdfSeXiRCCGitfBB3jNordW0ZmSbKqciUfF5lC9je1qPVzQf3xE6C09PhVTQp1
MiB+/gkKjRrcCJV7r1srODpWzwFSTogng2oCw2Lh7yMKQxbBDRm08hJUNZeGfLaCvpOZjDvjdN4S
RVQdA90PZ81p5Ur2dvVNJJmBht9RdzFHmy3S8fTMBFjAC11Gz8yA/X0Ug2nrOe1e+3772OWWc3Dq
8RL6pXyQsdyjsv+WNgC0f10uBEs18NNzZy+4mUWagw6IXeBTTVn7rh9hri9hWBfhi1h+/Yjw42e4
H+xUxDEc+9Rqj0U6ArCKGXcAx+j0TtH+BNw3mW91JrgNgTNO14tf+DRWlnMfzvxTg/X0u6wrcYEN
bbyO0W9fWkjmbxw//IJ6QO6DhNl+RsD8GiuQeUjKsdxjUjL2MGrdzaI93WqTQy8BROZwYWrrW+mS
otBKcej60DnMPk4YAp2tTQKLbTs57PsmY/Gdk2D7DNKTbVfjexID7sk7a3yvaTAevTlvD20nBjIh
maAQZrnrEqStvJTZFaRQXiaVUX9a30z80+T/hDj9NhkIwAufHjJUeH/qN0mimlWFUWNvaphyMqEr
4ZXldIecHYA6Qtv0XMRWczn7ueTIWdbf/Zy+N3pihsv4roEgTGzEnJ2VOuCISy5yTqnnEJD3jV+K
4ezQWicXxupx4DWxTg8zFoVgDUFU3hlJN12rTnBD5aLS0D5wPGd5N40Mb8Ewqic7Bm4fIEC9tMmK
WZtIO65+/ex8WrPgpPgygHxgWQJdtqRB8PMLA3qEhCv0gXcxHOHbLujLvUE+9Zd5Gn12aQoEBJE8
O22l30dJNpXq4H2vyUeKvyH2n65qV4anpjObJ6+xYUnHublvgA1MwcKJ693iEXY+GK+hxUGTDjAA
cn77yyoMl7yXSG8V2GIQbJW8m0wGWuTfcalzb8xneyGpsVzNuwED9bKgVhlD5boTW6cz5BaULqVr
Og3TFWg6ffvx2NYpqLckIUu9bcCjiRo/fJX75rNvFOqJ/Cr1hHS0AQ2YgH0o6hilKKPB5K00sz2h
cQbO1yno4xUtIXeP1BaOQObH/rVvNmg7fn37PxpL/351l9sPqsP3TJ9Mh0U696nQHxs4YJFuwzvZ
1uAvOuGJ1dw2xn2qA65ApKRfuY0yHtI5GeKVM9VBfZ5aitO9j4+MWTLvICqGvAlPfjbUr8RYtkBv
6OFj9hdt+ILOgotZREqcTXtj988vAIUyX2vRw3pyCTz+c6ei1JlqRYwsLsedt51SMV1x3I12Db0E
chhK1hkQQ6wXcum4wMA2toAPa8DKpnMhRojGvHsAIeVcvVqTR6DaOAEFkzUe2ib3w4fca1DFxrio
/b/r/H7qWi03H8SSh5lbAhi1P393JE9Jq+3Ruat6x4HrqVT4g6cZw0qr2vyL0Ik+p5OarnNvKPdd
4XMFsizdo18nw6kqgPFhUmqPuTO2ZJo3xkPnFsGe2gRuQ9v05bX2VXLJvGy6GYsgh+2rRvUDYgUi
AHxCbyoc+yOeSH9gBocGv7fHrOQ07LVw1xy9miQKna7vwycZi/RATIJ/UsRvbEOambtc4YGo83h6
aV3S39pxCBkW4WrXpVf6607K6buIFOuVLGxwFKqWYqutGotGlb0JBF/4TksgKFldH3MbiUbp8apz
JphuPl49EEHRtzY04mHrZvzLHsHHSU+tvGPeh7arSCEaonOIv5m10rsUeOsLT97wHVL/soIstwbH
1KlPSn22Tc3tswtWvjppsfTIInswa6nhbgM1ffaK9N2qCgDSUTwds1GqdbsoWQybuWY8MX93UBBd
gZ5hL/n1Q8wh8acdlNcQbA5nBkJSMBlwHPx0bGCtBiuZDc0dY2QsfbPJC7b6WJvzcWKGHzbx+g8X
t46jHUex+tUlWxTdImvSNirUMTYaD+xHmp+aBE0J6XRmkq0HI00K4PnlrmuQWqx4k8y3eTTzR5b/
7k0ynf7eJ55tbAD/Ft5G4aZL9iXHsfOA53FbeObMc2CX0GlyKw/zXS5gfa8CXWC3YdS3mXXtHSe7
eEQgJiy+JQHJa0PSRW9c45bR/TxuVG/23/CeskRmJTYiUFeHSWi1t3lriYpOliPn8rvWY9I9YXE+
gK1BBTjJRG8Da34SdQ3ipALSzveJCzI5eCEwEvOwplLRn/N9750hDo2eYchOlUjNgw7y2aBPqZu9
RudQnemnkLlL+EL8hX0g+aIMQuhW5LJalN9JkT4pNHHI8rLGjQ4x5xZaNxarwUrFdfyNXCZxR+zi
csBpp+pk+pB3DFW4m5ZJJnGGMVhUBINQJIk4ZsnLK8WNUmPLP4cdTrvVHEsdrn08//YGs035EEWd
Ooamza6jRWq9xVaYzOtIuHV2YXTdcvwJ8NF1+Au2GvHAW0HXgIq6oV+xyDPx6ZUgdyJnzE4ED2fo
1Ua6oYY9x8hjhGU946BIfJ6nXt+mJZQZ7G0pPAXOloeOLmm0UkrrH9LN/KPfa2Ob9xiqVj5KJBph
LZlTNm7etQ/6Ml67LaNYODG8RknDKXM1Re2mg3bJ5LUOTaxgOv8BE/aOWS/GFIdjK83MjLSFfMyK
K88r4htZeOOazSDgzgSzvv14kf5b2f5NZYtCXbLx/efK9uZ7WS7B5K/lzyr8P/7gv+ax9m8gB1Et
LRXMktPEMvQvFb75G8NQIQI8vh+TWgof6sYu/n//h6Er/wrkJFUstC7LQUz/L1V+8BsiRtAyFEKM
eZnW/pN5LGXsz8skxHDbJqKVzteyaxKR/fNmnxeW0kVtzgeHkLN50wtkTmDslpz3kHTjBUPAElQU
SVvsRoTXwUqqlh3Fr4S500070hZH9EvTWXW5s4mppelr0xTatMF7PXTh9egiWS1mYW7sBJv3She+
wwDEIJITUYm90W5OFKthKWFsPT1jTpYxAtctrkjNwVVWXwAotKc5JVaQToG59WCbPobSwNhtg3zZ
tgGt9SXzsbkHODKVB7MJiPARk+m9UiPTnM8EBqNVhRkCIldN9GHRT+Gmj8tDAg/suyFE9D6yl50n
/syzM1dpvwmMwL4kGARps/CU2a8wwCmy/GgGbCtjdG4wUOUXUP/S66SKuzOHe2MvwlSvQzO081XF
rHnrj2G2S70ohaPLTVlPE0w1g8JllX9QpwNecugbjvXot9xmAYmXj6ApeirdqN+WjJcPEqXolp5C
sLITW5xGHRQ3nWG5OySxxS1zzeom7f32OgapgKjLXKJNPVmvU5+VMUO8v5M497p16xfn0hORuZ09
l5z1NqtJGSnxqjPG7i77yn7m3N7dC6VKH+pUGOQkyKQR3EWgrvslSerLlGdyl/aWv4e1kCJ51WF4
xhOWbOC3ZWu0C/rsOKR8eW7lp1vXDZ2TBZz9hzLQENmFuPOGG45NBEXRZN2TxH5j931SrVUlrcWC
1r8IMCuPUB+mayLAnHVQuFtD+d3aKVgU0YQXAMcmhI/50t2r0/LWMTv7nNnyKRltd4NpNNvMbj/v
SsZR90i6my3yoeIwEkRkVqRtZlma3oU94aG9oTzE5vZ4jNxqn6WWvy3scVzHvVltQo1sH6FYFR7S
IHR2lD1wicfxHTabsatsEDEr2gTijoecNX+amqPSAhVvHhAM7jukGeK/2xC+eVvxtKE5Di4YEsQr
5mCMrWL1rCEkrfSEFCyWQMac2edbqthZRz1kYIGg/ZSDwHnGMhcdORQuaYQ1KT5YU08e2IhFOkdc
iZgGQA8tsJ6h4bnhscWSAWxyX89xuOqR7GxSEx44AmJaJ77AljaP3RJjk5AysceOMkfi0adFnuxU
IEarxrerbRDH6RhHMSJzd8rdmjFK4Pf3UkKlvHcUxljSaTD8iy/C5lnYmk6aXLit6d2Cgwjjp8nW
jBJwquTWrkQXl6xyIC58PlaFwJ/lU2DVbOZ5KtphTQOAQ64tKsOhyrTK9DhWCxwnr3TK1UAT4VxC
U7od7ockscf7Lkt6GruA1lLrKkOQkL5kWdfqcsPJofT0KnaA+c+1i5ppUHJiZeuTKHopRBIxP4tF
wu9jVAWP51hBdp5mLWADiGTi8v1x9qJNnpa+v21geWcRU33ffukrBnrvXhaIjCgZgIk9pL2+q06M
ISyYC2XIhJL/AlR3TAFtk5YQm30XPpRZj+bdpPPirmXX4r4BnTL9Xnj+d6f+m52aDdT/5U59WTGO
+0uO+e9/6o9tmrRynBOSeEZrEYt8aKP+2KYJaDRxy5roIFCUsIH/e5u2SGFEM2WyU7tLubl08f7Y
piV/Ic5MqLI0YEzT+mfBHtYnyYdAOEBJjs/Jc7DuOp99uwAExp6NuT06ZYi3LU0NcWfGjUY2CkCz
alKfqR25ZW/K8MIHmpItavYyPBltEp7UUnN5OYU4LNlyz6CJ6AWyo8h29TPjwa8LtfHi2iFw1oRb
L4hQvRYlXat06epMcYSJhSbrtl6qY7Kgw3Nl2vG0wZ4x4Cqy2jWbSjtSTRv6UDWFe9+TLvI3Xa1P
IhvuwNLopxMKAI/0lQWo9+emREpPEdYAVS0p2KiL8A3so5kmlOy65br43n86zN383q/5M3H8UyPh
4/MCBlPoUTi6Icn/+fN4P80pyrL6OBr0MqYof4s0DVG6jMnffNLPrV5n+SQPIiDoZ8RD0I4/XZmm
/6oVsrEj0d1qI9OURgKm4z1usOR+gJqwn+M0vPvHlwdTzCPKhoeJc+Zy+X9So6SmJBy6ZLjZuzFB
eMaSxatM6TmbfnLoNv3zT3NQ5GFYBoXvfVZIRYE/JmWR5keBvjw7l0CtdpOLVuW6J/Xl158lPp1o
l/sJ15APoYEeMD369MsB8yJuIzOTYxNPObiUOASE3TSkBHLGYmOY4+m6b3txOdIeOOjcI74Nv5n6
x9e8tAI9j0Y+gkcWlZ/vcC6UNxe9leI9hEu3mdSscE6F4UPgLvvery/6r88QUMgPBSd+Suy1n8Ru
bRMQD9O66bEWWt9W9N83ncEbXBP8Hh9nlQCV9krsJn/zuX99S5jAwczEkg4J0f0s3crQUCWRW6fH
cmwGBND8mqPVjyM6ZdJrfn2Nnz5rmcKh2A4QivHzCqYiP99QOzFGMcSkOybQkTbYDrwMRn47X0SM
2x9//Vmf1tuPz0L3uEz8PNP+C+IjLQAXtwbPkJ41WXZV6BWnPLGGPxKV36f/G32v/pdV5i+maK7J
sUg0WCZcPK7y52vq3Vy1bjUldCywzW6mMeWi7LmUpM0zr4mThDPURMZ9stILbG9rFlF8/vW1fnp2
lmtF3stCt2AFXPPzszPMIksabF3HcFDRphaIZ8nuNNDpWHNB8qnvbJRrzX+znv8Vu8AmyxLkuqAf
2EM/F55D5A4VuoLkGMOGfmpTtzjB85ivONLH+9aqMYchupno4c5T5K1pq84DYSbl9E24ecO8FXPv
CatieIhMozjBcuQ/dGr83v/4j7/Q//Y9nUXLi9M5oKH4Fza2Y4Wj9gzjQK/cfZvn3m7XQ5NDsgpz
d3SBVqS1Bxfe8LytUY3Z2RzkjKICP8YR5a59EXRE3E6Jb10Fhqu8nTvEVYpHPfCG/a9/yb8+tahQ
iRHgDM+JxP38Vc0Av4Ei7+hYBCbmlyzypwzLmeq2v/6cv76JWO/4yTxP+vzn570xMZgZhGSLHiHf
6NsgWbrAIFOdi1zZzv2vP+vzcs7j6cMp8OVHIxc8+aelbfaVo+wpZTnHG7WJ/HBYMIr9mjY0KiS5
zESmcb4Q/eS9ICMmfbJyur+5sejclzfxT1Od5WtYDGSRFnAo4Ot82lXytjYkb0Z48HqES0cvlyym
XUC5cIzIaLylIDffPnKCEiDoNCbrOI0YWmUEreKuQBXDWO4UoEm+AVTAfEc1aQ1OIO/6hCCsQp/z
mLSmmFHAnc6t8MdA/toXf871WectNp2gad17r2GSgrTKuRhakwVXFaO8w9Pk3sOhNA8dTaPLuGQ8
tDHrxACENOrbGTR3v8rLeLhGF9O95iHubw1N6KyMmk50MJXhDwYhTn0qi6bAYzLU4UErSHC0LuJl
bOYh1VoZVWYTftMA4I2DULyXfWE9jpZVk0sN+QdiJs3gH/nQ2eOm6CYLRpqfxufI4s22HZYWCr3k
rY9ZvCsVkQRdGb5clwXHxgUk70frMQmifmfCZt2PNqrLDcY09c33iIwq08Z78ZsRrwqdaJ433v4o
AxEV8PF1ja/Il4q101S996JxmkGVDaKzt/xZ5VR8jdkhX7VJRvr4XpIbD0FlzWf2mfxL08zj9cft
DV3G6bKMzdvaIsfhVGmw8kcat651kmYRnzOk+/22QVJQb72P1Qrn6wXJp6xQvpiMr2UF92iN/51G
cp4LfQBwz72bHR/PHHrI+MGeEvupx/9kYPs2yxsrkx6aQ5u/ZwQWcSZ/GOdd4yVvrRkQdhq27Rzt
A1rvesW8Cyh+ZNEuKlFwrQzJvS2YNb/lUSF3oq3s1xT6EfgaRzGrC5MCNMWIbhPJGKZ5c2im62S2
h3jj2SL5mrsdSxOq6y9iNu18ay3PYQFFFZxMCqVrBtuXbPQkOMCIAhMAtkWeJQ9rwBmdCBTekNIL
wZUaGG87BsYzXXDO6eNloEzMELQrJAr0oRQP2Nak6/8aj4jkq8nn6cWCNiHtiqfq0MdUDK5TGQ9u
nHHDUIzO58jI01Pm59tAkzE8tTZR7Ube7LrUE4eI3NItUQAOjYmqpaMfJ7iZ2/JijMbF3J0nG1cq
0tutUp/o9rgHbC/hQ9R528rus1cU1Nl55tPWYeh414X29qBNsYXh2N2bSQqdzOe1q+1ib1ZztzIy
3HdEbem1pOZbCxfDZzABVbbbMs/W3FX5JUiG6yQC05sKBNdxY+3GPq5OdHjrVWxgccPNGODc47JQ
G7eoUEmGmgcMW0xcwlXn2C8t2t0zaR/X7SK2xRRILPvsAyuGDL4jH/eRwDuSbhn8XRCOgok6Q+bX
leM+C3DfgoVAWUoi+iao8YomQXyn4vkNOMdrTbdrm2Iqpztml6ThDfJomP5zA+AJl5tV5+t58tnV
+lp+LSz7pC0f74xMrmJ3aZbY7sMwhBdV6UXPHTO+bWzP0ynOCxZgezkjFXK+chPLgoqomlvBxAz8
AApIrd3LzGtmHx1egUQ1AMLRyEh9b8ysPsyCZiudkyFsVohY05Mgi0usQiPyLnsn5wtVOcEaq2GW
+tFB7bybxjzst90g4VsCyrzmoGTHm5GR+ibzmMIxiY0e4duN93MFcnFVqRrUFYbE+Zx5ZEGHGIB2
dtb531K62thF3ekYN0HBh3KKPpMRc0f3brzzxnkmhL5HAs3+44DoBUi9Joa3uFGdp9ceb1p+tA08
GiuZVeG6nTmLZD4NoKx01dol9ZGlqBxXZBOwI3hR4B3qlNKn5/nbFBzzdoE27X2P8bRet0hmr5XZ
fSGbGPnuSKqO3WgSx6OcVuqmY1yb7pxUFhdGrbJdmWbODTRQtXO9Pnrq0mi8sPpp0yXheErH3qSN
7o/BVzDQChBfKdUSQdkaxxJF/MlqOLev5Oirgx4KHsyUswMlQm4Q/dx622Jun0t8WjvkwMMLSAr/
R2dP2bxyS4HwqXC8p4lGtN6bTkImNInGq7DqOY+VEEZrrYMryI/uLYR53BYVGYtG13gHKugATY2Q
HRaNvv1eSxpshBLOiE2ss4cB+hyE2BbQp4hLupw07qPS2/deHtwSlUPvNLRCi+I/jW3aFC2yX7yv
a9HlwYkfNbifnF5v2IRBKJTGYL9P2lS3XmfQNWhKSB5VIze+yyPgpiUx22Hk7EfPyHeu3w0kUSQ2
HnxV3TBCtFZFKNJjmDZy0QskG6sYYP+EYj84Dg92UJ4hiuFqLwJ5Q0o1sjCsm5dBhPm0rTVSK6cR
m8Ifqz26ZTAeWvmvPc71NQtNsx7UmFhrv6tIIM9Cx9/HQylxPYwk7GHmh5BrTtZVb/rVNQR8jv0w
MVyg1kYKN4W+pb1K0iFHrVx6Lw4G9AcuLbqYDMencc304Uizdv7eUY5fIrDqbzvbIPICncCg1kZW
sqeDJWnXZTU4V1Tsi83a8ygARHXKxczQdejq85gW+U1NDMi1T3v7YDUqRoYT+Idi0uQK+qWBEjL0
LyqQbee0Z2hgR0Pxtlhq3W1WB82THTnNznWJggycIiEylPDAo9GX9JLSvP3iqfprwV+9bZvKRrfs
aJmvFbiFV7O26ftyxjRI2ViM3FgTu3UDiADbj+4vYEjj269StGV9ss0K+T4apN4nfQ0JxQksyBtg
kM9e0FdvnigHJA4pSTQBeyDcBpLYnTncICzrboQ5qLe0zVizf09bDoM2I3t5+D2JGT/FksvsAvOz
V6ZdTvGP2JgbPG6KwJnI7krKpM740bhxeZ6cWl4lo9M/GlE4vNlt4r9EfdASmFkGRr6ZTO3TtHYI
p/QQrJVFeTBcez5JSd78tnAHBGkCVFBWNCQbDjnBIw35mMmYiTWnqOhqlrO36XIy/FA9hkenwmrI
t+qmg12m5pmokXwDcog9A4EohvgcvRMdZ/yDC7UUXpMIx+4kSLjsN50tK5azWUf3MD4l/mH0WEcn
mNhGBN0hnsscz0ukNABThsu7IKv43dgU9pZZd6daJ/17TW1EhUHMZmkU3IXWT76GhGORu8MRhwzT
WpJpKnE9uaYFuNeR1qsha4PxeD9ehv4cPTglUygB+GE/2VPwCO8HqHHvtF/D2k44TprLaDF55GCM
4zl0zRXY8jvXwvlPBuasWV7DPOShKr6QuU70hG8wY0JhkHolSC3P39nacFdt2aFwy0zsEBxONp4H
sECUKNl9auxVaS1E5yl5y3IZl5CVobP2Mck9M7IFSbA505/xe6etYE8tb6+bVgY7cDLeOivck1SF
sxbwDlbww8FgBBFIW1w2XsjjbKaTuJidYt9r8apr/uK46v29nJtsVRRzvkdYNN03rozXsvejM2SI
H0aNW6nRRYmdbZCnhMbuVtHNIkV9zqE80x6Q04DypG77fY3Kj2x7Eayo8dl1OAidbIZ5W1JDIZqP
nbo0uym9zMS0z0D3rJDZT2uKanfTIQ4dsQojGp7cg9OiiDGLAaxFg+ivBxuAHSO8mYQySTCHtOx3
CuqIUW1ro9KYRuB0F03wtZ2NYtcyawEZSe9AR+YRk8xtbxmviWvvKrSTnFOCq7JQEAqal7HQ1z2y
o65yH5F+nllyaRjlScf4SP+A2f8FD/GdJ8t9zWl6jQfrNTCTca/BFxOxELwJx1Rr3TJjDgzhPJLV
Aumlkm9TIDhYIafe+LHEmN52GyafzCvriyn24HlH7nsxBDXiKbraK8egIojGvn8ivOp9GpKjCxF6
1yCeGddzMEdPaKAiDTbDz052W4Orn+dVUiUWppbt0CTPyBTVoe9iSP6Ppj/0D43fAKhVyT2g7BhG
cpAhGhv6Z0O2/nYah+4wUMNc9j146HaCaWH4s3lyrMR7RsJS7pOicX0UQ4jPksalPTqmSzmB237a
VyMDcjNZ9JRaQLgAtma0u7iY7pALBN9M15uNk1HnNHQAYpBZspeDHK2Lzi+Ugs8V43EhQGj5+2ST
geOh6YymCRdld4yIkSJydsRluKKraacdbqJc7AgGIEYh4zwESKD3wK70HYRiZVQp4GhYkitXjZSc
GfGwLVS5Fz/KQtCXLi8gn8qIAQcXhQh6SQIvgBlQFkU89v0GAhbiuWiZacxVH77AUzC2odFQY1Tw
tNJEozpkj/viN+F8NmyHKjnxjG0HBc+8Sg2QZttukbsUvceyNKrUWpdiqU6Y4Q3fU420OXVncWkK
goFF1KJAzFAaRYVBkztCDHEnlNNtXaelEon0YL7hF3KdcxcPS8lLbte8jp1aPYF04uiQG665rwVi
Os72/NXMs4nzrijQ8cVEyOgJBrgxR7f76ubgtpOW49+KuNYbp9XoD4byWDIlXWu2/KMksXidKCs8
QfCkKaAo8v3eo0ewTGo+Pm9Y0sLnym2PoYu+ljph2OOFKJ4//i+BX8g7fEzu/YfU2YP1dJBo/l5V
0VGDIfuiS+Bb4/WINQg+lbnMenTp3pMnOp+TNnaI6Oma3UejuM5JgpdTRSRzRt84L5KaVLIEDJ4R
8BWLGCUUQtBy7xaOeiKklgtIUv5G1hF9q2i83DhJLp6L3uRXLzO06eE4tcfWKaebDK/N7sM7hfEN
aXo9zx2GN67LLuiF1/+fvTPbjtvIsuiv9A/AC0MEhtecMzmJpESJfMGiKBHzPAXw9b0jZVdJlEta
7n6tF7tcNpVMABG4ce85+0iOfc0Y12irEHjsKdU42w9D7rWkP4fw+pKFrgjNSzaDAdhyaLbBphKj
hF8VmkXB848I8TKoohqthwHfJEvpKPrLRdC2eGqJC0a4ybuDRIIyWqpdn02TgFYPGUlak7yoUkxb
3SJpXoVLdjo/dwbixt0I/oLyXxsB2ny5jfsORd2otFRriOuQcC66a3g1xHLLDJhrkg9M2Sz+kXul
risP0ZxLk3JNUMpyRRh0ua90K474pOXKmwEHLTl6bGhDy84VPAG90Ow8KGP8gXnq3kcko2yDGDZx
je5t03sElCuCDT6hQlyIBBDt8RzrDJ6dq2UBC5zXluPNVyN/EOynNpCbZjLMT1hyRbrJ+izYY1u0
7mKD8hrRGrLBc+PJMuzwdYFdfDGmCOedhY9MlVE900rEaszrfPzQ28q6RBwQnkbCmZ7DGEMC2U4s
HSNmCWO2ZzYJsOoU1lb1nHldfwxIN3FWczfm5rhq89C643DANyzRQw0EH0cZFXCItSAoE/uSc0v7
EWsM/0Fh5tmJWftyNSILAf0EIOC8YO0ui7/AAa6fGz/howFNj6e8n8NjT8uVLFLf6J4XuHSRSUcO
t1m6Ctoku2Dz/TzIjgRjK+Ho0dcvJRicdcAwb9+NbQjYk7vT9yGLXbECw2EO6FiUwb5vCUXX8J0r
hxb4VV2gqG0nCeRgcRfrIo9s66Z03PAkc4ffvOfkIzcl2+HeRNRFNHfLLZb6KZhqWnOylrQUpCBM
WZNG29UEw/Tkeov5OSLg9JlRpFGh96wDMAWtBOrF6XSH0hMRruBKRS7R2gB1wlcPoE+xCnr9DLY6
x89DL3hKIhthtY9T52B42vngexz7QNiNX32Xc/KaA4b61FWJelKjr6WUFOQtrdQ62saUFbwZ0dpf
Wt1YkkPUD+8Tc/K/1KMIX5NKBadRws5HEMmbSSRTs5ulN0NiKnkCxqAJH1NXi6671mkhxJDMMW7I
7vlLYf9focPvhA6upVXM/1mSeEH4+3P3g9nu24/8qXJAyiB9hpESFybpwLbFOOovs51pk11MU58Z
rc+oXQvn/xIj0nH/S3zoElbMeAE5NUMrCCvWPxEfAqv+sanOqZUzMnwJptDMgH4aWLAr+3kaKfei
sFkea616BN1qTTPRAgPd6b7h8LCEA4eRwqnC66qcLRJapGnwFlh6BBP3edXo8U/HiKpVW6zOrQgP
fjiQTj44GgZBOMlSX2exYAK3K9oRhdd1b+LFVejVPVqFAm1aH+1w+hbuJUzv7iWLJk7MiYdoyza8
tYhpGOWMJuER07ym9zXfG/6CShgzM/n1TWCVZrNCZZcue9tq4Q6XiujiddqZeP8hwCTdIW/8oXmH
kS27b5sweOSd78TrtmsGIA3tmNYXNBTjcEtM1SdmCaLiI0hH2io8Bph7Pc/EbjWXBa7dxL/JCCp9
bBAGb4ygmp6SUaTvFtl7O0za2N7auIVNPNqqX1VObDCoqLCOZ0sB8GDI4ye3k80nu3PsCjgteRGQ
BF5yNV/7ZktGzZiBWeYv4dU4uM5NInGxMx6ztn3qBGvl4L+iXxg0t+B1YqTH82xylIDGuBK1F8AV
GKp2RfQQUa6TJUcmZEvxbrCG7gEpd3i025lafvHm26CzZ1opacO4JOGYtQpDIzkguE++8DzI2zSj
/7kdK9u4iQvaC0q6GBwq3kTAwMr38eJBufUHBrGL8NajolZdC1KSr4Qc7Y8GlkSAbqCAbiqhzwq8
Rte0OTydOrhg65LzSMdADFsi1IYtlggCAo2QWEPiYg8A3lW1xiWwPBnkpOx8Zgb7BgjtUSA5fzEL
2zvGnVXfLwSHXcPEqi4rIxqKPcfN+UYNiztaoDdH0aMEhzzz7e99ZtN8vzKkjZt0nZjFGdU3BqJs
TymHjakkPqub8mrj9WFD8obdGne+YfkTHdAJD8KyxZFhmS/nbeK/O+pvdlTU1dpu+p931Ouv0/9c
fVXJS/X9rvrnj/1lYTaRgZmCLYzNzHXRC323qwbsqkz+hGVL9BFatfTnrup4/BDCa7LKkdcyK2KY
+9cua/1B6h1qGbTfHsYVFCz/gLwu30yFTXZshGPs+LC30JmLNwPUJqW4nEgkuGztIZmfBYBSOA/C
6wXPUoBjYeVMyLhnQElVVxhHLbyUmH4RhB+I5DKBV3Tzl9bh4V4bZi3XKp3H5UKVrve1aXMPRoTH
wb0h0CtyM0yUWU42473RxaxNsgUH2667L7lXwvEBFeF7UHuXJY2DGzMxeu92rAZQPdva7enc3ztl
G/Zrl6Oy+Zg7U57Mq0UYNjCRGLp2cUp8Y1or3wP7OxYSKx9nN0J44kt3LJvav49tb6kQpWMUA/Zg
FaJf2hXd3qJ73/lkuG79VDi5+TFpvH4Z9mU9+nax7syiNC8IFYTOsZjNS2x07c5r6vmdtPOSiPZ5
SvlRdzaWp7qksf9Ng/HfBfi7BWgisPnVArx6pqX1XH75Yfl9+6G/HBY6W53XH9WDYEWh0PjX8vOC
P1BssC4lKiWfJfjv1YeLAn6VT7OOdQsvkXLnr9Xn/aGlYzg2pKdpefyrf7D63lQ4fDwVFR0TzOsB
Ro+3oiUSDdK2iDMcWZGF+y8cRQnNHRJVoWXbUQSk47vL8zeKojerXX+ghz4BAQO/Oa37NzoFRiFx
byzufAAZDxzMGDFxA2z9jSDiJ90SX0nLMCkUKQLtt5qhXnaMkmWsvtHOIGo0t1mFjhvbG5wXY9Io
HJgt5JkZd93kqd/Is9BF/lg58jVhGNpatgS0g2v7Vjg1zJwAZ68/VLlLQKKaNP7FA9GCrdi/VDaQ
GZWqllx5pFukezE40oOZxABOztHsntkWdqyKDvRVx9idDpCFZ8Nfpmw32xn/LcAjAoSdXAfOqjrl
7C/DTsPt/Hl+bXrwC07qM9xUWLxj6o116LkNUygKqzCB/6AVEWAIImumIGoc6DPIoQC0NMp67zp2
fd3S1X9PG1e96wnAOU1uVz/7+GxMvBCgdWK2z91Y5uNDPkAv61JVXoYWgS1tmFAqI48vL+PQrJ7i
ZK4fEeDyg5NKgsuOI+wWuV54R3Zd0aN+J8j5yKUivSVC52rp6E0BPgo9CgdUTVvDA2O/n6uZA6MC
NSibBY62CNivOeDqYGIwc1UO3W41elO/TntYMh1JwlfwY5MDbZhpg1a1PWWD3dzSgsJROnhq7zbg
3M6YG8vpxwdShseHJl3ce+4OOBzkpvDRmWEPMIZe5gp1beRZPENTOX+I+7B6HAgRrUHtlObBnQLW
0MRZ3enJu3WBGxyaBpzNNIDKMlt+ZDbb7iO2E/+SACEiHyIyiwbmbh/TfiovVUVma1H4XBEKTpEy
i56MYuUOC/jgPAeoWEPSmUpAPUwJs7vajQPcC1CbU7tqX0TIP0YZOu11BNQmOjBP02/RoXlRHcvZ
N/p57yZDfqx8bu7saarckNL07HijlWC70NrWGocI5BYAGfM4vE1hdhdNVsb8MW6uEZLCCgmi8Wtm
QhgqMSvuitw02TSs6ilRzfgQBpChg2bkjwLmsa8L0EqW4hsHk1Ffh5TL0EQaeWNEwJhEwHdxRRog
U4rJ38syHsUxLuEpZcm8p+IWN5HgTpxhSaKs501BR7zgzD5wXcFEPTN45XU/Eeq26RVdMVRrYXjn
khn7AjhyuSqneP5gTwX21orFkLdwkxgv9l/gEFnvE3oEG9TjtF81paiLuI8cP7jU+hHNS9q0c8u3
X7IZAEqzcCeEW817YfH8tzjfH/MIqzHYh8cJZxDaqLa4ifxXZgl0lBKjgA/VhYDb404+mUxUPmH0
Hh4im2dzZRtZsrdNuppC5E8i9EbGoV6NvFDyUOouj4q5Ua5n9LjZRX1To3m4CfpJ3gxzSOZa0pGG
LN3qyWBStoU2tOwwblRPDlUHeS2GvFe+1jQYKa0kn/iwZ0ob8HWJg0U2aDGZnb+cH7MIuqoz7tRc
l/1GJRA6Jn/uPjLNze5m0pKReURcH6u3wpPK04Lqx0wOfWUDaiEMK9lLlaB3zEHU8NRmANnR5TSf
KFaCy9ScwXBiZWyue9eOfPuj/82eMp69Kkk7iMfE0tHlh9FZSnEAFWyUW8c0J1LkGmhOoOKdQdw5
GbONBlDSB8unRVu5uONWeIVapNMLxnQk5EyBbDtAUKEgAIxDeT1USB96nrCTMLJ3vdkZt5WZ3xly
uBZFXez82JO3C31ggucYZ5N8wVg8vGYGhJIGjtUhIsDgSKTkhw71+BZQ+bAdxPw58RFZiXH4Aqyu
OBpl9ILqMj7GiwvEyRrqy6oYp20uR8W0OOoBuXQNeaDdheqbkMSM1jrBoQk2FlKGde7JaBPVUXIt
YFBfMSYe5zUM9JOb+icjI0gygTi4rOogbI40SLTpTTHiMyO5KhJo66siz1+jekGO40gtR+gEWEFR
3s2ll2ztwggu0jiqrzo3nXZuzIJtUjDmMJ4JF8IkiIZYg72s0TyaqBJI8KFRW/eYzaoJ0BUTVZZl
CTIrBqi1to3CvJhkEhyGyLonPSzYucLrLq0ycPKtzbV/6eppcteyCQyyvRfu4SrK+/Fg1wniUgum
fxUyYuoYPpZw147RFFgMjQOOoTJ0m80cdrjyp2EfkURC0EaTkJ4S85qL6Rds09Jt7rBfWCurz7pd
xDAEyD8x8KvAV08+KuUVmYXqolTRCJYxyx4DI6y8tYvlDHDMyOjMc+lUo6fEXz8KhwrRaW6pzpjE
DtLxjjX7q7mZ2UTiVZPV0Etr1tWVyLv6AqnYsq1s0z7aqu42ThyzqrotveJmVVY8gQzI5al2W/Vh
IeEcSDayDL8rD1O+cUajYrbtLs91bsqjPRfL+xqeSbS2ugCoiwyOBXk175LMwROGAfCUFTU+d5tw
0solviGfogytjyNuvU5kFAezNYBvnAo8o/6uMcaCvFZUeJMkmAOESvrJcyMC6s152olwHldDMBq7
Js4rJo3FbQ61Z93RQT0micOcHtv3JjKi4CH3I2uf4+XcQvyMj/6owm0wheKqCiqBHmQy7tBP+tdW
s8wn7XvJEf4FMepFty2+iqi5Jl/UuwwUrQWoLRNT7FzaEkVRnF1BbbCOEFAQmSSx217kS+g8Dqk3
Q2GRJA8x0827i3hGqLRO8fR/rYuiyDfCK121MclOPy4NtJW6MNr9QBPrccoHcIjA69JL0UfdS+Gk
Lqq6ThCZxwjdiuRjMJrmYYqzLlkR1M2s0SBHZOfFcvxcpVa17vNJ1wV1c6tUn2/cZiyrrT8WyYWh
SLpehaBOPR6/Ij62ztheBk0HnrBVDBBXE8zRgyI6rFunSSVvZjtMDsSe1J9pERloKpFX6ntDL1uX
SGem31l4mcquvAxs9IGwSfovProoklknGyazCW0VRRi78GuZ58xXZiO8qxGHsQZQlF56oVmHm0jq
DnqcFOhOanmzJIlxZ1R1zddNnHg3ZAnA0IhW67qgyIs3wlX1Z1UPS72NJTfpDD6cB6rCb8VXQ4jC
exzP3Zc69VJ/Y0tSH1ZWgXxhpWZyAChD3XuVNZRlumAst/YIbyeN7fyI9Ly8zNtlOQgTnnRR0Q/q
25Sgz6JGCbKJZcfLPSjA9pWaW5jYTnQTFVQapXTrawj++rcImk+OoZktYdPoTRmt5mtPxA86QeIs
GNg01ju2wfKLU7vVuDGQ6PPWRrbsRjrGsGj5dVAeznvNGwO+yJxmZTWGX67Nop33OtjnAicm338g
myyKeJdXFFuPNLY4Ys+6/A3c6tHrVX5EYWKunEiQK1mo+dWf62SvlrBC6ZsEzHAnZKUznEv0f7WT
HzMM0L9R9uO0+ukQgfHK59DIYYYcvLc6djkYqB7nqT2ohr1k9hJs5GQnzrsKJSRJX9DWgtjxXhH0
jwcE/NHOsOxnP60/TmXkbBPJa8qQU7QZ6qK6GltbPI5QNa6SxckuTLNwnmxB0N1VHdXleNFCO2ea
axG1IxjgJcxC9wW38BAFibwxLQKkW1VQJ2iuHC9uJuHKmS9ETBXVNmSaVfrO2mIw7sYILbjB8AXd
dmRKCDYCoLHT8Wy7AidZRyLtcRh4cBjWUStxSKEejDL+Izql3PoWuTD6P10jqXJpbsuc9N6VFehy
iRiaTwGj3pUwE/deMFbegvmghe6gJksHJvSjtuySmjE+aJ8IkcQ0SZ5aBxn6qc8Xb7xswiniIiVo
DA3V9bDVoiwmKbp2wtw4OA4O8nYt7d7oxIYvVNoPVSgsdCdOnR09d8mjY8arBA+2/j9CCqlwY3YM
JNYhgUY+STtUOhf0vbovXu6oml2QWqo147RE/hbzjSMsx6QZSSrBXFFCeQiyV8ZMcXWGdHPq4dH2
RffRTCnxmc7KdSfREa+LgGmtaimY/VjUn+d0yHZtQujRMPJWM7NpOYQMw/tNDPPsoU/yJ6/VCRLK
qh/9KScooQXrRDHPtQsyNIWnZdF+Sxkb5DzbztFiwRJ2R+IZ2deAPHzZ58ce4d6zQsj8LGaLd7JN
kNmqVNxPp/fbd5wA/Mu5MWEDTBy23LyEeIXQ+qNS4EpN1VdPva6py5jgY9C747QWS64QrOTTsLOW
qCClEIpgCg0IImri3RZOOzyYFup4xrvVs9TUUoxQ80VtcWrZtGTfUdpVVvfRTjnIN01eX6P88JBg
ClU992Hpbxy/pyINhQCvU8mFNdKhlrNWyuJfgh5rXqpScVUK0OsdVTkxdKBSy5i9qKkbuiGAxYOV
CvTWFRfpspMzLEPUE80nDNj+pTVxvO3qmPw7q25PyeyVly5jhn3LxrUvTZukdr8cH3wYgqt+mqGU
65N3QJ75dZFxLvfI0PngT+XyioAFLFniL/Vj5hbvRuXVn5GycMyBz47ZFaxrQTju2hL8oSVhObfn
31oJLQv2wWG36yrX94CO5NHSS1VxkuVFkk0bhHD1k2zUsFNtkbqr1AR3N4wJJ1J9aEiUycEpVqK5
NcuWO1MRBPXlvAfWZQSbmjP2fJE5TGl1scF52kFWQ0OLb0da0cUSMX1Wmnp+fgxtxdGXx7sxD+oM
VNP8cqebm9vzSbt0eHyKiZAx1+LE2hScPvLSSphn8CLLwQpeDiC4AUByLDMiqI+9aDhR0Ojh0usG
CnCbGdo4B/Epjl9bH9n0wnIr12qOeAlMih6EH9E1MGuV3TW1UAU6F8DM4E+g1lbIYJphpCkC62hh
VmyC/F/4RqA0bQ7PC0uwCqD/2zBkabtkJvr1AU1ZkPIIopGxpm1ZsGIiVcgbO3O1C8404Y65Y4fM
GS4We1jWfFocQYNC9lPzAl4Dl4fZzx9KbLur0G7zo6EJwCjD2dY4SSGy0SdkrbZa+R2t6HW5aEJS
YXPIbgCJbx2Ljz+fmz0UpldKhy+XFZGUhml8NaFsUKZ4BrcvL3hJNRqB/O3RRJ25qwVH8rKCR29a
eXlZawJyA9TxEsVc86my6F2gpKKXMegaZSqc+GYUVLgIFXo2d4MAyyoPqifoPxD6wJeQ+sM+W00x
lzCWuN3MEi7XlGWDte0oW7edS1nUI9cg061417R6GybErsOCldMJChKYyGnW8uNB38wXCaPS97Hu
Nk7MA3gLUBg/WT6PhE6f/jI0aDpiK4xuPLxM+Ej085MJCi92IrgNfJ1Qdx3OZYWvoxwiQtTuCpjf
O61wJ1UPWfj53WBpvjNCxvjGY8vnvE/zajSkuPEiQ/KqmAL/sgm4ws0MLxUrFbixAj2Ei3ON0Ro3
PnZT633tOsTEDdxI4puRM+cmsT3OUJLrRPFQ6HsQUy89dsCg6l1Ly39TTEBjbCTID/NEeVJn9EXM
Krffn8MlQvaxT1Xnkzbp5ih+gJCvz60Y6B3i6NuoJyKmmQhfaGTATAXeSnlJ8icKi11TKZw8PUVm
wcLe945D9wkCIWxxc6yectugMTjRq3OSkBKtp2BxXIjJNk09MlzPEX56m1UeV4MTO5YhRpIfOU3N
yNDtQtdxuKdOqnUwxHBY/sDAFw3HApsCrfjIxTTZ3uKRdZShbv5oumNNbU2WUW2Y4Z2a6FPYuSqS
Yylkc5rqnOaN3ip1TMy2zZwMbp1NzCIxTXQbcII4TcD7Ieaoypps6QqWPdIhD17Re6fxhq+etsEQ
cokovclYuIlmPzJBrT93RUvJ0RBMeIR/RfFYA5vFw/Q0jpKrhlfSOdp+zFIZM65BnwNkKcep+URV
khL8ptANrXKzCqhbBplcI1Fik53QJz5UVeisgxlM2Thww2c/W64ym1bm+R/PC3MuUl4xBvaBFznx
TgVbII7A29U7ZUOVLOKUUKWpYkEnojlFnmSTGSVPNrPpBdwKidlXtbtQCU/kC6suex3EUrmINoGB
nxt0WpUubE4Ek64CZtVQCjPzH/Yc4PjGxDbk6XQY4IEgQY2RIei8Dw6y20Gi3FllyHtPfUjW3K8b
+5bu3P/gQKTlTXgEM0MwY6QA6lHDd5b9oQKlhzqnP4iE5vDaXQZ542mQekTG62kWbG1xQPHdR2iz
vKgqtmknnQOKw6cIqvedUTrNqXPGmYDjuvk0DELcjIzdP7AlLLvf/LLMT376ZQFUaZmIJPX57S/r
e37mjTCdDkaizTsd2sOZvM61aaXxjTFwMKFbQSFqjRyKsr6jtKKVof0j1XNa01o93+xf/1LnqcSP
V1DHbwjGfD6znZ9mI9HAkxwkUXcoCgcNfYC8cdMhy7hcJgOwOFS5Daf3ZTs7Dr2JcKDJltbcXTCB
/grXHPE9UItOjibswbmtvtRJ7t36LkB9dlkKQwMM36rppbH59W/+NycVy/1297HCIrF/M+5obcT3
sG76A8je5hQG9G3o3FM9NognbjEIMYkgU3Mzsic+QcvyNzB7ORcOvfxz9vLfUeVvR5VS8JT/Z63A
1XPXPb/EAxr4vvtxXnn+yT/nlW7wR2D7MBNQ5TqeBaLi3/NK5w9puo6Uts9YDQ0WB9a/RFj2eSqJ
Ngv1ltAguX8NLIUFDN1nys+T4fI2ZAD6DwaWb73dPp8AYMGBxc6H/TRYgwzp0hQ16gOCl9eYI+fe
8GEOJr45/WZD+7tPshFOoABj4HUWYny/n+WlKIU+Nh18e5kQfdZM1oltmcJ4+M1M9O8+ic9AniFY
/j9B3KPeCJe2xmzYk6eAutO86cYiRRq0PHx3w99920p+AY3hvlisTlsACyJ2jM/6cYsevZwjdLvg
auS9kuXZK3qm15S//18+RkJT8bjjP92jntFbF8MNZsMhdTrwGS5qgMw6U8n/4dLxrEIy8tB7+AAC
f/xGUW0Woor5RiMWxkuF3RSjn81ZpPzHKVpcO5f5AXwf9ICaa/jD680bcQj3ATmFsY5pd4f5bo7U
A6Toh3pEkPzrK/j2XapvFLQ/FxYN3ggIGD9+GK6RirVZ1QdajTT5KGkOKUaDVWUkzzjRMWeJ1llZ
M1KUX3/w3zyKvkuoFhAjT8BMebORu21FV4bu5YH3SnU/QE/CrmZkD0bK//r1R+kL9v3b7vwded+x
K3imyar+8TsuQzrMCSXDwRjIq8bkScyObYb3v/6Uv/1C332K7rF9V5VohcVoMNQ7GIGSKK3Vw1ig
YjureP5/n/Tm0sE7jSsG4jwg+TBvCCJ+XnCDE4n3u+X1E3LCR12AZwbSDEErDCreaCiigYmnoPg/
9C7hRdLoqhUOKvgEjvjUYEI50Ddk+EFndidR2a+jtj/95rueAUw/3j0iF32dFOYFApj1mye0IrfE
L6q6IBXerja1ORJ1ABtTvVvg9W0DJv8bK2itXYP45WBCz90A2gso64mPR5qB7W/iKL71VYR0ilng
y7mT7aWQ9jUWajd42Su+cucYLUDtaw+TML5V1Ft2QA1T1fwn4AOLLR0vmwk9uQeeagryngL7Y+bZ
1VGGafg0FtTqU6HkgWxcRiYzmvkpZUllnnIjer4DM3aKOiqThmNW38fldsjycttzYLjvjVSczGCZ
XpqQF43Vu/zursWnpKK6wJw8Ahf1/Ljakrhsfk6z2MA2w+9j2IF4LuCTboiYhX9GvsUNs8Rq06OC
I07GCTW1E7aUopPeY9oLOSQ2JgO5tKGpbwDzIEKKb7cU7J2Y0vs1+ggbDQf7WxwlhDG6vIXAT1i7
HnMKdtDAck6i4ESVcti8wI0KTqqgNvQD8BVkaNgfo3iUFyqy0qfIr/IHd6K5CtO3fmzcwv4Y8t3r
lTfRJqwLMSz8TiOJUTgkg37tODPbjXIFrR2DtsZDN4H44PxZ3GKI6J9CLs1FnDb1jTukr6bFPR1S
1/4IkO1VdVN4Dwq0Ok56d467rrqYcz3maDl58fgScxa/SxNX3aWgJ468VHrykZjZk9blrKhEEo5j
pKPjHgAusxIDo9IIqzD2qah8dTGLXOPR5yIOuSwZjk4MDM4rL+8iKAFm6F9CCCi3WcJFCIcYk5PA
8VfAjH/vL7buVnlJ9hQsWB+KZsKgLGPiwxhZVsu6Wlo33ycMKusrixZrsHHjcPwUh7URbJmZdj4m
ZbgMK5fm2aWBWeajb5TyPQOm4tX2gCvwHedtyeB3hWapOZAKGDxULO73Du7mdC05rOJNQ6FD/BbB
EtVuUPTXW1U7KxRb3II+VBnufkgy1cqIMgPLJtFjHWFpm1oTzrEC85Zd5sDn4F+Pwwo6bh0/9KVB
GtHgl+kz6YXGDhfEeOV6FbKiJMCb3ZGnxhEyGD8t7ZLtZT30+Q6YnJ3s0tqRy3ZBP9SsWkS/wwq/
nPV5CdBJ2gtrSxjMHjfEmXcfRvBkj1GKOecckFHQE5arlsnFCT1cwhxywoBvZdwJGUfZUxPZ5UmF
UcksAQAmjslXzuIB0iEQJvwiWPqiYt4Yc8fRPEZBcR1lAXPqKA/2qcEdGsiw5y9srLHPMUKCerlP
xxZgQVyr+GtZB/JQZi6tZTfGhCis4VPdzePeKSr8LAFc+O2CNfw0Yd7tUEKtGqNnDGrl+6CNvvZD
C1G9U/cQIFA4jOBg5uRUlC4d0xADKW9j7zYeWJTMu9WWbtp4NfZtoLP/6h3ablL1ai/76OOpujAD
tcNNn9PAUHW/Lqasy1bMKRNySXIeanZFMnNydC3lkAY3DnUtk0JWfUZg2maEcsPIhGyYpWV3wyg7
7i396q8F39su0uekM4iImFL5nKvOv3XG3rqu0Ou8T4k2OamBJypjQ30aAtQbZj5Xm7Hk68uOOGlN
eQ1u+nKYXjqjxQEZdew5scj8W8slAUCY+TMgAbp9LfuHCxr9dknw8tjQXjakbdEXJunGvw2rrKUR
PrCTnYs93OQNRIECOCvIqXVhE2PuTnx0S4/6kHSAcm3Lml5iWR7rMi9XUdCZPMFordokv3FqYqjj
yfG5CUV90zW6tK/s6oKodR4mmjAD/itLrDMyyVZJGNBWc+k5nndddHKPfeZbX82J3WrUz4g0F+ua
pLbkOpWEspHMhUN3ophZGUYvr9NI7jraqeuxIoxFOoR6Nn2lscFu9QFFU0D2WVjiiycdgRfutB64
wynNobY9RLwN3o91pOnuZQnaayhuu4G9x4jYPaaARZ+NQP3GoBp2TiobmuKgZZ3QNj8H1tBf0HWk
JK6GGz/r8kPnEgWUxlWwL4LIuOrb5MYB6PbJSNPuZlYAnEE3f0xMZ0JBgxLOn4H2i8WSQO8h5pdx
U9zURhu+y7NHr2kL0OzxKxnD0RoD9wfW80M7mpjFfbjycVRACDCd+kbMyDB4LUKlcsVnQ1aQXjxe
erCJ6CwnMfChkp23LdlxzMJHM2WSboK5jP7jt03WFV29W7gHO45/+GBchfzHF4S7z7kaDoUtRbtn
7rOymUpMq74LUmzxec5mlnLObHhE0qDQhM5MQ/pMbOLo+bBptkULeqZBHZ3XTlIwi8UTiUJkasgE
L+wPXWEXp6lxQMB5vVkzakEx4eQdAY9WMdtk6jWq8tyLeTrnqdHnb9n/YNGHdw2DnYlZWRobe5GM
RXya0sAZFb7rcPRPKHsquEbu4HjOmuNAO7irJWi9125OY5KasZ58rSVaH1i95CAwzkHvOAetblpK
k967Yl+ffS+DAdG3ff8OJXq0alMxBANDPVjEfR23gMWdwRoZPFvdk5+ZGaImld+TvqqQNFouPVfq
e/QWtTePpzJPsw3G18/CH4C0pGgYZofBhjTine2yvtg4xlspU0MDhQz0cF6heFfb8551ahMumjKw
HnK/P9gNqQWqCZ+zWGZbb7Kzra11aKSJYJLtbXU98I5mTBaRUlcKezDWcGeWa5Zr9BKBaR1WGREy
TGPw5aa5YRwThaNr50XEqqKQY/sWEdUJBzZIz5MIwK7XfOFDxnCQseUsf8eVc34q8nVBDJpUulpo
/dMpsFYJrC6gNYe4KMRpGLvitXIaruDUT0jnNeBGbXNcq+kqTq3+enSpLKwsRlVnUVah23vmxVWe
fJse1Wxz1OmSGj1qDp77QtioVss2bRlldAHokYZByTlHKgpZg47ipLQVXhHeO8IUz3ij0GkQujju
McZ4t4j12G7DWeUPZpKkT+c9sCyJEltPS0bQ5q8r83Or7YfCHIU1AnHTDCTtTeucO/LdgYdsh0gM
nZkfaFiz99rTeNVHA2Zvv6Vm6imzr2fHAC9hL9RYWdBWF2x+8qJ3CsRCVvC7czNy+R+Pefr3oWFj
eTSM6D28PTcTHsd+wO/TFtbDYDJayHi/TB5A5Hy4C2de+b++Avrk8eYCWCYndSGwp2g74I8nPoQ/
soiYMIAyoCAtQ0JErZLsrrKMzzkZ1fHXn2f93dPHuJP5IYZBx/HfHGRLkP7Qp7KczRU/84ods9ok
HZS6Ddr6ZyCRwTaDLHbjSn96d34FgyW03H1sT9YO+aWxDjNifKulGfeqo8b59e/30zkbF6Pr4+9h
lOJwXd5cj36GAlljHTkEnLf30oiqC4BYv1uDP3Us+BQaFbbreML2vLeNmCEZiE4uq+TgEs3ODJ9d
o8Qys25oDUcrNyNLbU6p3JnEjp9+/QVtfYF/vOPUB7TOfR1X4Yi3Z1EAoWJs8yk+iG6KQkbJaKSM
MAyeioG6FHqHnG8CQwYPkAcfsmBuIJjICVTDKElWIXY50ZsdlsQGqojDvKKmlhMZcW8dseUkpHZf
mlBjKHTMX/St4/LffvVv+tV6a+Ih+s/96vsKMsn/bJ7B9jx/367+8wf/bFcH7h90TDHoIpGSkpkJ
f+a/PMOg0enUOagPaax+724T8g9Q6tqfQY61YGL17261/QcNWJy89GOxcEAq/SfdakI9f3w28dXQ
qqG9xXwElou09Pb43XYcmOSRhWFjXLBdjbe44DjUi1Yei3zh5fu/7J3JctxItm1/pezNkQbA0Q7e
BNEyyAgGqSBF5gTGpCT0fefA19/lkZm31OSTXs2rzG5ZXZMoMAKAu59z9l6bTPC1DunukZkN+0Vl
LRvE5f4N7cF4HWXVdJmZn9+KDg+Y0fTeniJ2tAME7yV1p5GiZS3jTdZHj1Et9lbWk05IfY5conye
huw8mVaPYDPyoGqx1RgOmRhhZyGGKAgxR0WqI2wn7eoDYeJxUNcmVjIRFSfWh+5SErCLA7+31jOD
7k+6NgSzJ57SKv3COb0J3HB4AEPTP6aVY++ayQbbh3SqeERCPhyq2iNr2o1HAMFNke2QdxP0gKr+
bp4c96ZAP7FJ06WHXIOGuO8GsUpJ1HPWEV/nqXU0k167BQZrlLIuAro7Ig5IyZr3i97qqDsseF12
Y9/prbfPc/ORlpBLZeUbxyIzbhkPFwzLfRSyOG43GdTGoGm8cMtZsVjxwKDwhAtAJnw2QbBqVuAe
2hU3q7hdegt1qK25hyJNkXTR6woGtPlbaUakt0g0LPbK7mS0yfLlA0rFZk004bM/G+bTVNgO0Vju
+FoalUm3o/HX+qy84XU7m/omr3AJQIyCSqHfjmUolg9lK9BNbJKp8rT3LJcG6RBVPmhw+JwubUnI
qDpIUXZljRzooEbAYUznx0aU3smPfFgak9cQ64BUoZl2hdm1e9O15c4lq7wMEuju97Io+0eNY3KP
kVkr4h4nEZPWoI8S+87NWh2prUyyDSmQtPHgvxZkHA5WdtLmRNTaWiukjJZdVbdL2x6rNE+0OGeS
zDnEDviHOhdF7ohSrzxQL/VO+4qkxSZzinAv2hoAHbQUDgRsmXR6CPus2JVN5bnRPWnR4zhtfTRx
tJyspW77R/RW5uw80S3q9A/aOJM0iq4ZoAsUmKgYpLnVaYlKsmMzB8m1PEIBmetmC2uzJL45142P
lVfLh0mCqGLToZTfmomRVqtMi+Q6MWw/XGmccf1NMo/ac5zZCUHfi1sACnUKecxovHpB6TefbBK4
ljV68PCxzGMiPllJGmCEGf2V0KbFc9LS2TRWRT3r98s4OeM2h2kbroYmpoQwegpDAEbxvipzbZMs
UJdWkzfMH4CKUhIIUsU+ZsDLUL43jvi9iS1zDSk1usc51Nw7KN85btY19bcBQZNfQD8uekdEW9QQ
CVLmyz6Zy/rsdG357EskXtAEILwE1pwq6a4P9wJefwhwxglJEHQ14B6wIfGk9tJeG5rRL4FulC63
fMkKCjLRz4y8Y7S+etc/DqNbngnWjHbkbBLiO9r3fjpGlzCv5S0SDhOZBVGSr9dV/r8b4i82RBMs
GDOD//eGeEw6SAxUHnXy9X7418/9tR+SFAJ7nr2VA5Eakjr8k3/th77x259TW5Pt7m+b9793PqH/
RsaPC7sMxyIbILmt/8Gc9vvzINUdya40a11oHIrE/e2+B9/Ti/sxjvAyAcq56q9FOtFstXIWyrVO
cPE7LarmXSWG/mI6AUz8213XYqgAiZ/CymGDZ9z53dUTsAV2BoaUAGIcaW6EzhERGy5t4Dw0DXuU
X32jHJam0atCG7GXFQByUL7Can4C6UGLr0JFiAczc9Dx+QaxwqssNNE/JSiNYJnVr0tNQLWJsD8Z
ltswcWcSsQDfotWDP+y7cIRVczskBBA26elqbUNYL4ZVkyCwbmMCuwLc3s5jo80uXhEUTd40MUJR
usyrgw6DSniAEsv3Blm+vOPXRJQClKh+Ez4QKCoSxEt0W2/mgYUmcGJLY3iXk1E1tB8MmlLawZPx
RMIrLF330xiJyNlOvquZz/oYRsmmGCIJto7Rhf0a6z5dJaWB6+PbqhcZhetEn3w6N6YLdMyNvCk6
Lb4We9sqm43oEVays0VmX7A+JFFBF8DscMYTH6UL+8aw1N+MEHq6L5I4LxBdcI6DCFm3HTjEhsI2
JoYC8vbkQfOlTewYEet64YTM5Cmkoj8KcEn3oztXZL8secJxZGYBNqLGe1kG2Wub0pjkBi0Jvidn
Wff8fwGKcsRXaTOeXC+FxMchR+xzRxi0MJlVTSEN/DZ/8D0/3xVtocwiXs6gZFu3IzzbMXea27aY
to3V1OA4M5MHBsQhNT9BYNrshw+jM8unrLazF12lk7jAy1fCHnCSJJn9WStl+ughKw/QsDVr0JrA
ltG43vScYV/xfWQB0lVqRLctbxLAtgcrpHg0jJws0DR7GCX7RuBCGIaH1GDDnJxDV5U30p8vSEPH
FrKd3/1hKz1ngUZ7LdH73WSRwzRs4vzi6nmHXdQqVvGS5E/ViJC00Yx4F8nKf3fwKuVBG7bpedSc
5i0aaa2sEPvrJ3/2ljjoU0M7oILmpzhu6Q+tclRMuOyehZlfUq02Xx0kRdEK88B7wiTj2fF4qSym
j1u8IiSvZ8WIeEEi6hbT5zCELLswP9j45IoQTh9H/Vu7wHpeknZvxJMVZPV0O1qxfZ/TCd2KcaGz
RRRJtW8jK7upOKcfsXAZr8QO4zpySxxl5gTAK81QtVqwsIid7C7dUHGgmOyKDO5CACuf5Sn32COL
qLYf6EAZJwY46UtTxukrdzTfSTmI26Fa8v1QlhgIFit/r+nrhquwjVxolmI5kzwx3hU9fSG4cwbH
69pzH+e054SkaYJlBYvx0WM89gAr2aHjpPDhuSTCNqi9JFE5eeJ+8IbubmxF8lF2OrJGMU/6sc7G
BJpf1lzIDp0+kB9dHwRA4Y2GTfq1Yg+nZev0t71dAVqTg5se9MVdwKgXcXG2dVIbamZWu37Ro7We
+t62bUb7iz3SgadGnj/KFF1s5INUzuoCCX94RNWIAWGIdcBettwYZXRj+jX4T31ehb4I6swaPg0k
1AciK/O9Cv8OSrtmlGt0CNCSkqy+WJe4yp3mD+Ryw60OqBn2EJ1Op7Smh7SycX9l3ryv2kE8hPM0
vxAMtbzbIdUPX0h4D6YaoKU7G2puVax5T3rY3DLFImelO7i6xKAXQ5U9Edmb77jtvC0aLC/fzepP
2IP63YIjp4Ppr4uNdKSFiLztzziz6eSNxawM0WOMito2vywmABGU3YSgzjpNUh8xH6rw8cjk+Ewu
nn8yKzN6AcSQ7/DfNVsMLdoYoGXVj06SgXsGSncihs18mOVIYozRzf4dOfdMi3Iympuh5pjFi3oY
hoiGLnL8giSQXt4kmREd6gq/R+Q5ij0pyuPA0Z1GGUsNg49bzbHTg9lYxgdnLmxzpaMCWnWNM7/H
KXhCPrQHfHno0nRPNE/zR+a4G6mnkD5l5m/CpjJ/TxH73uSdne8aK0kuRpt2j5Hbuyezn2n+YoXB
kDFnzVNXDhCvbVcR62rtra4G4nwZwzzmCVzmgLfHvSunaf6EwyOdoVo3DNFKezpoUTHuws4YT0y5
xAHbRwlpqGmeJ4ZDZ6koxegOl51IZPzAzla/Ogpp7PWl+2VOsj4PnL6DwOZHn6ZMpkpr7JOMW28p
dobbWXb2Gglav9IqBVH2FU/ZMzLQynpHsimBXka+GoGEIvdeNNipsdU8h4rPXClSs3eFNtuK31xa
RrPt/LH56EWl42ysKir+EFHkUWlAfx4UB3r0SrrWEjZ0DCQash2jj9lkfwMG1een3tKZKXtFRwEA
YnrwuurQVBqDl15zCEDI7NNEKnegjeXw0WOOz6hP8ao7vPLwBhTGuo46725RaGtdDPmgxo1s1wgW
ott86rVLHNtgsZKKpecKycZ2DTCbRbtmwqA42hhWKoTppTgleliyLCFfIGBghrSsKNwuFZR6JhSc
G/oiwxMDpBRjDu8tUxRvPRFvNH+roxaV9gdPwb4NXYq7qfctlsHZPM/NAuE0LI/qBh6aXBi7pR8Y
1pSJ4g6YRyZc6U1k0q5r4xJyVWSKJ1fhx6UCkTdNZe+0K53ch1PuOWyOeZbA8KwIGpkpTh6wM1vv
iOxhnBt9vayhx/sfDBs8b9l01G4Ki442A0J6AZzynF256eYoQagrmDpDvGo16eLOu5LWHQVdb3QD
+qQjD35vehsj0ZrPzAGhtGszwPawB93uknKz6hTOvQzn7lwveX3OqAr3iGDMvcQYvUJara2mKxU+
xEHwkbOAeZHkozIXQQn5xSu04bVQUPkwq19g55OXk/oPwsSaxOfTe84daD6Ynyg2fdqnjI1qgPXO
lV2PmqoN2bSb5T2p2wLFmwLdmxDv7Yrtbc489PQRkSWFAuOHnE23wB6L2+HKzZ+81k3X4srTlyzC
J2hGzZoZP6B1oALjNELgDxWMn/2u3I4K0J/36Mm1xHD3JlL/+yvgFVsOTH+V47PC988BBOT/QC4T
sXgZXnjXgGdwY+eRseLJzs/o0IkMILeC+ABXrzi+jt28ybRsenTaNg6mRUw3jj6X9z1Sed4TARg1
ImfwEwffeEOP1NxlOOWPnmtymCbZhjyDXkUbjHoePelZlT9ZJmdAC0y3tbLxdd7XWe/fLpnDaSWy
wxs85QMDGj1Fhg2ipUG3pDLlh7Fd1lLlLaS97zdBMhrJwBHTr/bFNZxB/BXVkPWz4dUB4uK7cES2
LfGjQbuMmwewUOJoWe18IjvFWPtZQrM3asiEKMGURRz8XxbHu00t5xKpBImBKIkyIfo3J1yiyFzj
d2gxJm2VPF81oQNYwC2cF4NuHfR6F9bqFIt1o1IrarG8tTFcAJeYF5VrARXVUXHftM8a3C5VT/Wu
C42xNSNfqbIxANIWG9iCT9wWsYUWY638zh/WIudwo+UJ/ptEHMEOvBoqeUOqDA7i/vJ1pnI5apXQ
kaqsjrxgEEuXsw4qF2VVFJPpUQ7eNo5I+QBBcx/PlvksrhEgniQNhITFdmsAH1otKiskzEgNWVR+
SEWQiKsSRZYkFa8z7bcdsNkaw6G3I1+WJpLKIqlVKglYkeyNbNoNfabwUkCe3dcoQg62SZ4JkcTJ
eowAFy4q7QTMFoloNZzzueuXVX0NRLEgJtZVH51KFZfiZ+l8b+t8uJQslWQhQtdp6AStnBq/3VcV
8/nPocDXCtgfy1LHBKiEfFMQeU19+G1ZGofWnCeDl9ykRUdZp0kAHi3Ue9zG2EM/WHpJRcpZqmTL
xhfy84t/PyhCx2lCBYLm5AFdM743HSxJ2TrzUic3hgTZsqQt9pgkjxEA+Nnjzy/1/dCHS2F35f9U
9UsX7rvPmTRJ6kAz5FK1iVObd4TMr3KOqs8/v84P40Z1Icu1fBoOsHmc73lOWTXPVpsRAEy0wbxF
k2PdOPTowKckPb6vDAbI6Md6spqt4q12mQayquC+0sJYFddhzG93/ZX+2z/6Vf/IBe731d1bv/Vv
//pc9kk/n96Kz//3/zzG1afP/7rpfuCV/fmDfzWQXOM3bqWJ3srxHROpKY/OXw0k/gi5LMcg+kTQ
SHm8/63+5ycAAV6hqwxf+aO/cGWo/yEz6wbTaAU4+w86SjBevuvqwEPz0MjT0bH4vcT3PaUGon5b
+GwBGiCbIJ3jCguz2SebCJXjJjHtl6kYx2Ou1Qnt6/olj2ztRp84D1cDEUjFEisLlVU8+GNRnvNB
f8bAz9C7zpuUxGxQyPRLxE1roNmyWOO36cx6iB/zBLUe7ZM0zqmc2jdfFEdnyo8kh+84zIbrvrUp
Qun9B/k4gMtpky9AkZNTwfe4aty6VE38JtChsgbEWDBw0JfbytfPjkGSi99Ob5WkcWFnLUpSGgpt
jzhNKT4KgXjQrbyTK+RuSuCv1Gge/YzzmzE+hhLHIqH1W8vMjsO8nK0UwEHE32pTLZBx8oYit6J/
Tf3VZ4R1G+8oYl6audtWOZowyG/iI3ChfdJ6TjDpdMQr4k3IpqHM7sVLNuZvLgqqrR5Nj3qbHdU3
0BcoVK0s/5LWJZlqUZ9uhdKWCfRtcEVwYHNauURievRK6azQt0c3be6/kzSPhDa29gSf3ELiqm6W
PE9W2tTxxQCFh6B/MOPBXMlMErI1P0619RKL7BDJ/K1tUubj9smNResEaI42Fh9Iafiqfj5bNN23
s+i3jU/ammZlh8Vi6i/7uIDmTX/PrPiioHqRB2Yz5mVQF2+gE/WrQRsrUiHI/b66P624eBuMmfJD
gRt75W5U16oRMm442Z0Rk5x7c9oN8XJ71eLB9bit3QoNZhZ/EcAgN7aRHDP4MyY3Z+9VPn5r6D/s
rvPzEiIPzHsnXye+0NZZx4XGhOykGLXIXUs5WM3ItCykorEtL4VOSNxcTqsSWu4aqckbLkV/k5vy
3auW29GMEoLC2+SUNe4LLu4/mALd+1NiwGdCHG32+8Ue2n0jx8tCPZckdc+DKvZRwT3SdA/xWc9w
bqB3CdUq3kwT9xPvgzj4Lk+CXHoG4mZBV6DTn8vIePfF1AeFJC6mj/KD4Y6Xph0ulsy/FDpVo+5U
/Xoo5EWEHHyyhCoPmS/KVEeLV4aRJKvr926Uzokky5eqKVNoEPapti1326uf43MGsaTzNwnnhe7Y
vHckj6NmyFNtavXvaaj5xFrFM5Zk1E5C6Z5yiQJvbixi1nwgQ40SS1GkjDdd4Xg3ctS0+yye802z
1MV9qdUzFUg+khrQdCtTy8V7j/xqHlvnzvCIxuOpqZLGWreIg9K1X0CCohk7vYXwzrUgqs3c2aVW
Uz5nZfhcSI0U+sUiyQSndgKxKzxZZQZqAtdwJvONjIlVX2Au1P3cbqBXxca6xfWRBolso4NXQYB3
3OaUa/G5pPO8mTTrudIMlOmDbW/GwX6T5dy+l6VJBpmWxht6k4HnzmlQL76zLRKEluZMCIrR2z0C
Qx7/JTXfK6wjHD0LUt1GHfSRaWyFy0CK3yIMhoXHED2Dvpam5d1bujvsJJCWYM7cF1dzTgMVDllL
7Rdtam8RtvyqO//DKu6bru8xmFdDhh+UIhxMLML7smqPMSMLBF0RiH/ylNjNcUEG/IsDHzvPt9oQ
j2xUNjSs9IxFvO8zR8HSD6UDmQFnInKo0iB4ImeQ7AgW9K820/+PoyVWEiE4a3ExyI8IsPhNvpr0
Ty4MsTSsqz2e/TdfZUOo5TiFFr4SXdBVN/wvffvza37Pubxe08N9gecSUu/3ypdIlH7sMfeEc2nH
KHvHC8mF+QpM3n5S8lL1efN8uW07FsCfX1qIH79ZhisOJaVLh9j9Pse6hkK+EHte7nEniXVaFR6J
C0AiWC5u0QhkwHTk+4QYcptN43hIKS3XrV+qxgI9LgcqWLncDhHeqQV9s698CunQbkiFu50clm/c
WPUqo/hpqvRYOu22sMdHWUTkKMXFmsbfaSD1hO4HmlmbIvs1svFWWB7Lw88/6T88QgyywHWg4WCU
dJUffXVjzTwBXGRa5T42u61V6WcsIediQcX2i+v80zdqGbh/mb3hwfre1wN1wpP8Ic+qn1s3BI+d
ZyOBgpyzCJeOn2IGzhDzYUAhROfMOL94gJORwEiIvjQj67I6qqQqntIw5S0u+pBZznAhB+ck2nEX
eyz3dg1UIYpiZ9dIU75ENgrRIjIBhiRzcjvAqHwsM/kslRSfitg69NDuNuTGVLdWmXwJE/peZYZ8
spVetZNa+iWslmePXNSlR9CPbWEfz/Y+jsuEJJ0FCTuz4oze0cocljPTGxGYJv+272m/t3Y2r1zj
l4o3Vdx8owfjTbRcRIfgQl2TfN5v30Qc/lVjaaLcLxOTDY4TkpWN7DMn0Cax//lN+77QUm8gplio
rQw50b+pP//q4WjNOXHpf5d7OxsfrQ6zQPWrBfP6Jn33eQgxR9Co/htz7nfXSOKGTqqug7v2x3rb
JdJcWeFCAWm+g3Kadz0T1My09r5mnqbQjzdumR80GX6kefyH54ykaRZMjbw8FfsxZROPfVanei6O
hhF9QcwtNm6YZHvaO4sSAeCy0JfuLk+czejVTx7uncBBuHxDn39e5TbnFnR4aPv8pt6aLcIiaPvm
bsDlEOhm8sUueQSbJDuOMjtkdjQjkU85oBoTp1+DxCwUd6tR7x+r0qSLJJbbX9yTf3hjuRe4QnEK
6xiVzW9vCkEhPWkzxNcZOYXCSB28SnrMRwCl+MwkhwQJx611Pnsn9Dp01rpWDxajuO9TnuUwYwbj
lMN2CjH+9o5RERirvxB1JdYe3a4gG51TOLgkOIT2KSZWYW23rEQ1XIe1m87Pujm9Lx0hRW7yQQpO
h37DB25BqoIceZ45iAH8jesdzZ6dX0+Pke0MQdryfFo1Cx8kGeKUNTJxYK/5OxPtvs9o8hex6v/w
krBnqP8YQKnNa2H/1YM7RY2b99MImtAr1xxxJMYIfh1LJ/umjn5xR4wfCAG8J6SoC5Y1w8A+/v07
2VhiFiYorX1rdiX83w5/WpgeQnYq3+D+QEjJgoUBZDCaLFMIr16SKD86GQfAoQqdoCr9mtjcsdn4
Droe4lsJ0Zy9P7rMuNNG7z73i24V+5z2ZVmJtahBAaYLtLL5FtE/mzGPWSSyN8YznFIx6aULneWB
aGNZYURK+s0Ia27bc0uv5eViSbFObP4igYsHR+v5iXoat3U49EFOsgbKf3m+FkEhVIj11GfVAT/N
JekpJL0MD9yC0QCK3XRpYV4AaEB2J8aLmRnnRksO12Rqwx3WSZnNa/U/NBCE0HTVA1kP49awsBSo
16iTNnlN04XsPAoIGwuY5+DWyRtOS3qYHmUD6c+t+dutZr80qc0rRjzDHTO+d/wH62ngC0a0dUzQ
9qkcQbaM3HpJ4/GRoa1DAqq9H2HXa2N6uDoO24gXuO/zA0XxrgjZWRIwewgdFmyD/TE37N/jDhdt
Ztgn8C9reuTzShVGDFcSZsVoyhmQnPLeejFbfDs/f72df3i9Oesg8dBV8wk63revdz4LJhWWXexR
A7yX3fjY6ex7I2VWiANirc5f11K7Qgy47X1Oetd3voz77TyRHNmk/FhD0nDWl+nGh8TqMZx16ahH
zQoBdbnx5TDvc+VyGBPEDRgIkk2j/A9kV/vHuvXhqkTsi/2Cd61kLQcrI06mxhqT9vPzKDhu6a1A
uaVjeZdRD9rG42QdURiyH8aEpKzSiGO2mw4XooLjoDX7x9ajJPWH/DgOw6NlD5BiCP/dEKlHo3la
bok6u6RhwSjaAK1qV/O70zH1aev+0aU6QBzqnEY2EYrM4SIceVan+d79e3/9b4ftVx02E7/zV8/q
Dx220+c/2rcu+0auzPOifuhvubL9G/pltiQkSo6OXpk/+lqubFM3EKxBBOzX7TUV4IGZw8Pe4ruQ
31nL/26v6f9JS8301E741dGCqEQbUTItNVcXjs0v9t2rJAaNfJh4vBPF4pP8QoalqQJhBGj8ubwb
3cSaEQ8kYxgzc9O8hsI+my621zo3HYXkh7zwVMeIX//YGqlzz7TMuZMpGjMyOVFMmuTQEpgqWm0L
0mx4sbqiOLWe26Tr0fSHrd97ycmUnmA20kZsjONibmoj7gjcs8WpBxKK7VlvtvroFecsI5G+n6bh
0ceTSRkNJ/aZvJ7pYGmtNwQS/NoLmoTwedBjzQwaOjCPeewVj7xf6FSy5QZMI9pYw43ODow/BURr
Hxk0hVsmgc49PRpSmibRH7LaX2CLi2yF5VturNhiGJGgnbkMSSrfXLdo8DNWIePzhVcNr0l3RlUe
f0TsPNANqdJ6LaLR3Pqxa3xANxo/2tJJN6NujWAndYTQbTSZd17TPTEy6bGTGabbguEViAFEvVxK
jiwAieQfmSQpIKBi7fYEJiR3TUK6dlDWdvc7SYATmGLu4VOepcXJm8Z4q/XxcmgLWvZBPItonY8k
waYlwDHGyFpyNv0u3Wt5dD9labp1UwmdJ7bTVYfbf69P1XQn43K4A1aHX8OgjxL0xTR/mPtm2GaS
zFDCvs17DwfvHrNUeXQbfbqzOqTZTAjEG5K26pD6Rv8BW0ouVwUDRUj6NYtgG5veDVTj4bgYjb5t
DFdbl2FePmDCFR/62epfhW/mX2YmSRdzHJK1k8nyvoB9eSKEdBvZev/Cd1XPK3SF/hk/bvEi2oTN
0qvLdcnsETFYtuzgJmobTbTyUzN13T2T6Ooulb2kwTVi+k15cJAloKN6V7TPdsWEEAG8toiSAV0e
ZxsLYf0De4sO68Nv+s0cFtCs9WrceiQfBPTJ3zioeLelAq5x6qlPVkvfZih1Umigca3iLiL3wQA7
sRmRL9/Vi2Xt86j29jr2s89pGaVnvWaqmGTRcp8xIEdYbIcazT1F3A6jjsjcZiI9goYPSpuSGBvW
rzg+JBmTK4C36TrVcvslMQr9I2Gt8s7xM53Y+2440im2EcLVzfgAem95BY+JWFe76nbtJLoAS7Pv
PUR7rVL3jkrnmyjFL8oZtPJXGTCMRCTBhlIH21UzwPlTmmHnKh9m70dKnChVsVD6YjowxCteRcfe
VYAcXsXITMSLZ5aR+jwrrXKpVMvjUNibRCmZ3auoGUlWvXKV0pm2QHNfKPVzq3TQjlJE51dxNO+2
/NhdJdNSqacdJ0NIjR9Rw6SOutp2wuIwLCOqOdJTkV+PhAyMWxID9HuAEoax0v4UazOEfyZuG8WH
61QhWNamIYaiTJApLEX1Kb8KvwelARdXOThqPqThxAlpz9GoBOPpVTxOhK9ci6ukfLnKy+VVal4r
1bmp9OftVYpOt7BFl57/qVI3/hKtcwRTGnZSXSMU7dE0K3074BrE7gR4KOV75Bbs6L2AUryvGiAO
5WGpzU5bVr2XFrJeW6OZTR/aVEbeO9TcMC7BUOT6ZD8VlHeNu/FqWyPpYBj69NPs1rWRIW802paN
C/nxf88BvzoHCOrKn58Dpn/t34qa2Xb7+Rut9p8/+feoTf8NsyprovXnyOzvMZv5m416GvIz4y7a
GGoC9/egjeMDBldkwxgq/yJw/X0SMH8jPYu/DoCPZ4la6z85Gah9/6tzATwll3/IAfGC18HjSPLt
ucDSHInGFsZjVtpoWxfadQxynr/6Uv6hY/rDOV5dhE4wam0+5w+wIfgKWu37gHCRYjWBdLtlHbuj
u0KG2G9+fqkfGqVcyuJrcWkDuzrO2G8/TwWMpUkjcvOI0ab6z1XqqilwhoKwgXCb9PvCaDXqF9sC
FIvc+OeX/+Hr9Bh+MrR0KYwZhH4/jjdzJAaTYyJHKqeLWbgfPTRTP7/Ej/U8l7BVa52THK3175pe
bavNgx4azd42pou0xXPng7YfTExRoI55Sv/XePAPd06oFKxvHxBSOJn4c4Kl06bijr79QnHjI8jy
u26P7heOZVbQ10GnWtDvYTHOR+vJulr1iQNQtn1RpQX2Sh87f5Epaz8npyRwzYhNLgY0cjNMRDPC
YSCnlQ1Y4QFYb0EFmI0BNqAAINByqMTOUog/zHTasR73qP48lPFtr5vPc0d7AHH2UKwzSJKnuBl8
8hmonPAcy+c5JXMicaIJ1w2nrJjoJ7+4OEihPsJtrvDDtchVIwD+dg851rEJlBitFuNXhExlIP8i
YLkm8BbKAPBju9mOw7LcsKEch1Qbt6Iovlhu/lgl1ruzeA99i9ZmsrziUOvy9wipK5dIHXDs/JtE
FCzrrF6aXdYo+EtprO0unT63sd9QEcb3NZA7hoRVu7FMGO6cyJyTlBxFUXaFBzMSzy7hPIc0TmjC
kZGLPGr8LEDhwJ3pkvVspCky/Sa69I5FfpHHMdIfIyJv1XxrCkcgynm4SXUZH8sOKHIMnIaoqenW
Rs+fbaZW62e1NUX+DVvOILdJ5fqXxqVXH1OerEwvce9qPU3127I2QgMSfNs6T1bpah/jbGzv8Sby
73hSmpfKyMbbvE2GPTMaTtD4bAvuqh3fhkWDmYwsDBjfBPMgZ+IRKZr03FQMXtOpNDbjTOD9mOT6
s1XR48DhJldanJjD65DoDectnQR1bXGjC01SKBgJ3IIQzeA6bhwls08M/2aBinEHdb19qJeyPRdt
dxf6s3hFbNdfrEFke+XGOxpSOPui5FkgTybZDn0pd2UhXmMoxTNVzxBtU6bwe3q8/oMOnmEHZas9
LpFWnRWvxeyG+YjCvm5WJHnqWyILm1eMkZwzUXZzupd2smt9a7hFGAilbomdc+J22zCEm4om1jUC
34jQ9GbxDT/2UY4RQKewWct6eqjn7CkF0Yz4NIVZUYDrR3VF+ng8dsE4RNODFk7GzhREoRo63ve5
6K0bu+6wYFY6ECHSYqr7Ymbf4Ik2OdFrYaQ/iLCZ3zq0jaucl+ZujFLtlpBEcyckHQ4n59i0Tguy
MlBpuutGb7gaPsmK9wXx+6qCu78N63g+SM0LXz3aKYzyIGVFYTjdSigVK7cappWDYwTekE5EQ1YQ
jGjhOrXCgcrAhsstnHw6LGZs3ElfeNtQ0Y2qqkqpGwCTO278JkLx0TcWhvR9rz8mctb35ih+d7mv
mpdHH7JKtwIqOt7tZDn0VoWgNcxaONwag3Mg0OvGMxSRNj1qXVM/pE2Yr8tm+ZREXucFsY431Auj
8SYkIXVDLMqDnIctLeRon2qoviuatLsFVAvKWad5ag3NLVieJm1d0+piTFKJN2LE4YvFtbPp5Ba0
lLjYdu2rARwmj9Idu/Og1eKNddu7SYpJ7AhUoNS4eu3igTtkW/VyCvOsR3wfkhlWGV5+x4K0oBbz
kcuZ9mtbTR38M08LJi+sVnkdmutOj+8ir9zFbABBMer0TiPFQc8Lozx1hXeTj+ZTViD5N0OjXEWo
I+EHaetl0cJ1mGneMQqzz6H0wWI13cYdTOtt0EkWIANhvK8p132AUrx7LAnOfTJTZvgO0HaYYe1e
eByPq2mZXtCviIDTEFfWUdQyJXB4gQJlhfniU6Z8NGC7XICwWQ9iSR10jr6BV7NIu6Aim3zn5nG/
cZCf8p448lNRzMzt6bjxNZdQotz02QYZtJ99xNMUazlGT4sUpBT12yb3mnw3LK51R7zB1DBxWkZK
Rk/bY01Df9O47//D3rn1NI5sUfivtOY9UWzHjn2kGekQQgg09AW6oZ+iDKR9t5PyNf7185Wd0Dgw
MN2ONOjo+A2SlMvbddl7115rjRSN3EIOEdLxeq57M9MzR9dBUirTSHfDiVCRTBrlG/dU9RHTUgzL
OQXsAzNGmemneqrrHwxXgV6kZ9toDIG/dDfTYONg/twpvyisXOhEgMDASMG1ZlJfS0kU2IAegrpX
w7UxMaA+uUmBbyFsDqmVgQzQTYJ4PdxhBcVKKyEuM2WVnvihx8hDbwYwN6xMgcEgY/P8HvmJiiyK
QEDDnicz9sdilnsaa0bDcpM2nDeq5L+pt/r/O/mvOvlQ4D7yip5J9hXvzpYiWW7aHn79s52Hr/U5
WzHwPYfUBjRJvZ2Xr+Pls6CNVBzSujbuwclHX9cAOCk5O6DSQMTyId2nmZDzSrpMPqGcAcbtn3Hy
iQz2vDgy6DCXyNoBEuqUR+w5jepasMVluji1coiwx0DRyXTYsfDPYbmDLXAg1vmVrSeAEAeuk6FM
HaWfnBVSU1MfqSBfSoMHqGP4ljuGDgCemwwwISlumzNmyIuotEsGUwlogOhrzRJT9goY3RQqpyE3
ml+XaqTfMu0XgYLDQVPXOfPziqOU6lMirOt4ZXvjICIgOIqhxUd3QiELJ/CfLrJCQiGZyMrnxACu
kK7Swa3lk4MEmOWqn6Oo8M8SkYMVgYawqSWGeKA3GcJffwndTyIB0MrnORSAkzDpWd8TVcQD6pI1
EuY55/szO/fgjANvA9oyV1KI4xIL8kAEpGpD+RWoMDFy/uT9U8gGDSe4KiUnE0J1vDklJLDisRdm
s8r3huORBpbnKNGLRD1WSU1Q+RNaoXWTe9XaHkeBObhFDrO6MFa5NdZVJBnCAaz+EBiJGQym3F0B
HHoUeVT9J25qjQs31jKyMpbQKQJ0Yc8vEgIc4Zn4wLAF9r5lGUqi4DlCqSOpKe+FmViDaaErwdeN
H4wgvbQz5VZAbIuqVwlkhV3DKT+Yq6D3vXIKqaW+5mTZKZ37HosllVqmOa37l8heMbLF5gjOVlDm
qJVHR7UuxsgAoHcyEFk0zTLqoMDiIzKCRvokQbhvElUoth2NUldl21Iy6kWyFJWS94Y6d5zTeaCg
RUuSSWgnjj6CoVKrpLvhzaseBVAcrVfDeJYL1MrBKeYsla6t3q6oZjNOlNXGHEwZKlIKIWQsmCv/
zAPnf8zdKT5LEt2doC6EuCqKL19FTwuunJXY3K5XTvLehO3i2qtySuc5zTKOcUS1s0jP7HMKJJ0b
D5W4I5DL+jkhqyvPs32EpFO89zzmIb2KdKNecbQ5BZgHolFfpwWJw9Q4Kr1V9a2Kis3UpFBsClOF
9r0wNMS+5iIMEbjXqhKuD9Vz/RPLG6TOpR/EtMU50OrEiCFw4rRfAw6AqL2IR5CH2X7yeY4MFDpO
hc/hnY/8WTqYX4RG6MJdZxfmVJEnXyJwNNRZTX8ammUvPvKRDA0ASLihOYXjILlK4+Et6j7Z+1Af
3ERmuYG2LF+TT/ayqldNcj+4CG3UhKAoM4wT1GnmY3hWVmMq44EaINOqIoFhig9VFcQfE05lPyU9
DXjxZgM+0R0qZxkyR9SirO1JODKGp9XISCdQo1Zn4Lh8+BvUQhsXga59KRWDIDHcAFmZC0QkihLS
yWHiMzHUyM3HJPX8kyjNSxQGU0kuDxkeBbcJkvcrLbnIyN1/4AzBPycvqX9MdVudIP8E/GwwQvOH
0C2Ats/sWbgI1trNjgso/W7zqudezCmBuNsIz6OSOp6JDa++WklQNfXRxZGnxDAGbjzNQEOM3ywq
ah7whTw4n06RMFhfra0BqlxFrjiTzMk1+FH9qPoCMm5AbnLtXOYECZCQruKvAP42U3WNovoElGGc
InK1grwjggELCQjOSo9VJ4JDLovAoBQsFAp8bcXgODeMzXlBYdknp6ySG4vn12bUf5TeDFmvUXJs
VLY4y4BUEf+iF3vkF3jiRyGeDc+/zjiHdkaxMh5FKzEWgepcQ0c34GwjAH+tIgl0zsE3hThULXNo
6akG/JTGCuU6Ky/RfLSjcbEJqb4drKFo3KizmFjgMoY59xo8Cot/pqK3YhWlp3GLIEVhw6zER2H6
/tkoImKkKqL6pBokfo8T6rq+1SsLFS3z71YZUp4WM0NVpVIgIZGzaAWX71VZsUaJgqNOozdgWYVj
GEwnAHvqjmIjmsJGIiR/pDpkOhTqZ0WXNwJ1Vh6DxqIn1GsjYzoockogi54VXZIF3lwmArzCcRxX
6STJoCVAV0RvKh3+Z9yl7YNIbwbWWbABn7Kl2HxeJlmQJrvqfPnpx5i9/Bo9u1/50ssNbVEJrzpg
JAT2HLC6U3WPX2ojWNDn7B7Ig2b1IQWUiVLkzeVFHjOII/J59cfs70bfIPtojkhyyos01o8M+Etm
ePkJG3u+/J3WE9zFWZTK92C7cdTyJ6X395Cae+jRUxvstdCygY4lRyCe6kckMdyygWX1BwpIKGAV
jY2aGz4aKH83FF5+vp+2weI+JKB32dzdu/SxDfCTyef+EyPsNfHICKM+CVgI7RXoCOXFi24PBItc
PPI1MKc0VviXBsLeE7DrMEdn97//Bpej0YzOu/I/9jJ+YSjstfHDCkO1T8JdJRahRllee0NhpPcN
PtENZTsUSDL/K9Nh7wl+WAGMkSz36TQWhhDdqEOFw43GCJJ15/FYMC0gSybbDNJAb3MswNml8Oq6
WWHY1zhbQgRkO+CfLI1DlkZCVlNy/7+tUUC9ezMyf30qyEjaMnV9wClGfe0vCAPic442WBff2tMz
MIedV4JRf0iNLueFUKTKi8zA4zkAiIH0BBgNmWWQV3PDN7QpKAo1RR3ngGr20c+gnmo7BeQ289gK
piSDJAGjAjusrzc3Fihz7L4rkKSitowVj/qe+mpboRkLiOtIvae3tRBoGrCMjoNA0/tEqpIouHEB
n2wHRp8iU5WDTuONDgJqdNXO6yGesopsH9jd5in3NkUOrvsGKUmq/96cU4BQksREdN0O8YAtcPnb
SGF/KbD6iHFLXrmfXwr+war5EHqNHTe4r4Mud5k8F5v93Rd2zvjTz7eBRu1EEk20vihjsObejY8l
//6j5X3V5UCPPtyVB9X32f58+4BPb9261+6pdv88dZdiIe4cKX+Ck7vtZoNV/2+w+HMRLh5HAexD
LL8/evL7b61+Pnr/rzS8V6ALXSJp787tCreKo3aHrSFrU/eG/UWULJJdS/I1gqZnKe7a8ngRgI8W
kdvqdRNsdW47DmKxuI93vZS9bry27i1H0fIude+yVoxIfQ8ObNfGj5fBoli0a7YowjqAsXdx7bv4
+zuEsbPwz7bZQeEcYBSeYHX3vvU+t35SV8tMl7Gw213GLxiw7HZt+RSLu+6unXp4U4rOJtO14dn9
wmkNwG3Y1LldeAlgsm/PyCYu7dx0dA+Mv/3+pJrmAYwRF3vNojPfvdnzp2sTGMUDzJdzTJnd+Ztd
F+txIeOR3T+ezR4+uAAvbQHv48xNnpgZXOUBtpeLhRstd11slmrSDLt//HqfLxbwTC2i+11LsmlO
gA/xCl/Vha135w5dd+8c1160s5pKzX7UdbpcuOwFyZ4+gCrJj3d26tLtF9mWOxsFDZ1MtJY9iJwP
0vE4SvfWEIo8TfzZruZ+Cd7U0R6Xy3zR3reQUpDp/+59fqUUu3PHX6oCOUDjF8vSvWttY2SCZebj
EJb5RinHrqV6SWmSzJ2bjgXSHeOFiNkpW9uOSmXLAXaHy/oGT7VBaF4i8Lv2/wMkk7tWarMMa2GP
zs36AR5JO6pRST0cYN/5IJb2/sFRnRnq2uePyyhKNpCt7oUJKlx2B+j3a5xkHSfQVa0h89xAlCoy
B9iXmxs8HYiy+QPEI9dYf5kky5ZLsU16dX2z18uyHVVqdPoAK+6XdOE8njzb7FTX7n5dipCdrdUy
ggkHWAi/ukQ2e8Mb8QRJpte10zeLxHEjGw2pXVtyOdkm8Ds3vkzSd892nkO8Awy+Gze5Q9vKbfe9
ybV17vsm5rDXblkFANCrEclzmaYHxNrT/NPuDPq5n7WTa/Ibd8FyIf74CwAA//8=</cx:binary>
              </cx:geoCache>
            </cx:geography>
          </cx:layoutPr>
          <cx:valueColors>
            <cx:minColor>
              <a:schemeClr val="accent5">
                <a:lumMod val="20000"/>
                <a:lumOff val="80000"/>
              </a:schemeClr>
            </cx:minColor>
            <cx:maxColor>
              <a:schemeClr val="accent5">
                <a:lumMod val="50000"/>
              </a:schemeClr>
            </cx:maxColor>
          </cx:valueColors>
        </cx:series>
      </cx:plotAreaRegion>
    </cx:plotArea>
    <cx:legend pos="r" align="ctr" overlay="0"/>
  </cx:chart>
  <cx:spPr>
    <a:ln cap="flat">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Performance by Cities</cx:v>
        </cx:txData>
      </cx:tx>
      <cx:txPr>
        <a:bodyPr spcFirstLastPara="1" vertOverflow="ellipsis" horzOverflow="overflow" wrap="square" lIns="0" tIns="0" rIns="0" bIns="0" anchor="ctr" anchorCtr="1"/>
        <a:lstStyle/>
        <a:p>
          <a:pPr algn="ctr" rtl="0">
            <a:defRPr/>
          </a:pPr>
          <a:r>
            <a:rPr lang="en-US" sz="2000" b="0" i="0" u="none" strike="noStrike" baseline="0">
              <a:solidFill>
                <a:srgbClr val="002060"/>
              </a:solidFill>
              <a:latin typeface="Arial" panose="020B0604020202020204" pitchFamily="34" charset="0"/>
              <a:cs typeface="Arial" panose="020B0604020202020204" pitchFamily="34" charset="0"/>
            </a:rPr>
            <a:t>Performance by Cities</a:t>
          </a:r>
        </a:p>
      </cx:txPr>
    </cx:title>
    <cx:plotArea>
      <cx:plotAreaRegion>
        <cx:plotSurface>
          <cx:spPr>
            <a:ln>
              <a:noFill/>
            </a:ln>
          </cx:spPr>
        </cx:plotSurface>
        <cx:series layoutId="regionMap" uniqueId="{F596E3F3-62F3-47F5-8F3B-47E26A388A56}">
          <cx:tx>
            <cx:txData>
              <cx:f>_xlchart.v5.6</cx:f>
              <cx:v>REVENUE</cx:v>
            </cx:txData>
          </cx:tx>
          <cx:spPr>
            <a:solidFill>
              <a:schemeClr val="accent1">
                <a:lumMod val="50000"/>
              </a:schemeClr>
            </a:solidFill>
            <a:ln>
              <a:solidFill>
                <a:schemeClr val="bg1"/>
              </a:solidFill>
            </a:ln>
          </cx:spPr>
          <cx:dataLabels>
            <cx:numFmt formatCode="_($* #,##0.00_);_($* (#,##0.00);_($* &quot;-&quot;??_);_(@_)" sourceLinked="0"/>
            <cx:visibility seriesName="0" categoryName="1" value="1"/>
            <cx:separator>, </cx:separator>
          </cx:dataLabels>
          <cx:dataId val="0"/>
          <cx:layoutPr>
            <cx:regionLabelLayout val="bestFitOnly"/>
            <cx:geography cultureLanguage="en-US" cultureRegion="US" attribution="Powered by Bing">
              <cx:geoCache provider="{E9337A44-BEBE-4D9F-B70C-5C5E7DAFC167}">
                <cx:binary>1Htpb9zIku1fafjzozr35WJ6gCFZVSpJlmRZXr8kZFlmJncm1+Svn5C3tsq68u3G4AFt9GJVkUzG
HnHi6L9ul3/dlnc3/relKuv+X7fLH8/sMLT/+v33/tbeVTf9UeVufdM3n4aj26b6vfn0yd3e/f7R
38yuzn4nCLPfb+2NH+6WZ//9X/C07K45a25vBtfUL8Y7H67u+rEc+ie+e/Sr324+Vq5OXT94dzvg
P54l//Pst7t6cEO4Du3dH88efP/st98Pn/LTib+V8FLD+BHupfKIcCaExhp9/oOf/VY2dfb16whj
fSSwJBIzrD//+Xb2+U0F9yc3pfvU+NrdfPv8sXf6/EY3Hz/6u74HcT7//+G9D2T4IuJtM9bDvdYy
UOAfz17Vbrj7+NvL4Wa465/95vom+XJB0twL8urlZ8l/f6j3//6vgw9AFwef/GCaQ8X96qufLHP+
7ikt/DXLMHKkqSaMUvLFMvShZSQ/EvANF5h9MYz4dvYXy5zfzb+9a3zx7dP/3C5/3nlglXvx/oFW
SS6e0sFfswpVR1orzhH7apXDeEH8iDOpqABzfQnSr4HSlI2/+dh8+/Q/N0fy/c4Dc9zL9Q80x/nr
p3TwF82hjygXjHGKvgSBehgkGIsjwTlVUqlv6e1Hq5zfTTcf/0bq+nbfgUXuRfsHWmR79n9nEaKO
uOYci6/lQuuHFlHkiClJGVH0e1r70SJbCBP3d0zy/cYDm9wL9w+0yf7/0CYMHWHCsFDsi8oRObCJ
PsJMCcoV/xJFYLMfbbIvS1c3Dqrul0//89z1550HVrkX759olfQpHfy13MXYEVUaSbDMv8ldDHKX
plIh/u3UL7Vk//HG/o1C8vW2Q0uASP9AS1xcfdPJY974Fy1BodVSAiJAfPf/B00wQUecK4wpVPsf
A+PC32VN/e2zx17k8c73230HpriX6R9oiuvzpzTw10xB+ZFiRGv0tV7/lKrEEWWUMMHEo+Xj+q6u
Yci4u3vqlR43yg+3HtjlXsB/oF1eXT+lhL9oF2i0CJVSEP5F7wclBGN8JKQihIiDOeTVcGOfeo/H
jfHlrgM73Av0D7TDm/95Sv6/ZgcmjxjkIS6V/JKq5MNSjj+nKsEUYvizoQ4y1pub3gJaMfydrPXj
vQeWuRfxn2iZ/f+hZaBaU605FV9HkcPGVx9JSqA11o83vm9cf9vUvfsb5eSHWw/tAgL+A+zy9Cv+
2HQ+uPKvYl36iCMIHUbl99rxY5nX+gjh+8ldf0VU2Dfv+NJ2HSBQ//61/k1KewhgPZDk/xO89e+h
r+8YYXoz3Gw+g4s/oF9Pf/tZXAA7D259Ylj4+tX+4x/PCOYYasl30PL+IQ96rOeu75vRu2+2+OGm
u5t++ONZpMBummsmieBQn579Nt99/lzzIyk10UJJ+LBu/GD/eAazkIBiJRABkIYgen84PP/+KyqO
0D2uI+ECpKhW7DuOe9mUATq973r4+vNv9VhdNq4e+j+ecQqpuP1y3f07cqSlJJgh6BwVlZQjwCba
25srSL9wOf5/Hou8G7vMnqwcLV1clpmYhpjlhoS4FWx6h7JKnkecN1euDfX5Ouso7lSFcFLrMd9g
6dDLfCjWsPFkKS6sGvIiFlGdx1r63aIdPRnqEcfV5Nou5WpRNG6MZjY2xSy3wXJ7OpVzc4YyjWXc
kPKstb64lA1VuwppuzPSyB0rSjYkWRWZtB8LsVud9fuCUfF87INJ17W3UULHMPi4mhU5lUszvy8q
EYp0kSZLqB2nXR6R4XiqG3PVdIzNsYvmZT+iD0WxNjeyKNXztaCGxn5RwwYuyDbzJJZtYRZxMZtF
ZRssdIkSaxq0x8Gw48KT6HZufPdJtk5f0LxW+8ZU0JIvxHSJrVp86Ww77gZK/RXr2XySFxLROBR5
qBKak7scNSjJeb7GbdnSLo5CJs4zVGenfbtGt7XI/BDjtiHn0drV++C6t5Neuqt8JmJXWDW9su0w
vNR6WKq4jFb/gRmZvfVRUehk5CzEQmT5GK+1XuNR1fsSFdLFBDm/t1wXMiEE+5suLPOYEDa/EUQQ
UHJdfijdMBzr1Q1bzJy7XdFYnjnkL6I14yeFH9oTb9b1tDXllNRc9lu5qJ6kXrhgYxRG4sGeWfFW
O93ZGLQ0wtOqqN+SnpanAUuT+KYSIOii87jHZjzDjkfHOUd2t3SmvG5qZt8Ug7NFMtctJXFYmmZT
CZ7jNDIctbEltOhjB7637zwbn49Mr30yNogWccCT2do1cnGZBdQnc1/btFwpzmKul/mTy8nok3ah
tYvrsl93bW7rSyf4ErMuyLPMN2vK1zDGxKvqeTtE+RmJKA5JUc0sihsWZIh502avjVyJiPWYsQ/d
MrM2LloudrL0cFWLquO1XTOZTpJlaaNqfL5WXL/ITLDJrKJNa6spsWFKhefnrtTTbS1psUe+75I5
jyKbTv0Ydqy2y+m6DqLf5nqoX+kmN2+jSmTRielIl290LfHHbkb9GFs0j1fTOjdmM4UCvxt0aeok
q7vxBR7r7r0PiCS6nfFN4amfkikM4aqfZamOGS3mPvZKN8eOhD7WFV1YbAZrXTwaTF/TCdnTDln2
YRQdqmPMwGkT6dfyuM1q9T6XSD4v+BLQftGFvl6noomSkEtTxcyWU5m2Wd9sla2rG55Z/co79iFC
c5uK1tPneBThjrc+dOATuKk3Rpn6bZ6NPU5Knw8SjFX7d4Nkvo6DzNu9Ms2QVtE0VvEAzc2ZJcuQ
toN/gXulWdw5iGePeJcE5dlGle2aVESKeJ3GPl1Y61Jm9bhZ56E7KRosTzjqZbJSmyvQA8t3zThC
RvM0yCTSLdpNJXNXZIr4rnGoWNJID4ZtmPToHSms3qwMkulEUBsSXVcu38mhLfdZoN15wcxYxrqh
w5VXjoFiZZW/KVzehbjDA50hmZlxb7KlVomK5vb9JEPrj1mk+uMO6czEHIX+gvU+um24rDxoKZ8u
QxciSC6r1XET5drHmrFpGynbvRdzmO+60s7vAqvxc9o7U22GuVchpjx4k2hDuwsbtClSRdoqFXY2
e0uimSQYtS+zom9TVej51AvvkqosulTU8oS1YUinui5faNuX6ZQ5s88LSJsNZt1uQdV1VvNx1/vZ
xI4yPMW9d17GURHqRA+T2HRoWT+udFqqzYRFlzZ0rDaosROJS6TyiwXhchpPWdmJekiYn1v3Zo2y
sj4OktUFeqtCIQoSW0/xMLwdx9DnF2YxUUx0Li5wPpvtikt/JaoSXcESMbuEtLjspCrW/ZTNrzmr
66tOK3U14t6QGLncvJ69qN/SyKsxrmU9n9iQFa9VLQgkqRnCSrm2vkTjUl1qibptn1U8GVzBznVW
9UkzrWSTc59B2oZqlyxVcOcj0eO2U7LLU9pX1XmuEbyuKKIt7ksLiimjFkIddm0x9r046zC8/roM
5DnntVljvw7mJVNe7HNXzNfZGKkutpOxd3SNwkUdZWO1G6KuOQsomHPdtO3LFXx8n4Hgt63r1v0c
PN8tQzduF9Ot7wuWL02ydtF6nOEybHMWSLzgYdx0gxk3xcAhH40Or6dkWOXeOtsk1ZxfduXoY94R
emGasmeQZAtzNa9m34icPPdLkzVJvTIJsTY2l9kq3e5en9e+WfCZzld/DOlC7vLORxdFMU10Q8jM
X5R6tR/NwNyxW6I5in23tHAOGsJJWGV4QQo/73TQej/hsX/tTVNdTphPxxBPIsT12PiYtlJXYKJs
cvEaAkqHvLZzMlLdvZgpqlzc51QnSku8sdyh47wr2cVYVOb5KvWy76Ewurgl83mt1S1qnL7FPSVN
zHvevXVjad+j2RT7vonaXU1tpGI3QaoB97NQpFlJeQKDldy6KS8ujYYWpJVyTosBi3ekceqChBoi
z94nzVmXxO3WeebrxntCmpd10G8dqTPI2FbZ9rTruxEnqFbEJlM163cuMsVLjnXfXQrfu/6YSt1F
8SpEwZMqxx06I2JwUMc0rlEXh8G6NoHCD5pvyBpe+i5LF4AZw5ZaIbetFjKxdS1MkmfzixWTJj8d
fNlXx+MQ2be8pdzdEAEhngRSIL7x8+ozERdi6VbxHONlmYZdkxUOjSfgssQXJ3KqRdTfdGZ9B23v
8qYoovo2nxbyWg+jvMZd1p50nbvuahk2Fe2qvez6NpHjVCWyWa5Eub6DBPiJOXuTD+KdHOfxA216
6CCY51nc8/Gd1FF+DFBPednhcjOzKjoD45BY+bbY18XQfaIrn+p4aLuiiOeOKhe70ZXHvgnDC8rn
IiTjyGwXt15n2bUSo99UK1lf2BX6nXhoZl5F8Y/b/Afd923TBu8y+5VI8f3H/75uKvjn83r/zw/v
eRh//vT8G4Hjyat2d839wNcfXnQ/PX1/1p9EgvuJ5Tur4GAG+kL5+DcD0pNf/mfTEwwq9Mnp6ftW
7Mu0ej+YfL3n2/CEjuARiMPEIxgBXAkAo6/zk5KAaMBMpTUmGMEi4s8pimIYlTDMyRReAEYpCqPy
1ymKsCNOAEgHAFcAXCg0/ytT1P2M9MMMxTRspRiUL9jhwl/R/bT24wyVzQtaVduMx4SM2ZCUha6q
hBGrzxiknj6W3NdnhRiBQKPtpNIfJs3HZriHp3NEmCIKg35ghBSEHExwXZeteoJKsZtHMm1kqMQG
O1KmQbrq+G8cBcwCSGEM0DtxcJSn+YRxxYcdw97tSoLnmPa23VCFu78hFahSUyExGJ0CYPujTle8
FG1gbNiVy+J2C1271A9DkQyLHAFP+j6qP6JAwLx+NN9nBcLkixjgLgT2iwdSQQYbi5KDArUzOp4C
eVH7UXxaJpFmtckhKVEYeY0pkhaxJnn6cPDBRw6nTN57Mdb8QM5hscZQmN92UcNEjPPFbmponmAz
+ZSIEAQHp3CgfgGaoJggQDQ4OKXPFO2nzow7r5nw4Jt1P8R86eS0yduqrn4h1AGoABrlBENsEUAu
wE3YvdA/gAq8mwi10EnssiCgOBb+DlDHTyprqhiX1akwefslt34hSj1iw5/VyAHW10ATU0ACQwI9
PNHYIp8VbcZdDlBHUhtdgrF0s3lajfdq+iHQP8tF7jc/SiINfI57Nf8gF4Phpy66YtxRN0HrHEVn
WdRfBExIAs0u/4VMj2nxx9MOjCYYyrqMl+NOTTOOTePibKqGuM2LNm5g3I99UXx4WkACifQnCYGH
IoCNIjQ45EEqC7YQap4h7LAV7II1rHydodHsRbOq4xEKfTp2V3IKKoHOqf8oBqROWk6PRxiVd9Oo
p824kDn2s2xvl4VG+yCYjokZuperD3EpbZbgolt/kZjwI/aniEmEBVcAsR16nOozQZoBwsjNIyti
Fs2FjJeFT5sooih2Pe6SVjVzSkF7G1Iu7D1a5XI5YtWey2GlSdZm+gKQ1+wXscAffTXIz/cRzuHf
g2DIdSmKlZcDtN52Q4zlqfN2STolhk3fZf2rxdE8QTMgS2lTrvXJUuf+rDfVVKTVMkzxBM1iwfo8
7kKNYopbk5paobgmWTjNRuLPiVij/VrMTdpNw5DOkrdJN3j9epxd9HqYFEx41HWJh8Z7C1w+F0/U
q83YLCdD4ft4jsoxGQzX8VLyU8uKV+OsephUAwBVdC22no4unaPhotFyPe6cXOMA3W68mNKcIRvQ
m8h3gK/VRZQYHj4VgV4NaigAA8yK40HY4QKeXG+f9tafA+Se5EYJRD3UYAAyH4bj0md85PO90Xt7
HhWjTZwCXM4t1+Nq2s04VvgvhyScCNQ5wRGX9/nm4YnaL5PSazHsvDF73LNNibNbXbMzT2uWFFq8
fVrCn/O24hKyDQbqq4bW5yCt9ZmearDNsMtD2cZkYvM+a2a6UcSH9OmjfnZTxRUgewjoBYhSceCm
2cinfJ4aqIJq4qdN1OF9M4/yFwp89BQmYAerKIU1x4ECK2SiaphBgZHwyMcdNPLHAD+ry6eFwT/n
MZAGyBAKukVgBvODcwoXrVi0ut8tC27SBvf5VixVloq+bmJmegktBTg+kjQ78eqNJ9muYYX7VVqi
P6VTYCtRgYGXwSkGnP2hv3Rdw1Y3yX7HllJu5k6XWzPnw5bNg1MJZSvb43rRgE01d2Uzy6tiyOdd
xtH0vFpXesKLxvzCAuTRd5ISaD2wPoCe9aCsZCyKImNpv6uzsQaIkW80GmeAh4fu3PTtmFg5tu9K
DqFcdgAtjK0LiXCIpFrVTSrr8q7Ey3ReqAWQqvn9CKh60rmhfRnqEabnwfFjAPXmkzqU5xEaftVc
PC6AhgUzLCwYxP+97X+owgZ7XQU1g1JtuMq8bLfjzLJXFrJY0nYyT02PUVJJMUDF8tVJsOuNcvK6
90Lvx9aYZFF+2ljU6BfNKptrxda7lZv6hCqrt3ObhXQu8ghqxVBuvevaX5QEfG/2h33EPYntTwkO
vHMeSnjhJvS7EOXZiVl1fTLwpU7zCCAL5yHJAwIa5zna0yZMSd+y6hdeQB/1Ag18Uw7BiOVhuKsA
uSTwsYediB3aeCwV/wBt1aVkfR2XGn1syml5A7sje9v7ZBinLMkbYtOC2jqeMoDwUd8A0s9kPDs8
V7EkY5tYOHC38DxPWJ7hu1BjDKlSvgQwe8NR3qQi0m9alQMGNHF0FnFcHq8N7F4m9FIEOChjeEza
Wff8Fzr/uXVTQMbBDBiGXCCYlh46DSdKFiaHhNDl5Zva7OSUl2m0IlhLrJz+ok98JG3D7o7D5An7
PugVDyaKvixE7SHp7AAN/6SdMlC1pzxmy6p/cdL9kw48CU5SsEBkTACqfhDMncnGVhoOnuSz6wLT
7E1erqaMqwDTBA9FWcZIROrECGx/4UKPVF8Bm0ghKRBlETTeDzU6ZK4jJkf9bpThnRnU5SK7K8TM
p1IOH2DkFb8oUJ97z59k5UQrTGDgFoc5XU9RvzgHLgtjeH01Uuh7gqFpqO2U0Gm9QwawF1cuaRZa
aG6YcsnUZz5F0K08XV4edSagdENloZKhw7LsxmHidoL4nRXsHVALmwRmjY0j12QJt/mnp497pGgK
BJ2j0hhmbxjyH2pa6LzIqnEBIwe/7LIWm2Qdlf3FjPiofoG1w8CT7vnqsFl+kFfzHmeA27f9DmZk
n6hpga1TnetEGBXt555CdE5sTKPQAeRmsioBNKDcLFMEKynxqxz581CuAI2HbhlBDCl+GK9zGPlq
+wJeZhrQxmYy2/Z+fR4mWDRlFY6Stq/qnZUDiZtiRL8IK/xYBEM3BMqGvl2xQ18bsskQWiO/C5jZ
D630EY9nQPQveod5Fc+iESJpRngA7Gs1LBgn0ZU8RXkLy4iqk/f7yijMzydLYV9DhgGAXJ7x/uPT
nvHIayotBJAHkIQ+Bx94BgDQLvBadDuxGL8d2TptWN/pDfTy7hcqeeQoDflTAhkYYDggoj70Dpfj
vu287HbDaqpPDDZhL9bawvIpEuhviAU9KGfo/tci4MADsdq6XYdWwQqJE+dfaCDyb5sgzWnuh5un
FfhIEoOTABaBFlECqHXg82Q1Wd6McJKjKEvNULcvq6wjG6hua4yWisWsseEX6eNRVcJ8zQT8BgLj
+kC8DJb7g7a82wWCp6TiCzAR8gr25oj0vzgKqF1gl4OsCZ0G0L2kBjIJZKyHdlMFa8ZsxeAizMOu
SgSgSCTOshk225WpywQ2CSQV0JOXSUenOdrC5Dgum3WRtHpRKQ7B5ShgjHvTh/I1aafSpr4u1Ji2
ZSkAKzedvQG8PHpeUMX7bWbLDPZkNXY2rkEkmkjRKJXqic94C2sYGk55ZPXOBS/XTcO8zeOssPha
jGTFackWTrY5rhaxobq15K2esavuYLvESAbbGSTs6QILP5N6V3j7qi8bHPZlDejazjpcsU2EWnxS
rcsS7YAsMvXnvKpH9ZwNYzAvRI/Legs/R/O2mn1fLPHIdFGndTGx7LmSwGRIR06bfDvyrnw5RVqY
E19HzTH2RW3ikHkgNmjrXle9oCxeRtbke5nNWZvAyqsptqFwIdtUwJfxZ/kE46RLBKzay13fzxoI
KRMPS9pMwaBTYEMYBLhD1ZK0rfh9c+WUIjeyN4CXSDMsyapY41+23MHWrBn6PFzORk4va8f8sAlR
p+UVaiogp4xhysY9NLELbBqBebNldSbamLXZuiZ9n+td7aFEbYAIAPAfiogu4q7n6lVuuzJZyqqh
Sc/shOO8bflxpYAq4N12nHj7xrSkfFtGCl0NtZhjU+XLcRTyckM7fTHC+rDu+u1iZX1lJICozGab
Yq3djrAC9l+6qLbZOJ3QKcwJafubvBAs5iMx6ZgvdFtR+pHRaN5MdejhHbzciX5GG82c2AGho4mh
Y17jvNbAimHt8kEO3ZyyMeSwoJ1u1k7w44kuazwtwMdw5WuExEZEorvkuvIbjGp3WdB5TUbk8Kmq
SvuczmAPmBZgJ+jM62WlfMcj/MIBWye2YTF74CgVyZIXIzQVQAYooUqkfS/XF0W57LuBDbFbA4f/
FBcFoEtA+vAnxbKQdEVFt1lgjRbn1kxJIYvqdKY2dWDZS6PYVRXZZYNnZbfr6tckRMOYAt+K7FZo
Xa9MVrbva9Wjs9pKlYahE+mCBv9JRF2dRMMEq3gArHeyafjew9o0lrVZ9hQ5su+DVBsAKU4IXraO
t3hb8PC2QmP3tnbmWHL20o3hLV9MvZmRBqBuNG8rEWUeIrBS+2mU9XaKOiBU8ei60Mqc9Ia6VGSN
2qAcKC/l3K1AD9NramFuuHI+mi67zKurHtbh8Uz7syEYGZcLbNFCBDT4bm6PFR1grQtr7+O6UtMn
1g9jHNwMtJC0mNywwjKu6eqVwmhOkIf9J2xeh+uiUXaNCTjPmwpIcksqO5gjoJhCkgAyyPyuBd2f
dzN4WR5MHasC79GYhU3UDM1W4FWdwl+azQIBsTGc8NCfqTBnc/8uWC972I8Sw+YiXXvi30WYblGe
qSyOCLzzTkakuV3kWrTHtCjJmFbKyykOwA5RZ1EkhjwupPJZXIaJA/8GeCA9gLSdO/YeNBUPRV2m
q6qmawuo/iUpc3Jtqrpw+zkXfsO1687xTNS2cdO8xksHYJx1PfogkIF+EvDddiNXVJ4CN8jfDr3K
xOae/5fkM3f0bFl68ZJNhfmkAdwfE+gCYL3dmgmla1DLK9gzVZ98C4v3OFQ9fl8v0qcwovELXZP2
ndP1nPa2D7sBOpZrFVj+burhOSEql00zkO5kbWCedkvN9vD7v/0bQOFgDZL3dt0O0wieYGGr/tZm
qrvtWlZsiyXq3sqOuOPcm6Hc02Uotg5YV2940wWYD5t5ToXh1ZCOaw/BUZKIJwViRZoJwRNgHNL9
2PEilQAhb2Aq1X5bwNxUHVdtA9cPLpted2bO1o3iDqtYZ7NxSYNYpxMgCtJ9W9vy3gej+STTuX2J
KlvGjfQj2fagzuh1rRmIKNtC29OMrPCqophewwZ/nJ9nxmQXTnUqbVC7Pm8Gpc6YZfBU2rodQ068
nAbC1xg6ke5EtNZe5HPfvgfojgBNsOEXwNPrxKZuqnW7jkuxnZuFVTspZXZRlu0kk5ZbfgFB1EFQ
gXUBhAe2UaXZhbS2/eCnzL9gq8fXvQN9u7wIuzXUYacsKDXyLJxG4JovWu7bD/x+wkxqsbZTWnS5
24Fm3TFfKnhsNC6X2LPupMW5Plunvv0wAIHo7WRBr6uU3W2DM9/F62hBrV1dmZMM0IjdqIf+o557
fsGAFTLHU6Ozi8Vx10K/W1Xh45pTppZ7fgRlZUxnbMIZ8EdJm846z5LIqq6Ls9rmNWSo0fRx1yB8
3eLALxxvzKtW2Oxc8LF5LzJRpMNoVxuTaDU4nhQ0kXykZJMNqjsJHpk0i8bp1FcgPNNyeaWiHPJi
ZtwxbeHuFkXZxag7scZWcejAa6RgY0G7cu8LU5l40ADipECWMSe2GuACM2kVZ9lcDmm+tg0wIiHO
Acaq+zchAGit5NR/lBnjiTGh3GM/3Hv5COxN2LkQ/tJVdnrNGiAxJHMDL1lyVFypwbc3NLfiZaTX
rozberYXQVQ1jntW+7dlty6XSvTja9QuxZW7NzfxRp0Bg9FcdWyCg4oobIGni0gMTYYFYhdoTeU2
XKIsCp/Q2rhdtDBexwDamytS5WwP5Lv6TNAZntisxRW07MsrjWAjs84Ti05WD5D4Jqr+l7sza7IT
1778J1KHGMTwCmfOOdPpIV8Ip9NGCIQEkkDi0/c6t250l307bsX/tV+qIsqVPhxA0t5r/dZOHsCl
QuarGwdmtYLeYuYKeMY61hlR+YidHDxm3ZGseU45Wq5KOzOFs1yWjOO7403ayDRj681SvGnYs/jD
0AsV1TLa1CNJBETcJQx41tQUfDlnCejGujT2lyoIeqaFSlFPcp1+ESWiz2mr192ymuhntgjnaiy9
6Qm7xfZLxULPdRaPoa9nwdzPuHAbwzPL8e5rjduS4SQ3R7r20VxhVET0aYsH8lxait0sz5afXhfT
k21GCP9TrO/tEvQ3L5rpKbJF+9BkU3e0pSsww6JIztjHynkfCqxvoFP2y9R1I32agdhhj1e9ZGcV
FG4eoOk79MTNQbtmxiaWxTl0U5s4GMJJ8baZwt43UrcAAofllGYSjwbH5m0yp72rWN52j1lq9EGP
qXmd9dIA5OK/bKvwn4zWetcsOnlnZcsOqR62WqdB7eLEjzVbkuwY4X5VcDRTIEQz1qFNZHiO5Owf
UYSs1QhO+3M8tGk9EPViy/RuybEleko79DLzvFtdKe4n6D/U8eUipJ7xsX32QFcZ3fNcYt9INtjr
tCN3PiP6YQysecmaWJ1L37kWm67cqmiE2ThFjJ5ZZy9LCMOuw9q8o+06345tPl5aPoYKpT5KwBL2
HyTU7yXj07nPR//cqyX5ADB5mToaYUsr8I/ETPsxi3TtbXrjvUi/oN6mVaBevZfr1WdS9sChLJ+n
RuVwyzgK0kWo8KXwa/tMgXUBNtanTA3TrlxJ11bdpE7Fun2H/ie/9TLfcpw5uEkxSVts9Ohw6jyE
lNei7825J4Cwl4bQh16m+mCcg/EVOb1Dhbo+pkVPj4kQ5sVNJMNWV7bPzuBDHGvyR0fLEWRaEgCf
Nul30M3Z58zY4dR1+WcvqDxCLuWoA1HKVbILqlLdyu+6AsKNiuJzk2zRO6fNelgKQo82jrZd0blk
ty5YjEZzW609pMI2hOwGxUX6RaTsODKvDlhO2ICVQHfaZlN5LIey/LX0Lv7idRrdl7LcQC3I9JPm
XtQeNeyBYe+6kY0ZPkcsz5/CgqfEFuOnQ466sJrt3O5b7/XPDVZTXOvWdveTwGvQjUPbVcSPGtua
BtGdSmFqr8Vcw0Coys3GtcszFPRpK76L4PtLu44n20+DqFhKblUQ/mmj8RfbEXnAUjx0ySZQqDGG
gix39zJlzevQK5QZQFV7bIGi0oXtngs6b7teJsWNCR12L8rB6w191Scze5CaKVXztYxgWgzbOQS1
3GWM4NiRBemx4LLxolsvHgaRcFVNYhuw7uYRbelABJYRPLTlrmys+CqR4jyCqBtx5HiFE2vTkDRc
R/zjlYm9DRCz0dXlS9dXbhb9pVw7+oz4zmUWuT81i62XwvR3A57yjRnXHLu+GmCOrrYaV2NvofsC
wDfiFHlSfi3hmaLP+T6r0dWSs62edLbUIh95US2Ljb76kM5nFefv0Zb9bGY1vaFiHd6A5ClsWoa8
5gMjh2Rx7d7mTj6FDBXLEOYIpndpt7r1Ddcoh/xpiRG5uJBErSm4c/DMp7yPIpwxaaYeyNr2bTWG
XD1AvlG0igvRKtgAAzYhFTHxJqUYn2IkPZ5A8/dD1QVsoIKv9mMwMX0fjeAfU0M3XccEf+EECuDC
ZqFeAsYqrF9nVDx4bh2aHMmzAacEyZLzoAucKKXX33BaQjvbhih2EP3xR6rp4k+oj9GZ9pKnl7b3
5kP2yn4YZyAimODkrz4doSoYsLBv1IjoveczTnpg+P7RTL55AySKJjxtOlLWemvMB2GayCreljLf
bz0bX4bJY2Mw3K/qkLd2UYe0XKFoOM/xevDYocBR46BeeOZ6hhpTNW8sYviZUvth3uWi7NkuHSle
ozEJtgeZj6sE7wtcajeC0srRxHh8qOjS0dx0G7PoG+m4RED99dq1BxSv+Js3Unh1TlfIjzueloEc
SbiWABYOaVOhmSpvBafpiEiARNE6NBmeEtlw1NWDd83bMi+cV63rSl81LZO/YufwqW5KQrRb06R8
++tmsgVoMDDvJOrqzVCQaXm0eVWhn1DHpGSIxkyZ6WtoQbj1SZSOIExBoR6HTkDuAVnQocHsfX/S
EVSgh3hiPjpYtrGbMFv1wlYQFXiE8FvrtZnw/fqcQQ+ZNe3FjQHFsBxlAPhxVy52+bVk0EYrFzPN
7zIS8U99WOLj6Mbxi4zK/KkH0drUWhf008q1CScPGb55SB2+9CleKK4RVTmuuhsbPLws+JHA/1Ns
qPFMsHah/fOwgy6Du7gQi/9/G2Pz0aF76SpcbHkbzGJ+dsKI4Vi6eYKBUV4JfdojRFIPFOunWvE4
t9MI/e+ydobQCu8hKjrGUy3OFAy82s/wVgQ2l46B/B1TNNw4hHF+1dLRpq/GwgGrije/DQ98SWg9
XUvIIR9jWw1gA18jQeP9NCh6gSc9n1bpkifZFv4WLFP3edv4+rrG6fKXDfbvzNzjX8LfXwmwv1Og
f4dC/39mUH/8fRzXb2G8q7L7f4i5/8jv/T9Tk/8K8V1/7t8Uapb9rxJmVwb+FOgozHzotn9RqFBV
/xeLYgwEKBMUY9kVIfx3lC+PMPwnzRHYBKN5zf2Zv3J8EWY0gQcC1gEsDy92nP9PCNQ/7NzrJ0Yx
LTP4mnkGfvtPCHSIxDxGa89+osawrtzHOtVo36leuu0zY07331MyQ50dp2BCurOxZ4CQiGroezvO
6UhqhQhVfoEuHRwEOzJOp7WUg7kbmNQkoCj27Np3WqQGdiTLcLbWLST16CeidsE9D9znw/eiYLr5
kQDrRoYtg3WeVDLCChrqFH2rfOARteu4awc2Xyk2UNbyNsrDhEtupYzCTSyTUfwiZrmqD397pP9+
9f8edvxd60+zkiI9AcISrBAeX0z/0PrzSHaOZ7z42axqFNPJynRIT0O6mDk/bQZ1z1pvncYsOWwC
Xdwc/vvH/+Gv4fMBXVwdrQTcRQZF/g8lHt1zYeDzdR8i6pO+q63Crow6qozJJA4z6trZ7mZuW2Qj
SUo2ZEywjweDDE66ZStylBkfTV8pNSUzaj1WTPizf7jI38EZiBG4OyWA4mv+u8zgrPxuF4zU8kZ4
Xf6g2K+ytxTRMPISI1/AEMlIZBuflrVYsLVRmc4xSmykBfK+GjYamdomkJlexUodefmH6/rr8fxh
ZORAL3GCwnP9TwOK0mlUecfNcd5iys0+Zn4BlOLgUTv1y2wjsMZaGXRMpqxks/EoQxistRHU11Ji
Wba16rX1yW2cArGjj7Jh0D1OYVonpu4b3/WRD3UTexN/M9Mkp3Y/w3MYp70c3BbbGkHNzMhdMTPa
DbcJyKIkeyxD3ubTAdzkQhCJGWU0+bu+5UuJZeSWrIvKigo8vhMSE0CydyhB9Tzu0C+ycq5zgh/j
KHnWHP9qB1XEU4XUap69xeXM3bn/191cuYwFq0viA5GQm2IiyUnFRTHcj9eD/yXCinP5fWIGhr+A
iHgC9qi3jeK5UV1EkGNRWqFrr0YzlyMkXZ0PSIWqLkpwGdlkM3w+RZ6DvEDMwT+xVFfc320qprk5
5NOSTOeckj6L9yAp8ZGy9yJZLnSNm65FUSKNARTuUf0Pr4lyokzus4CmVJ9FBrNhuTCzwGuqQ5f0
21qVazDJtOO9k+XyvAr4TSOqJm4L1dQErOlKZYXkRsHix3Iqdb7u2ylL2fSJBQDv6hOlQeJGNlFP
4+wezsiqsk+dphkylnjPsRcc+DxFkYBYUZj5V8jjyRQXlvk1fouQTrTFfSrXRj+NJSx2ZLZGHPXo
dWAeeFsjqV3ACRwVEmbFbvXxFWClxGu11BNed1bUIQ3NettD7kA/Ng9i7S4jKYuZ1L7jICNSOtgV
gq7sA981aaPHsZL5KOev4zQVxFVFlOW4+5ucr09tGnXZZreF7BATO0DMzFAcN8xFePIyTRs8oDDa
Av/669UYOpxFb2MO3ISC7Bad09Uy0wzY42xaleMy4h5+9NqTpfyERk8VL3osyXCQHczoikMMe2Gh
Y2IHNb45dumSnDqabGcoDMvJza16zucMcDOa+fu8s4g+Q7GaPzV4qU9py9AwYfXxdzHr4WtLO4Vw
UQT6pBgSEMSIc9drPLKbQtM31WM5jqvObrO107s85RxPl5L5gD4q3QvVuYdNDPD68ebafRFoMuCN
zeQPrt0LIuz6BvRqeyMXY/fMpL52Bn39oly54+VaPOWaT3Xf6e6jM/AvBq5btGHjuGNNOV2KLZYH
mAQN5C/NoF72BSKIqRjzw4q/8lyQwN/RAbpjHHjzMZUwWHofDeBcS8GgRFD1osHWb0gS08lUaKva
19VvxfeBjGgTEFv8hNh5t6expZcUsfUOKUyS3KaolA+zNXBCEH99ogQSSsVtUn5Esk2XKo909LzE
gncH2IVkHxlpn82S2vN1K9iZ4N0lMXPoK4Zcew1zreHF126Jy3DGWed+mDgV0V45DVu3hUQZwPay
4mdhkQxFRJrMF1kyhZYlsuLJL0lfMybVDTMWplVTcPWdCqNvPTiXG5NF1zcUUjJcw3ZZLx5O8B3N
++VcSEUuHeiveFdg9/uI1jUZq20rwBVZ1BrfVj0hY0qIr2NkBr/DblRxVTYaJcW2Gby5fICOQCI1
wzje1t5fMge+vaKR7u4RBcdGLLWvlzUZkgvCJwPC5X6aD7F28Q0bpK9Ewj6zNfwAj97cpxGWz2Ic
Yr/5RIHGe7nkOxZUghSuHe81T+dvQfvlgDrb2dZUrkcTAw2oa5muiEvS74ubVJXEw3iETpRUMZX2
yYPwfzIcjV3dW9u+TjxMX2evZVxN3vka9KEWlcD1JRWCK02Phef5Vqe+WB/L2HD0IdsCOUTqrSIt
lZ8xtA4xM71ET6VKi7OO56J20LcvaTem302R+VuxRfMCWSd1+NDGVo0jiCq3rr3NCgLuf4j68vtM
MDFkV0x6groizPSYrVl/wEYPEqXstvxkI8UftZLTPln5/BqrUQPJ99FR6CX7Dr/8dRWbeN0muRVH
eDYgDCfZ/gy4IUcOMcHtFaPhBdw4g1yCAPxN1CPDSvkCXbfsNdxSoBhVm5vytQTB8J54nXyC26Pe
lw38lcMLDqVBxXdpIxL0U1m8m/xkX2SiCFqvcbklsNvfNqrGYzLAPahHt6X3wMdTnGUeOxIVXUFw
avfZKQdKBshnFMeeufnVhDjB9S/xBWZuchBZYr4Nupkey5GDJgxD+SLlvN20RsB8zbHlwi2W3f2Y
UnuZXbo+jnDUP81AQX4k/YLNIZ7Ccp8GicUzJetDlFh34+d8PXerhxOpMCrh2EDQ3fFrf3ylHMvz
Rubmtmn4/LTFBX8tsG9/m7YCXmXL2xMWW363RcQ+4qjvDkPZsNtuHaKkthJwfwE3J8H7Po+HrSUK
QeSCP7Ze6Qk5/IEe5lVM37R1aVs1bNtukdVxN12z9lVLpPrUJhvCrbyVfp/kfXGKlG/rRW/pQ7G0
yZG7mXyQJi5mehsYsOOyDtIjnwM/TUuYWT1LltwiXI3OFT1oqZvblej2sXQRON00jJ8HO3/HzyBi
abvos5GoYITLxT2GMxjQhDrqLsgVx2+ONG6tESen4LFy99rFyzIdeTwkaV3yKL9JGzUXh5LKsbxI
Xuid8gb2/SL5ugM/L/NKbLZcKpk0470i8DtuwDHkuNcZXe18O5XLOhwiP0freUwn+YD5A+QpH0uk
WTM/c7XnpZ6fRdstcj8PKvAb2fWq25F5ZOEYmiYiIDyN2Z5DgTAXP15LD7orJ485tj3umoL+delZ
kc1DHeWoXGomXbPc9YODxpm4qP205psKsBeH7Ha0awNRJUKJeGOhL9vPrOMbwqYVmbVlsEpoCxuh
OS02w+yA2NNRfNqS0MQwjP1ES3dBMnCi5wJ0RThOA8CQHV+QZH0pSduLao3bAYn9mUAx7muSlv6l
S8CdVDFPhycVIrId1ywJyInAYqW38NtgEcTzhDkLOaYZrDsVpm2nxq27iNgCN4ny/mJJ8IjDD4Fk
5Qa1W44gmnYRjWW/YDiGjpl8sDYVhd2FTGQDtEFnFNZDsWHuhItCLPfgcQd+23MtskqO2m/1Zv0E
K0qG7SXLnehPAFGY2rcrW+/6Dq3zTvjOnxKgvMUuKyiH3JaJOTr3LdK5MJgYZmbEqw+fMhtbjJYp
fY7wcpMiKJlC4K0DBqB8jjSZP5YSpUkya6ARSmHwxL5doNDFNUo4TlRtDXEGMErOs+dAUpWjMHNF
6IYaO6nF/6Ao6Xz3A5sQ0jZ7jvkqFWunCMA9/IEo53sde8XYXUSWzL2KAlYoIuFF+r1dljdIMO1r
y/VbW2omKrQJ8mVdc3GdRjEfKQ4Pik0im19A5203Q4iH+znp3GHhM8THSW8adlGCCSVSMvkyj0O2
m2dg3Q5DH7C/Llb+sG2zHXIFSHeCbnune5wrdeTNOu02HDbpY2l48gKWFlZOhxQPCj+OF6bybbd+
REr3T3oaTbE38JhvjRoV7ApjAQJ58IvnbJQt8ETpy7NUYtrF4zQc+qlhLxicEO1Ly9VN34Dbinuf
3sRXIVq1hiLGgrZoF8fN8n10uTtuPo6BEec4hHe0XCaz11Gm7k1frPasr7MdSrA68Gj6Ftx3ZhZd
lZFsoChIMrqzyfDl9kGR6GVrMFa3ic0wXbHzZTdjUSJ5EPr5Hqc8Dv8u6+EtCdQXuITmGacO8KO8
zGo3av5ZdG30hmiOP/g+Ko+KlvKQ61w8EtiQSMhn/Csd5esgQHW3aNwOOQDlb2qNLRL8iVLfEtrM
FxcnDSTT2Yui7gaXXoA24Uu3tDmknV9qsILJg0BbclnAnf3oeZK/9U0bfQVevd4u0ZjsmJ7UOQlt
+KzyIcbMjHLzuoIZOt1liHOibsXmeH0J0x8pXAz4WqO8nto+Nu8Knk+3BzgHR0FItCznkY2dqjEZ
AzNLYIUqNAL5KqI6GbCPYJRSJ9jdoE38zoHcgH8ZcA2VgKJa1D3+XlAAAHjALGl2lkDo8h1a+AWK
O8HxfQE7Yb9odG287nWS0DccvCvoNVKsy4nYPttZLcipm1j8momUHyJQOQ5qP8xA2DTi3S1IyGFH
Iv6gXBOPGN7EkltQY/ONDhitUUFxj+dbb5x+72Pruyu+hcK2Wwb/wwIGmo9YlOjTwJ4k6ceylvjD
UizLfhRLclmRX25wuPoNxXzOlp9QrjG0R+bc3qTAdNDLohyxu6GZCNuTSQI0oNvCPlszDN9yvfi6
N4nZDZRM9N6tefRi0eWVh8aihqsyu/LhuKKoumD3G9e9nzhww8mXKD3nzRB1n/AVOLGD2wMgSFKm
9/Bpx7bCUAK8RHXKJRdpvxzaJdNTKfurf2gbmMdoY2FxwBaJUVMnGNLxdcTUpP4hVtFqdugqGgwm
wsur4JHMkWuHcCQ0FmP6kLmkKSpQY13yfQDZS8Z6gR0gmgN+i0Hv6V3PVabKGt02htNUbuPSgFvB
gcvCjsM9KIbKWZzyYTeCIpT9TSiAz9AaEFYZ6cdhgYyJdJ5pHaaOzE5P3de2BQna7lYsFVjcUOiS
EaYMsKPMHlrUauPZcRgIv8xkwCfued93ctyzKUT9S0Njki9HDfPMjrs5pISKRwFREc8hJcp0TlQY
kLP6pfIzvv5PScqc4j4aMYYdGE7PvjK0uPxl8nhb34jOoB9YzDkiLySOGq9vMEiSohNm2MfRCWMd
bvlHmzbUY4iSxOArdZ4iU3bfnF45AVharGEj6GwbsWY4IrAd28+OQ1Aobi0KSn9PRUlDWrvWuKnH
uDAa42nhyBNKvCcQ5xe5QyjThfEmcfh6W4Vf8BDHps6YSWTzklimOzCEauKYYEadm4JqdklnUeOg
d2inAzwKgf2YWLXr2dDexRxdQ9XoEjtmKIEV2iI9djaXIegDT5c4mbp6RDUClHHfjj7thr1G1laB
4JtHVdxuKP2KfUOGrFkquzQlwBNEwct0n4ctSY+gTuVnXbjhlWwKvkasIEhXqcPa2UcZlx907FFl
OQzPmvu9ykwJgH+Ox9xXWzxZsEWZC3thjb6UYKkekXFcTsnkultFm6Tu48zdiSgEudeJtGe7lPDA
oSK/CMzKys8TSri8SkYdgLyOaz8eZ4sRUtYXegW1Spf+Q8Py7rG1Xr0X+JIIC9hkw1Sp65w1FAhk
2KMCRYeI/DdjR4SHrNw1svDvYIB80FXUrlP0XPQdLDb8PpPxx4z5dRhvJBa0BuNGMJmOziLie5QT
szk5zvrloyWIc5EaFXU81lvP2wO0Wzj7B4lwb/nq4qm8OsgpSMAUONopMir/hhlUKQTLvIlB1EFQ
7Bg61DyYe4kYkdvFlDn71WxA/vFwdCN5Dbx4WlAgRfFNmkLcum/ReWOc1YQ6/M5rl3qQZ32+z/ts
uBCMt4JN6Vg962K51zJMdRwwa6oYWTlVObH8uNGAB5P7llSJL6bTpIdJ1A6C2fsmlhnvRlM+OUIV
vuemwTNq/xjwsHdp2RTlXji1/iTiWhT0Qre3BNuweUNzufKnXMj5WnUh6XtCBZNd5jRn3Tu2yCQg
UJGKZ4RImzsvSfvRzhHuPMAJf7LNdTJVv20dGIOOrq+FZ+5xnTGf6F5D2p6qNZcKu2kueeV7Vj5H
kA/zXSnUijTskiIjnLTdF+Bh8BZYb9ITCBXwP+vMXhBVUgcbj/QrgPMIwWAPhHQethfAhVuo0oKF
e/gscQdK0SDFXA2jxuixbimXc5vNCtv8uHlTtc3qcbnlwBHIQDdca8yRiQ/xdUh5hbBgZ3btkizY
euGjQoWxyEfB/2yv82Na0MV3idPutgV5X+woa3V+QMpPf1p9bqNDsCO+peyz/A1YOlhQiQL8YSLX
itcUaYGJMiSErsr6BvAsZgF0HBx3IVbIQsv6uEkoABXCMDrb98smwi7B0KH9Nnn8TMuYObeYEwDG
JNG/VsNHxMGNr1fLwrccu8Vy4+04690wLeBp4Ss6fBzD1DKSdlCBZKzukqGJbwo+9Pl7SRpglXPU
lOACefwehq6/eKLNYyKNqKMOFPk0WjfuR5OXoe6YAbmRr2kXdm4NwlTDXNhm73hXDNh/Z4zkE1Ec
2MFmK/sMxEP7eyhXPeYhpkoivK9ldAVH21BhrOF8jymOhu7zlQU0BWUMFBY8AJN7GQnYuszPa41z
E1Ud6vMdT+apuN43TFIEObhBd1HNfTHI5OsEeqGtFjd8w2Qs9RWmsqowHxjao8WyKcp2wSs/zN9a
stIWtZUnNUHlcTe7TdYGuguoQEfOs7gOlkMkIH+wzqqLZZOs0ZH3t9AF8hNpaPEZinGX4zVos3cd
b8nep9Q8L3OIz70B9IpEU7FeqzUqz6wcIfHkxhQng8xjtttKgsJJwm8HihMvwzMctG43Q9zazXjV
U6QnmNujfIluxqCAPYg1+sqb4L+CNIkqbRzdtRvr97IYml+wxOguZal9LVDuH6O0id5Vu/RfKX6E
gbrBjYsT8nWWaXHnJ9Id9WKx6gr3XUllH7XDmK+qsCAssQ62x7IlADrmCMQpzgPMxXOFSXZFzm6g
opHbdYrnL5g4Ge0Kj0ZlwrxQMMc8Up9JMaQvgsMvr5EUIWetx4ipSqxDnyQ/goP6P+97DT1ofscB
1UtggEXShPwrOlol9fOcGpWyB4sQAXZ5UxTlBBtrgieKEZ8+CIlZcVroRD2kIZgyHNfYexgLiaKY
iABim0uxYYKfCPa16fzKfrAxVf1JqELatG4QW7Fkh1B6us7YvBCyf8ulJPYsyqjL6G6xU7ShbCxo
6Oq5z2aKmZ7BQ8WsMrichzQd1+ItG0eMh6gmDXBuwD7GOGU71HmjhEoasrbdTxMyucvZ9yjjxcEH
+KNYNAAJUlaFhWv1kyIOnZsdBnMMebs3eg09EIytazEKc6fbJoK5gXdwgg3Sinaj09OSFBYtTJf4
bJ4/q2JtFrFbN1ag74uzpPPiXghlnNqZFaP/oz3VCQDMd9dvSxQq/C3X8PWqUpRk1aY5doZTA48T
qTwo1tdvkmYtLYcjb/2ST18cabcYmYSm6PFnmCucZ/4GEAQa5hsRTDNkgAMxb2D5B2/zd2sVriHG
0WImUAljDiMy6NU0/3skG1JZYSlvx59SYQQberEOo8MQY2bjjCEJJucp5mzahXpExXknYNH9wwX8
Hqm6XgBGBCGziPwT5n/AFPr9AjoW4py1Xf7R/3UBwE5KvH+yByCHslvBF/uHZNXVCP2/diRGjWB+
AX4fyTXdn5ZXA//3T/S8IzFCSOQjI/PVh8Sgu6sPiJiIxTcfZ4s6t2e0sf8wrej3W/2vz02vY4Rj
RhGFTf78XO2CyhVJio82wJ3PUHjpwXzlKVqztlrhAXUPY4PfGQeXgasYM0n/uxH7ey7z+vHXZwyD
GPNvihi0we9fu2VLR6jnyQfJh3xKarYixPcdyAEWpAKdNNx30PgxY7KfgnvpDaVgvDHufcBN+e9X
8vsjx5UwzHkBKlhAcLuGD/54ABYjCURAHutHU24jm49q0rJB+KOR100Ggz6vm8x//8j//PIFTOQU
M2ZoSTGB+49xDjznzSACnT/SbAUPcQhRtkX9gc0rzKg9ct6w42aHu47BpRnWzJuiYZnL/dIhU7D+
w4sQJX++gQxEN3gC2DwJwJPij6tpy02wUlvyzjFTE3YwdtMrOiC94vi9dG4VGC9RdxLKua6A5Sa4
Ksw85O5F6kxAeydQol9KySWaczjgc/wMYHA07//9nl1X3t/XCaYcYD+gKYty0C7/MVfErQ0U6Wnz
7x4GJF4C6nqKm0XhuMCa9nOCHlDH/dWuhsyqrv/qgKz/T29WBCcVGCGmm4DpTgGB/P7ewsk1NphM
vY/gJ0G7CHAeMKGXQNFH3yQNAyGDdnnuv0vBAMKicJdzxE5IHRCIpRMHl3JlZDBMAoVftw3LTYoR
ZeqfpltEf75j0b9mniFWX8R4xRHt/f1CfYI5xyWyUO+YRprB6//f5J3ZUt3IloZfpV9AFRpSKelW
W3ti2MAGY8ONwkOV5nnW0/eXQJ1j4247qqMvOqLrogjDBkmpHNf6/2+p81o+kFHogY5upmZpuDnN
KUZ+RtC3qBbIrOui3U91HR47jzR0tAEeoi+XRcz+L/RLT5dhDwpa1/KzLLyIbZNpeTOrlamli1Fe
6KuX81czkg0EQX79/t+hWBTwnGOW9BR0AdM+nfXHB6Jnls1YjvUzskCbTHatk9FvfM4a7Dk3xuoo
/QP7iZfZk3gcPxtephN87irXPU+9JRs0ftbvB7R4P4uzyCLbsrELsGgwkbzrFmQEO04JVf1ct4wi
MmdENcU11AtMqlY3LDSHRzBtfSzYDSyOj2VmaqBx6uYkz1GzhtqBHVq6PrYqFH1yE6mkVKiZi9zb
Z4OtXk/VEdIi3q7CW+caEfH6uMKEIq+j57mS9yS0Pi+oKr2Yb1qQJddHt5hn3p1lsy0KOUrqUe8G
NbGJbkfUXb27jCgwUqzm5fKei1Vk8t1qTvkTFdoN7jzRSqWi6mu7yD7jFyubeueNrTFy5qrW/qrF
KNOCfC9ak51yFBbzIRLIkJ5KtwzFI0d6g07muBGKrBH1DWKuX/eN91M4rf9iXHcV/w4F6ruuwS6y
jAxyX8+rUXScH2bUsxz6piqtMJANzcRE8esrvp+NTDzeukliFv0ea/f7K3at3sVTYU1PFodzOuM0
CDX9mWiYWLzl2KB5InlJvISczNB30bXzKtH49W0o4d8PsyJUAawiLFxw+eA3/oQ3RMDdkN8pHgtR
Fr3l99Vga38SbGqYjWKOusYWbkqV3I4Y/5hx6tiukOm7vTki3YUpmxMiMqPmMg9deT9bbe4ufjcZ
cjz3eAqSTWMj8r2kExELT0mlqow+EBA12Nn5judqjNldHMM069XIH6Hd3UDYc2q4dllrzeP+10/8
fl4D9+TqbDd4ap7WQj354zSQyTAup6ZzPoxDqSP3I6lhIvcboRdP7GIhtxxiYyJTQ2TBU7FYJc5W
Ux2HBzUqhhSd0T0kfvVNs0nQzBySmiMSU2SDsNnYNflYs/VewZ4w6sKpUOpDY3ELRqdjADX+Te99
B8sDkAFiimWTWY03iMf+3VTdoFdaq7Q0P7h9bDG2+jpSN9Br1qCG7ss4pkLnwr2F8ayGOHOlmlLa
umGh0WIDwaMx2+pbVZN12efcSx1xIGes2qFZyA6cwmbmUwnAJv7MEhWw3zPNaa1dDcTI6jYL6wWP
++u3hfr0h/7Jo3kGWBeDoQLahf3ej2+rJ8Hi5EO1fLA4k9L8fdvQtdZ8Taqvve5m5AGWvmrWR8cs
1fpYaBW2JMTaBaT97VpIo492nqUN0wd2qS3NQebMovcBamE2KRHo08XElNdqdhuYNkHNcywgnsiO
hAsmfajzL9SoBk2BVIam6HuHcOsGJGLKkIg9M+Vfr+2jpsLsN2yId2MUVCYoPNYviIIUHv5pq2tM
q5DYK7SHsXAqZofX7a0Zu/OYbdDgct75jfrSfLccqUsKi429zrKETu29RBVCElvIenYeugHWwGdS
GD0dirWf9hFpLSp7G04a2XRf5hbqt0M+hiVbFiY9Wmlq57y/dWTHYZr8h3CZDBiQ45kUOZ8i3MfA
7+eSherttUW4p2nKOXcpruAzitTriLJZvQiC/epA6y0p8jwAA4T59zZZgfUxk2Ref6fOBY70vs+B
4qVGKtUmQHj+fKJiO9ghmCEvTCBd4tgBy2rVm3DSw/SE8kq0y7aJW1nj/AXNl8Z+2zZJc6HngzXb
fs1uR7tso0IT18RrHYuwIwqJr4iV9MMUDkIGuNGq/JuAkNSei0oWFM0mgTXdiBH7JBYs8AIKnMj+
sRt202QTuW2bOMQsIQu9MK4svTW8gBC+Z2zSuR9arCdEbld8I+XYIkmL5mxkMIxrOy25P2t2KtKd
ZxqDuJd5vwhSV7MBznpfe1NsYHNfwohAe4ysMt84az6tKwJgumJNGGIhbEkOKpU7zCsRScdCm9cH
yDNm8jiIPCIbIXrT2CycTys8RlHfeTg0TXxuUEOjA8fkPsCBO62XoVfC5TImIzZ3EEvdWN/WWVWI
D4s9RplGHQmEnw8z2tj+Wuv6UjuzYjjDNyBOsv2wOmMENa+uKiPu7jwcDdk+TNCB71YETUXle1ll
gSh3yKc17hejIJH+LTbRSc4BXWVp/vSGfprIseYTlQoIM5eN7QacA+xc7sOC5OQJrSD1Svak2MgO
x3/Gbmn1tPJsWBRsuIYMMNKlUUlhjrujuFUv9W1Zirp2joMXJnF+hTsuQ7CbjlE/jVeTHUZJsguR
dw72OSzJvRxVdjNyd/QVCUWgHleVb8o7N5k8BDZCErWKw5ag7XGKOi2GWp+AICHu7JGjWYKxTgb7
U6UNJIiOdI5JCzcTkVaU2EPNrsvz+8VyKRSTA5rhS//6TS1Jcn6GPV1wOfI2ovmyDo1nYseULRlG
ZQzTHGj5qZ0NYAlLyCc59rlRrYuodxMeJ7JsFpXPc7hQ14taMTG2nZsFN1Ht3KahRqxu52SWZtbH
bFjgN95ItHKJ5zeep3bVTtvbcfboYHHXVrIXOdjRLRgnpuxrZu0mti81K2ydnOorTWLkt2k6kVjY
osmdOoo5vEmELVPd0jISuTS3ehQvSRPoaBZafE89wsbykxmRbWqIfOJK/DCABgA5yjmYlsXNm7CC
bMhTqT/C/bNl8ZvGU3t6AYdAHQxicutyh8dMtZiV9xlfqi7utfuycNSUL8Y+cp0NBtGKDoCvhwo4
YAJA4/v166PGyC1pviZVISPWki7kanlscMgESKNej1GL2LQ/Gvms2rkUHlChQBu0llehgbWJxZ+o
RTxOHG2SsNPaTK6B4x+0aGwPGm9QDM3wSGEBcN60lxavFdqrVRjztZs66pYT3nSNOIaexRUsftR8
CbVZdTDZaurNk+Xke7mHdJH6GSNFcRED9G4zcQ8j5dd4xrfnaVvLar5gTYj5no32WN5ntgg9ayMm
jwCQXzvo3PXtW+8J105FX51UUw9HCvylMcBU0ffe9rgezi31L6uzs2ugIa12/9bU2uvH/27k188R
KTCza8dEQuZsjBLVxpcskXXS7hPsbzx0g8eJa0UmmR/9ngN4VHm+/fqiqpXgLJHSfkFLfCSDthCU
NTI0UPLGK4aKVsKlmPMRk4oF3BVhjnD0/Exf1KaXshoInTcEW/WGdMdLC1Y1I4h57fWZYhOcCWTf
CiaNcSBYrU7n+uurfe0eKDRz2keSQeGLjXuSvzjLJaafRgbpPTYSIpZ8c6lQU8Uf8LshHkLHHVuq
eV870josUEq3PKT6K0bSkhrkbOZY9K6uj9Wtvzaotk4r/6hyqxIOHCK7zNIjIVm8yvtIRbT07ZSQ
uRuphKFE9nU38X5BhJrNF0NGJd0HaUWhHr4dVdmpDpeG+oPmqL6IMXL5kpe6Gg7Faqv7LwcJbvPD
kEf4dXdlhBHhPm4sI7IOWbc4Rn+Jf1n1lSQFg+Hs35ocDUbL7cyvanxWgIqLp3WSsc6PBgpG/QM7
t9Qdg7rR+jLZ6F0UcnE7jVEpoFSpiW2Cg1GRm1c9ulOR3sKRwfrK97JlkKm7y9gszssFHPx8rg69
qJQFMfdEXox+2EWEDRGKD3w+RrfBFzaNdn4qmoH/L7gi5LOtTwahogbXU34a0V4QFJjalKsbMRH7
Rwn+hlNAuKyq76MvkSp+b5HxQInexvngbvOCJbbYzhpk8I7UDkvV/ITKP2W+wXNRZdnhzXhDMjBu
IT/FOefdr4vohGUdKAtFc+ytlzHTVG5Oq3cIM8P10YqhSvcfUJDGkzwg31GPPntRRxNZyOUynigD
OWNv5aorIX9PMo2fGXOteg3xKtXFX+OnGInBY/nGYKrn7ZPE5EtLB+fzlDCy+VeSU+zj2RNmVno+
IYtFFtcWyTg+IVFq0KlHe+joV69BltWwc8wb1HtqQ/MYhc3K31hfQ28hkXyiho0tMuKluCg4+kL5
yKpy02MD5hxKHlSNp15MCXalKHN7pkpLhuTrTh2pHJqZs55qvCGxVKgA92yGaynNyRGSeFrgxNZP
E9uzULuYwq5tk5NnpSpIiT2E6QckpyURJhDGWsLtHKao8Hdyqu28CwhdGFKgj+eA+ywiSPNIgVir
efmrBiYl3KFvU8tGYYeqzVFHGHS+15ZMe4RZJyvREwwq5FuKEGfpOkzafctmmqjCipRHPjPf0r8o
sbTSAqnQ1TNg0oAbteN4qaJUOboRFQvwiopCTNJb4sb4AsxX5icpm3pBM2aixdD+Qh6cziFJJM/K
bb/LiX9rGzc3nPaRiCR0tQdo7mkUKTy2Fc/nyWFv03zzxmRssBuFGFTwcGAYKryNZq5d9riKwRRY
slkd0NX0FMJiT+k4NnrdgV5eUCtoM/JNlDm+M+HhowrV65O8vsumRu1to/a3lGUofJlu3kxHHgpL
eh27fzV4ATOpT6Adpc3C9MU5ZBu6xieQuKkPhhbRCSo0DaXKbSR5WDOUI3aL4WntF6PeImRT6T7u
Sv3krcu+mYmADvCj13i4mk61aNPOS0u23jBb3b0dYtBplT/pGNOfxbKGnnmcmlKN8khbVTiww1HH
F8G2rD9ivaF/C538w4m4pbrz7MUH471eyG49ljQSprzs1xNbmaSro+TgiDTustcJC52v+suNa6hg
tAboWN1jK1shgiIqGrDLyL4RKQ2vmax+wu84XiRmpLZxsZi5hjPm6raGlwGnVRnrCMLtF7dObSpD
ZoAiSvVJJ1zNDPNx3JFt3MZprgxVrw1CHFhNepkrlQtLdIaWXsamlYPx+vWJ/t2BnlgO8wM9GB0E
ubqfwspxTw6BeLV5H1eV5K6dKJoZDco4DSBEqBGUv+bMxqRR9/7ry6s46ndZAHV50nNoM6ktC/Tw
fZwVG0mlTZ1DqOp1akyJAav2J7uTU9j6X87d29c/+r3N810AndGkY4TgWoSs+L9Ux/rv8NCTmzWI
Yozy7z5CeTZwEU0dCkBLHjkrZmQZq/TkkKS8YQCEgnHyNjn++l5+DCHYuk7/UehvV1Fy6efmj/cS
jpZJ+DaN7lXmVD4ntqH242gKHGu7Vmydf9fOP18QiySBA+lSvYF3/S6iCg+BgmlQ1s+vQjsKt3n9
0XmxE76N7F8/4HuUNU9I7BYYPkYC6u+QhP3xCec8FVHZ5/L8NmNM6OIZSgtiddvezaJzceDU4dre
DRP69aAYSjWfv9hKtW4VrEe/uaMfezptzlFKkXKpfQXLllTdj3e0eLo2OYvVnPPXQTWxr2OMzwPa
Ewgk7pjwCkhIL4xMDyYgd9BosboRRArNsG7GhpP9zsa1YrOUY7EDf47rho8TmAyNU7JYnCc302s+
q36dZn/9EO9fIy9O6JZukzExgNi/z7Ky7jY9EInxBAJXzUzry0ao7uxyuFs0dxC/Yf/+V9ezVf0M
9R882Xdt5oB/4QXrA2UpX5a9OYrRK+sVM2uFlzCJ/lFozQYhi06AyCITN0P1p+nAwk5hlGOSstyo
XTCbZPU2qMDKuCi7Ri0Yv27QH+cf4rOwa+mojELczUQ038UzEYvOSYv45uCUWkuxNBQkjvUsWwbM
74bgz5fi1SFCABvMSf8nsnoRmsUyRDI6vG5FRhj+zDWz2Sgh+MtT/SOaw39XCOx/Dfnwf7GiGIl/
uui/VoWfeA6XVBIbvmbL9wgIepn6pb9LihnAHKAAqOVQpWH+RjmoQs3MZkJ4pgLmgnZhRntjOVje
HwbVfwzGCGITpjuWHnzjb2WZhcfp1LOJXZLq5Lf+Lqj2tmT9qizz+3I2yCt0Q5qqdoRCBZjvAeMk
UOLWhU18MYJziDcWXN+7CfzKjuww5U4w4l2M+pdUlS+uGyEmH7GUdx6rsT8gBRj3VgPwV+8TXf9N
hJoDNtPnv1dyRg6HD9ZxkjnSpNLSe9LE3NmLnZmuPDpgYasbz8v0G3eVVJBIKcibcXqp7hNDaOgh
iI/2keX5Wj12G2woQ/jNLUvjrsM73SBwXZzC+bjWWnRiWz1R3jPujKcCkwN8THI5YBRHqUE3gmCl
3xScizstELLX3IM6egVCz8o+DojgCiqwct7O2g/U0I0OFcfBdNp4dt6cXcBXSyDYZRWUHcWP5rYD
DidzSbdz6z00LhndYYuB2LpdDTkQCsWlOrUNp1PqM+YQv3DlfSkwBpwxYFepPwoMoACUkXb4LipH
YwcqPM4veqvKAV4Cw4P7OljiDiBukEEb3ZUtfNkw0vbkdduLJkqN/TBY3Ve0GC1hEHsOZNpdAl+/
ILzTPThlAr/Rm5e9g731ErfhiKxz1AKq7jSka71UnohRL5DX4h3mEDga8WBUZzwaT7qVontNuqoK
1iyPP5khBlwkF1iztKjS7taB4qcYCZaOMMQ4X0XOeg8yNb9pURb7lCcokQ1P0oh2bqaJL21XUMa7
jjuWQSyFCN/BYJ5J/9RnlCIWzCC3uLWR6isCPwiqa4sqytaHNGpJ2xtacrOuDaLr0NxR+WR6WHR9
9svYKo+zrO09iedyVzs9rHSjlcOGjbAkqOcYh9mifI+D4JLomY6dU68hJa39tDGaSN7R6s2lKzNl
Hc/1iwiAwYXHKemCrHcOxLvU8091b3QPCKXSv5oJYcomG7T6HmHeerJKc76yRh17AbrUnaA01ZZo
Q8IBEpgXMNd2ayZVL33aXexWNI24d7M6/pzR7X3LbOdNT08jWRJNZ90ZpxPUkfHSnrphS1Fgby+a
ON/22lr65pSwzePMdI77Ajy7vpqEdQjlBXlbOOFuQqW8bNZGyE82f2Sjzbnmo+0etjbI689mlMYY
45blTxOPzHUDFQv15kwl4FqM06ZPU/nUmcvK+Ywg4JEIUdoGCLupKb32DuDQESVS6js2+02f5cfB
OOdBHEIl7S2BihatvuxC7cGeO0Wt0vIe6l9rXOJ3I9E0047H0VnbDoQLHsAIjwjc7YnWoxAajucx
3abdGO+wvuGPK1E/faUq9iQ5IE7twzrV5ZXC09F8a5NRxhZ7i1V54cZ0EzW6YrcRAC9EOBL2z608
MCF2YvLUE3vvZPiiQB5+QBGxfnEob0jeqxNHT4JcSuTiFUFt4N1hJpyexhixl1+7ctFJFK6lEWRJ
S+1zYHQT3BroLs8lvvkhsCFZpn7Fhms8WUUtjrOxcvIsEESmvoG8trhCXEdFAW/B8lwByILcxSRC
pYPQzW+gzkksM0lk3nS5mO5kOxqovSk/MSMZ7vIbqIE16lYXg9FUkbzeIXSHmlm3qzwhvugQ5Hi5
KqGdF4+g5pszzL8ePnFuWtchZ/ErremrLkBor0OiTasHvNRaHhhDIgK94ueSPkqxIGOJL8bVbq8n
PCe3KuPzAWl2+eDavbGJ4KQFRT1RcKWumHztLsu+plGvlQSmkzIDXdDK2y5Zcu1TDdd92pBr9s6m
NbnJFt90xEupOQjvhF54f7YrjFpkw9NThOp8My7GeDb6sTlgWw5WDe0jCLIqPuBrGnW/b2JxGXtj
unOmsb3Hc0duLCTmf2dw3PtYjUVydpDmGocOQMUtOP4aYgU+LTL6Ttw9Vwv+PV8YIBr2rYKLh0DY
PseN18DeMubxuncL9A+RMSm7huWCpcuocXujzb2WBfbYcbk8gjLG/O6dPQ1IZEM69Flq8Bw2kaev
V4K5eZcuFoAy4pLbZrKbLXPDfCR2H34CVmbwPzod8zyDHAk0wh386vit1ljbYGnGZJLajXNlRFA7
fawH4Mz0zmguMMlQ/pqA93DZcxh+eW0Hym9fFnqLY2mweMjRcLZdLL+mlj4FkyvqTdbM1mNi9EBS
ase5JbxlcNXiq9l0Hh3RzqwbNP1XwBOZcuz8KsLp9XXu4HNC//OhHpJ1NAr00Trg07oW6WmxK2cv
qFDML2DdvCkZ6AKHnTud7AGno2kOZgAnwgRoyP8omaY9o7Bo7lrTmi+F3YhcMSjLJzQC49fRyrvL
jFB30BbVvFf7ki+5llVf6aU2WQiqjDJ1pM7obgFnxLhQx5FAkGu1l5bbkKgGcUQu1uhWRwCo12BP
TUXrWbulBUUfzOugP8q078ttI5vsi+gpGLddvNKa/UhE8OHTDrG/3+c9BAg3dqbPGF5zKhxnyYhr
b9TbJ1C3GZSFltcVf9ZEOt5oUKXPi06uZA7tfZoS0dlagmoDmxJD7XWXTJSlJExh3oQZfGu2WNUz
9q5+1w9aEVQks4jkoC6FmGul5bOFk4C/mYzfTOgQW9R05Hod0IPXEJiMq47pjFHUYYOI1hHLN/su
JJc55go6iGNmn0l2P3WEM+FTcErZAKGrL0iwadipJlcTSEXmMN4MeTiVwMub4jzFen+q0nS5QxmT
3M/5qFvULqO+D5gZE+Bd150jT9Embde+RhsUBxiZTfMqQWFiB2j7cLTj9ADRYRci2uKWGQMU9s5X
cnrNFyT69Yj9UfMuHNFNaoNpmxRATitvuxhrL/wWT8HRTaVDdrca5FVf6KvAFJQP1AjXVocAUpqO
VyjvgWlMzCPppiV+ZxPZT9uPZuos2t2Ip0DsBxb9O0YtgWSdPhBuvSqXF2PashIIqLvNAUsysct5
CuOQpRUMrk/6xL2ncpsIqsbROvoXIFS3xUyC6sOq924Ffuy6jZdsptanQzX10p0fW9Nrznh0necm
dNN9JSPIfHjJtK8QBLULFw1HuW+6dlZit0K3/NhYWTIaJx72CY6WW5OKzsWFWyfeTTQ49V9kzUUC
ETDSj3j9gN+U1agRjSQHFMxDE1v9pXQXs5Kvm+x/dKz7/1go2kSXC4/svz/W3bR/RlX5/aHu7Vfe
DnWIfP9A1odYwITUh4aGY/5bnWhDlXwmxgkuioMa4UHONW/HOiH/4CxDGg1PKvr27yl9glOih9qe
anlSoB/mxPcPjnXWO30PhkrUPdKxTSQ+FpGp9+e6rBuo0jl4yW1KKAkTh4XwBDkYW6sbUDlCMNyb
tttXuV62uzAkJ0rZIVzxmwzY5TSfGtwIYAWyJiPtmGRqZ+mi3J0/olXRMn3DprhA2lBmB/ZB+nTb
543+rUB7js3e6UpqDrYGNdp8kwNDRBYmNjN33FceUwTymfQC5qvxlxWVUHM9peXQiFuTLXWjCycT
DeS5aIXY7ORnGyvLPlqrNbC8HIZylkDFIns/oFnBpppBdq1bLCuWgFira1/IvMdBAaMXaKrnnGQ8
JsdkXdOrOROJOkoOz1M6mFuh11Av2lLG59Zxszjoqnm5Hann6QVw56nlYdU8sQ8cvId70OR14Olx
fNmEGQZtMGR9NMkvaCb6Dx0I8/QEjEMLuqR2bqirx0F5SXBubHK5kIkDu888782QSDoOywukBRai
gDexfAqXqvQ13RupVMHh7R7/CcWhOxQ72Wbh9o8JgsbLdZrnT8xihk15nVk/RqU1bj2JfnNDsq8w
dg7MPhaBxKo/Lu1MyoUkULfBgFNcaF2pKyS7S8lFcHXujZtNDk5F6t808FEStXWf424NUjbwbSBz
Z3nqSQbKW55ErePZWMwBM/scJPpgbTu9BdGhpfFfMPkEJbOS7NCRy95NEUwOu0mGgJ2ac9esAsRL
GWdRQHC6ussQQl0slQh9vWiMO3gc0xZ3tLwIBbM4IitbfptIzwfsOgaEYwZgi3ipCvY9EWITdJcl
GxQRsV5e6+WAgvfCzMTk1hzAWavdLQ3BRqcY47K+FVkTV0cKwxiCY0iyRCX0/oRt9VB04mpiOTYS
1FQED5HoGCixgmKl9e6GLlJWK2N0cC+UyRQ42uzVj3mL68mHQ6YHS0yZHr/VYyT51jwrn5aJC/cC
SV3rXck6ir9Rl2upN5ATMgqUuEuhXY12EnVQsGZwFtTSuhoJKFCeupw+m1CLa8yG07BdahKNxzla
YnvTYTKGrICkID6wQTWrAx6N3CA9t7D3nuD69Aedwx1p+CS5TWZW003cjJwIqhZjyr4KXQdpaL0k
eOSoPDVt6rAexys8twOEDk1YmyrmbWJNK0ZjoxOtpOyNRt2bW8nJqNu0xVA41zMB4VPe2Spl6AxB
HFnRQo8TmmJJ15wvNSc5aRU1HIlOhFhlic7LNihyd/pkEh5ANTM30YVyP1I5Pl3vvEH7qnH8Z0xB
c543Lrpz+wShsqPcB+YHGAEYjz7NIeU2fHcZ4gfQX2a1h2nXgs/SKfcIUwKL3YGZaLnHtQ7cGOVs
j3Amz5Hp5HpsTkcnDS1qWtbtX5MmPtiDdK8sfKnIQDJzrAnr4Eg8tngmA7fWDBT4nX69kri4w8PH
eMT6liL3jZjNKEtFVeSlScGTWO5FqrkLHI5Jm+er2ZiqS8fCLhxwpWzvEgNShXohkiS8q2oX1Wsa
ICi07rR60cedRbY/oMqeeVnJ0ttabqp5Wy1BUYg0aaaCxYqzWbeod+/3GazzL23jQPjSe+0DKqbx
qdNnogZtJQRjDateoKV4SwtDkq5sI0XnR73cbWVMNcJLPiDw9WsY6330IPUS+dJdi/hCdJqNDn8R
jl3rfroAJmWXAbfDhBoa+bZsI8vHRwG2o2mtahv2xQSeqwJcJK5hfQ2uj2w/fzCWyHocp/WjoAtT
pKibMYaylTEP0p2cOwl+Ooj6cAl6E0K/Q8gHLd3am9tcQzW3AYU2n8uwE6e8MAcYTQQUjeuprarr
tV9lunebCs9uP3+K5hmtDj4s6vEYSZi7m3HUe0BrYzoP1wVH0tO6GN2ZbSXG44r1K7rjEBe2pp+K
fFmXQ2E5vWMDjYF7FF4AGJggMrqZsfvnYfL/l/sp/A2/3E+d/pz+4wne1w87qtdfettRgS8mBm5i
e6PYpQfJ6N+Bcsf7w5GYF1D0S5Vb/n5HZf9BCJxalbp0UGhKZVJ8C5QL/Q8BxFXJy5Gg4Mm3/8mO
6l3eCvufJKtjczzBw8Oh+l3eyhhlM+p6VB2B6rBTycrIvrFaqrqgpXV/k8JWmcwfAt9q+0jwn7bw
0Ce/t5iOnQ6GxDXKo4N//bQSCjkRS/AeOdK5V03zT0u7qmdDAI7lAmOt6f1k72s1WM81x/oj448R
POnYG/10Xo1TP6uyJX0ora01uwaa4MR8+G5f/ZaR+D6J/i6Jqi5Olg5UMqBdx/1J/99oekc5hLY8
rm3ffytyKt1BIRzdKxa0+TyHq/cYmvrvqtn+F01s01qk7Ul7oK2k23yfugfWnraT6xTHtjBUiZO4
/wZqOFl9L6HkSaQv//iCnIaVVoArYuj8qRZ2qnCuJjzcQ6yFrBkuS+cS9x4WfUt7Rooon37drMZP
7epQF4SKy5R/pnFNVyUPvxMnLJ2hr1Go4KrVzCZ+kGFnqii5PsK0wAq0IQ5vgEUgKkHW3jg3o10+
luicp00sKain6IvOuV8I4vgtu2aokYTnr4zZmz8tpvubXoBC5n2nd2yscYx9wdtksL+735LYaJQW
/XBA6xiJB60w7fCyi3IqSUYVlSeAJBvTBeDJhVRJ19vGA2NwOWvwGg5QmqW8SDpsRgVwqs+RhcDG
pxgEfQlzI+4k6KEnSLksfhjqciRIRFRP1HqjHZrMZlkZzI6qDFqbALFdzNXd1SRcTkAdtHY7OHp1
CZl8JiAp59sw8SDPri2VuL64ADaoAYDIb9wiBzHTy9ay51vJLCEDFACZd0j1UaNWcuwhlUA6RpcL
Uww9nJIWMiVUjMCc8ye9dKboi5Ek6XzdC28Ud3O5TFelHucw9uwUAymFmVnP1ETQLgXjdKa0yq02
9RQQyRpQn3PY1E8DRbKe1la3jhIBI8UCx7F+cgtrvNW7jg2r16zqoAWzaJsarf0Zy+x8pugZ5TqK
MayfrLifz1qjGQ92r0oYrYn9GaulWR7LxZufJOyKYSOFAZC3C+35PIiWJ63ZhvvYb7ggxGcqBUGu
aoPBnezP+UA7uutIu7XCeBg8XtrqNt4j5f3sz1ROnM/sjL0tukabWF2V9O7GmzVKI3TIUs+vfTVO
IypTxFYyDdeJKtdBQQSKLAibhzUXzFj7bsI7CYQDUMKFR2mi4ogsril6yAyeO2x74MEfY5Bgj27N
fBr0KODnbUEJFHztpRSfq86tn+II8k3UUBDDW1rvsc5hgPkUAqFnoGjSNgKG5mULDgOxdV3Nt8Ow
qCpTUp1dGd1UgZpTNKdRla3II7H4sh2KDQvelaoFA5KYZ50gjFASo2oPL+0v5t6GAulyjKIqDcAL
Le42DUba08tnAOWUm2LRU+aNNT5oPOsdpYjHYIo8bzc06Lw2sRoeEg17fYCFG4aXRodVfzNyoggI
+pKutZBJtFj/0EgAesldPT31jexq23eLzJzva3b8mCLDag7HHVC7xQ8tjV8o88TQj5PRO8TD8LuU
8UVHNEDbLzomuaDBCRqewXjYuR9DN6ROSYwf7cpELPeE3HT6NgLbHIlCdmtyOy2aOX3saP5435Xl
uO9MfHo+NSw5mxJU2FTUxeCUOtq0c/dQW2GMZJhiQGHpUbWMoDaexfk4WY3AkZZaJxs2OBvB6RB6
y3xJpav5QSL13sR1CDcHC8FJgHfdwIQwPnW62QQ1bh+/X2bjRpNxT+iz6ag7FY72c48yVdC/0EgT
vE/myxFa+kG4VUSdE92kzo5erScSutE3UnvGSQJ3uaBAjDzVeulRRGUVFKgrp4IXPmsQmVaIoXtV
XPibl5BxDuBHRklA5/YuyAPOHP0pBuD5huOEjxblUJDpckzBVs/JoW0+lwYwVOKAtjg0CHVHPmjR
6VrQV7CmM6o7xwb/8JmX5zPLHH3ZDMs4OUgtZJVe22S/dH39ZBu991gsMdQ0J3ILG7n8OHMQi8kT
A6M7Ucmpflo6hfDAfPd5rtzoMbUlE2ZlZg8p8LWPaYsXD2+WjYVTR7CdoHw5ujWxEOoJhDDaqEz+
IIHxrAllkZAVimhnWFTzvbBB9Xsf1642notW09bjihbKPVpAciwSrHU370jlttmFNC3ryxqNttwC
pbv4NzC2pfTPER36A/GT5n8CjcX95Nyjn8kcqJbT0bYGbQws0F+b7+mxpVnezAO1GXeIQPFf/4iR
FYvZALfMhf2GkS0dEtawdvl8zYrVfsAlY4ZfPHdKWowmdVjtVpfy8L4ZZYOAJpVpV0WeEPp1irD2
V0oFfKJ6anWgbI9LRUZLJ/XQJ3sA3S0hH0hNT5i92IvUvc2pdUq0TWaMvFZMNu02ySEAbYG1Ru2p
dbvlSIbJPUHrZ1kAvgljJpfdNz2n/IwdYqvyM7nSaRoq7J27SHcD1JiqKw3E3oIorowTvnXm0kYi
L/ZTj78zmtyN7GPvqvtP9s5jSW5j29qvcuOfQwFvBndSKJTtam/YnCBaNPA+gUTi6e+Hpnh+kjpH
Cs3PQAy57jIAMnPvvda3JJcmLGm1A6gac96TR67pJmP6AweyqLkFZyuh6VG25A0kZsF630/9QaUT
6+DkJMOwx6fvX2G9hoQAbx/JApsJjROPfCZQPTxLjuzImFXs403PC1vxYr8tKmfBf18CaZrDQETM
u976Ui/TW3I94GONraSPM476HqvFwpBBaMPn2gIguzGsnp3fXDrnzSvZHwektZKmYEasEmYkQphK
oOWcGBQlyv7b2zIgexDTm5Lfdoo1je3Lg9J+7sq+P0xqnG/FxNm3ggcWGUtZq5MpTbemBlWVPV9w
VJAcpfdB8yrNrk1vTIfyM6LZz2eV08JL1n2mvHsb+NrAbuHiT6jwCyUdo0Xp6xP+n2S23dNYwJUO
oWSqh1hrnFc3NVhYmWHlV7LtZ8IV/i042F4sf2Bd9IyHstH0Uzum2le8tME+HSXBTbxnTjkEOwfP
5iy5LfyyZyfvAmE8WrgbiSrr57rY9ZBx12yvbP1GgTeBoXcIBg7H1idKjVxEUT/E6xXNc7jmy1hx
x5WgfK/xGVE1CHPRwR87Q7uiR30n1p8NJnGOzffE0fIBEpE2PkwuuvY2JKouSf37ssAExVbVBosF
Hy7pVLbmWmuJASiX03KyB8zgoM/nuFHq6AUyPINFyGw726KWxvDrgu0FBMkZxDNT/VRAVGPsLibi
JlM4LYDVtzMzxlNJGueFy9/dN6ReHosp1T7MWkB2GXxcGO+03Wxc3IeE2RbNWE/blaN0+BwEI9fE
NW10L4AVOsQETVp3JPhmACGTcWfoiQGfywCSNs/dEXFUgqm8NO5rshRIbmKR2OCByXAkcSIRblV8
xfvj7PypiQ9kTlfA47oJEm4zSDpH9de6J8ayVDfBbMsj9zUHAyDAN0TL6jdOpabtpFehO6jqMI+M
lTkbxw8zzMVdzia6zbsU/CgiZFsX9mU2x/qOq82+XM/liZ2v2ttVocEGtEToV26UBOVlLOxhY/FV
3eiqTZ5azR1f+8a0rhml501oJToHyLnbl0GJAWS6tSrjnpMfYDlYaV8dQmFPlgWXLwNkF+R0zGr4
b7F/oEH1xelcLogNMgqCjYN/BW2ujjqEE8HUkjMdT8NGjdO6gpBVSKZdOrIairw5k6+pHRH4du1l
KEpu0ipltaGLyx25TDHXPp7LdLhVBTyicOLYvf3rMmqtOn4qxX0aEd46SjER22Ga+rmKYsiaB+x4
7aF13g/9E7ajTb8efP/6df5U/TAuWvk1Bu1RZOW/ipuJWhBj3oj2UJKZinDD84xHBoh07uzZaM7u
yoY9vS+Hf/26qxr1l8/no8V1UOKCF6NS/PnzUZKXVt4QbznnpfsmNIze1TCX805CIOqjpqrVveum
rMXdtJ5y//rV/6Tw41MHJlUxDzhv4ldGhhrIS4Qk0Rxw0VKAwDk3H6EpNefcG1jtRdLyp972lCXr
yRu8BYv7+1v47wT0UbVf/vf/vX2usnqbDWS2fhI/Nd/WTs8PV+tPwtabonxjgoHcGoVrJtS3jLL3
H/qjYxfYv9nAKBgyWpCEaLRx83yfgerWb6u8m2fHBIICwOJfM1DLW/8LvbQ/xLDfZa3Wb3RIVsaW
aZvrz/n/qFvn0H388cZGMYsqH4eCwTswrD/10PqJtOXZRSxjg4HFv17uRDqJHbuCf+ekjB3x5iUo
lQQx405U9DhwnlLh5J9Lknc5CM3w9hdKryrI4j2mXat/ZCJWnn3Kg/xWkIn9kQXde3UWIkBTIynP
QubI/NeDAykhWXUyZyaFbhFMWzHl9VWOt7F5raH7XThOtMu+UsY+kcuElAML+w5lRx+8ThxJ/AMo
e+QXolPuh0nOo3+L7s3bAmlJr3KzEXZkufAEwyBp/extElr6YSQcq+L81BTJrh3GAh0FcF7IGBoe
DTjClFbpvKnQ5liMc1KeSG/nd+XSXje0BYZNOiNeC5Hy5XZ8EINr9Wz22Bm06lRjf/ExOpvYpRyC
pjjEXvvmQjDDJi75PqH/qGqURLxAEZPbcZo8IzTS2NA/SVkOcomKNAPetinqwVlIxWFORgjkiCgE
lsBY0wqpfVOrGPcGNqt/6i+dbWxJQ0UHWrgQAYBaJ62Z4qzyYdEu+eclhu/oFKGocP9tp6TJsO+h
jUz2AObj/tojhfuo41S71RG/bJB3Wgy3bTZhUKjHVNOmPdEs5kPBLpdtrEFHhEX1dofA19m5Qave
vDYvIlmOZajWRKWsGSjoKZav0BJZe7z11bFpxLgv6qmD9Vg3NC2ncjz6wDS9MS12VVU3W4uR7A3C
Z6DbaYn41k6KLTE91ibHu3wYliC+w1JevcS1JhgBMtjAcTi1pMm6T1ATkjsr6YZbmU7eXQkC+zWF
YLxNCD469ZCu77gfmp2amuy5HOb4lhmheuH4C/mQYzHAcA9RE2B57xrpdPwMZNU6zKmrIWKLZ7Fh
dwl2E3yXq9iNyz30sWzZ4iIs1HPb+Zy3YDg+deT0PAwE7hqE9YB+xJPbWXOYMauZw0Yty7HuTdfd
EOheRYC5xZGoon4P0jN5pkVinQMkuxzIW0c+2oExoGRu6X+BZOjLr4a0XTop3uLQXWjqOirMhhgk
ZBO3CJi9Yy+dx7zztkM+2mua7YwWjsNJQuApJ3Doz+N0MyaJCdkGLyDbG82NXHGtR+zEd2np1s/9
MNf7Kfba31EwvhhdP2E59f0TV7qKVItESg2tf1kgXN7F7pCeagx3j4lhLR9Ga6mqXSBn81Pe9PoZ
nS3iTUzI3glqTrCDkvJlIkL0QOO3i9K5WLiCXv4QFP74QXfz8kUVS/ZiSZHhjez84qVjurqVBU8Y
87p+T1PGjAJPil3WumdQVG5Y+Vm5z3tL3dRB7ZzkPAS4rhXY5Q0/q90YOfb9xVlAkjiunt3WJOit
JF7m/U0CPncyaFWljk89n3Fs3Npap6JGji2BqRJlIB06dGJlCsNaD2F8yVOjB9iHlWM+25wHb4TW
P2VL/5C3mvd5dhqEyCgTdDKhJAOW0GSe+ej1uY3UUMVXHC/bDZLyeEvW0TGwB++iULTzaIzDw1L6
5dbp9eaTO0IPbyUx7igblt+hpfQdc8ly3gSVbM+wR23iL2wH81NpIiCsOrVdliC52KYxvgpHw6Jb
4mctKh3stsGgO59JV8jI/gaYm30pAWiFw9RdmWMsI8eVM5Eno/XBTOPsYGme6YN2k+rKnOm624Ur
h40QpsYTZ6f6tdHN6GcbAyUelHNUCvlAJgmy7iB6711OAwGwmzLOKHbTClXbwVx7pIQdD8QiJNJ6
mETs/17IitPamI3UgT5YiQg5vbpn3uhfNVPtvI1O35wRDlB6McBnnRt1i2ajUdMSgCYwoOG29QtG
EuNRGdpw7SXBCJd1tOTWsPBWb4YsPTYVprJNqwz/SjNMpATZUHCLOiSU6POnjj3v3qAaOiZajPaD
KXCY5DE2dGqrvejs+UoTZhYGTB8+4Q13vjaa/TlrO5NkTNLOwtUdvcr+o67PaUTBS7nIOfUvgVUU
V6neuORRLZ9SemkEqnGAt+f5qdH7hxmrbOgbPezymCIQAEK6ywykKnq2BHed0TeR5popIs5BDodE
S6/LYkp2AOXjbV/3xgvlrr3PE0ff8bx/ypfavwejyCQCEfljQmNkY6R9eyIAmBQejt/lxWmMJHSG
emIgrScH/CkrLLtyxZ6JWnPHnVtRsgXylrjs/jPyUKJ1zdYoOfbY/nOCsPLEO1RbE/F42DgtNXZZ
OBVRjZqzK03VHI0aTLPOxH2rBj0jUCrxNrB9UTSM87i1x1m8mn1PK8FHLzB5xUcxGL/nYH9D9ArL
1UQzcET1LtNb2+8qwhCbYjtXqRkqax6+GvCFo9GAXJqDNY0mW3LaTvxiR9PRp6rU4ocM0fe1q3ti
jxe9411k/c2U5JYR5ZAfaEyblU/HO9WOcjz3GXnzTi1/R3tUfuxmOe4SDKqfgWkYkYLRiA7F/4iG
60tfZMOR9q5Hwk9RbDuHv4sdL9hgo3QPUyb0o56XJHlnBrBz8pmuMM7knwKMtKydqbYXUCs3Nojf
OxAG1skcchLlRN4ByEnaaOzK4GDZzbDzZk5eGr7ffWGm0zmrGuq1cm67rTA0baurRZDx3kyRhWDs
k3Ak4Ae7fMzGxAhHlboHOWF+zJzLYtParqlZqQUCc0do+KdOb+9GYMAAMmum+vmyZ4nWUGprH4yM
vLE0JRYrg1YJvgqvR6E3117b33lEJSI32y+EICNCKuRWT+t7n3QS1DtLgoEG5lPHeGrjZrVJ/jMN
76VMwPuUFxAG2n0wzHJfuiOhhCpPtotV3eH1uVV4LXYoV7PN0hCx4ZbqDj3Xag8oyj2N2GYrlrbe
gn32MWePxr6eLLosmmfdaGImDSnQvEdmFNlhyeMGOZPxpYtdLXJUXm0yhDgbM0OpPsUIxtG1jXfS
NIJPGbB/GmPcfs2gHdx5qu9cbQJaJSDh0hpG1UOyw3FGBX3Ia+j/Sbb4p0qoO/IcP8JdevpvLfVe
+/xNLeUwY/2rUip8I8kX1Eb2UzH17af+pSe1f2MebTv6ShhG0MAv/F5LoSfFSErRZOvvNElKne96
UhP1A5xgVKbEO5vvVc73eoqcaECItufrPv1/5AT/pJ76Ba26ah7QqONswl2uQ+uzV3nED9NkARer
XVvI17W0oAyjoCZT2co9sgsxYHDbOeqUcwOiWdcL8Soae3qio4S+cAjq7uWHb+/fSAZ+nW2v78bW
sU3C4taxCa7Skx/fjV2rtgjScbo2u9q4TphWM4LxGhRM8ySaYDNJe3z1JnqQm77y6RXBGaCTALPI
s0M/8OrPgRBoSYM0JYGjLI0nvNm+sVeuE38xQCbN33RBOF+TL82/ecfm2kf5oc/y/o5d1CuUpI6n
Y7r85R1nXsq1VeIaKFiSbF3QZk8TmghrJzzVOFhTZiPHd0dYz+K5bGWq0K19NfXMKhk0i88UaINB
P7PFKCSQwG5ElXIg8XqngBbU5OltMQYngNQpth6c689D2p3BoNG0zRDaXbKelvz+r6/DL00rPhRa
VFqeyHK4NyAY/vyh0Gwm5PqVwzUKkeCZ3Ysejs1a327amoa5xPb40MZG+eGvX/YXKQ7HYrpfcAsA
SevrH+vb+uFeJJUrsdshqa9rH4kKkKfxmqRhsFlx+vzXr/RLd+z9lVjskcVAxMej+8t91tZAQjpC
AK/9Vrff1nNruY8FQvwNNr1I7+APhZau/CaEgiarv7tp1pvix5uGT0n3xDERn7ouq8MvL49WPIP8
SLSkh0YBWvTovBXl+h4gjyHyQyi3OobylHKrk6SGFo33haij4QiEyb6aKeL10JI5MYQ5UcAoCFvT
2qY+Nr+WKnOLyqgC9UVWaH9wLHcZv7XW/uNNb/z5QsETYNnACQ/d0rPX9t8PF0p3R6d2nFi7GGNc
vWU9kFuO/YWoVx8KQN6TTLPid+Z77dW8dPB4GptQL/JSvK/CW5YmVGnikRWRT18yKC6fsQGn3umv
LzG9il+/ZUCY3ESI8gP4hTR7f36Xbu9nep8K65Izm4kDfyuCdNnPIAqDnZjGMSTWQr+bKuWMHCtS
L+yNmtl13+5LuwWOjGvvviW6ft54pUxeZF41R4avYtM6XftEoKe/jYHMhCMum4yyzELLEedDfS1b
bSDxBQFnkhgB4pOFTG+cW2l1QM5a3pt5cpuo1Z9Ujl53LeLuUZiVhj1nMlepiDJZG+xxWTa69POr
krrvNdaJmUtdn0NbgmYylHpK3AY3XXbUfGQjG6l8qnxJTbXk86d26MTDqGseRqpKeLt46MYjgH/z
sUsNCXzR01BJL2nBeNPSSY7FRaN9RBeMK7IdyDJBDXo0sNx+zqYWFXNrVcUD8pjZ20ydnZx6avRQ
8T3sV7v7TSeJFOWk2+0MYzamqMQfT7KohN8XTlRrUTVYyEba4CaNAXRuOcmLA1uNKUM4ZMysMAR8
mCs9PZt90OL6E85+DHLN3A1utbz5btNHHNjzZUf7j94XTOI3KI/yK1ntrRMupkD/UCcmtQdaZKYa
UspIJdPoUwDG61TQqg5ooIhZdu2+4Ysm6pemUU415MWYoLzGmZeNLco4tPA5VvveLaJkJXzcSUjE
NGJ7Yr1z7iRajUIGw35mNn+FnmopY7gknagqjAFrKudnPGymubwOKInXlKMA+TtmN1NVubBQqYtx
bPVrUQjCz09B1i17ct5FTGB2xhwkN8vmQadiP+IwpDs/cg1ikiN1Rn1kuPmAEuOY/VCUhewiF3e4
HvYldedN2iGlbA6F8pjDqLkMxJU7CIs7SsaNQc01shfuXC3N45uJR8dNwo56kRvOKoZqhySkDzZl
x+YFR2s1jGjfzCMqBqsUNkPM4DcNgPHvZOmhtBpiTgU7p06qJfTxFeKMQ7SPESFdpxvToJKB+awG
rqhJMv+rNk5epmNCNaEP2P7oXzvvkt36DwFvPQ8det6BFnNPqmaSehCnhgm9TdBjO9mp0q3UQR+G
qg0dk6Si0AN7XOKI75ijc1nNF62tGIXC76BE5C9do9+m4/0aRV2/oN8JqqPVB6Kkbync+2UUFj5O
Mr+McyrTwUO5ldIB2Mf91NIbE4S2EcFiFrux5R1EjcDtHPkGFvfQz9EHXSofvyJuu7rtiZA3xhMS
MafcJrGVjFsPOEm7yd7nHfUCD/wLaTiBS9CjIAQT8i7KaUPP7EOSkfeFFaPoLNqRFM7LGBfE98i+
DUBzksEQWvCUFhKT8kU7M0ezd0YbJzTy0sBrI4M8geaYZoZMIsQu1BHr/7cxAnKWuH0SSi1spaTT
iTnTPvYEC2HJyHiOzGsDF8WSbfzJ1qxHtXZbrt02UM22BoN3ccaaLSmBa84PBKT9Wbs4g4r0uhgl
gqEOHuC8G6SzZGdQzeLRzk0kZfPaKPANbl6YcTMwlsFdGDaTpLYOlC0Y1SHGnyiDE/paSsnJIk/y
6WGgu/M7BH3rMHkyidHcYYBaHeH8HqdsIMW+K/sIyYSL8K4SNARRiIyIgdGGeCdQykAlzLNDP5vY
BGovQRb5PhavdfrhYZ3n3YCiYGCqOCsbMZreSc6Oqax5Yw0RF8aZHSx4RkbL3Y1fmYa/D0ShOYoh
iM3bvCf++9706wDXt50jWBOzWA+fqZpvHTrOMw25ipdumoUZ+2xWYtnrhbd++B5RomR94n2tmnbb
qfkUYwdUDrEForIwKCYenbZMiuyuBqOKDWXkVPBNcGaYok5vOsNWhDJZLf2aYyr7VSCPmm7YZPrY
kWe6GtMiNXW0zPhnOl18IhaQOTDWc7KoMYwT2XCiz5Qh8yf3jvsCiNubrAkrJEUjV/eWmPXhjJYE
uWPTgtR58NktEHXpxnUXJN0rYHy3W2mXmXlCUhSMZ5IPCNdSvdeh+IKZtG9NvlY6EJ36VNB4uZ3H
gfy5jhST4kW6VTIc6MRUXxV5EawhWYeAgjrAt6KMYAyEDqRLvGh6XO3oICZ4RG2WOdXL9B6iwnAm
PDN3to7ZmyDgSsdmO0pNBDIkbCRRadY8JosWW8HRrhuj+1KxIKuTb3BLRURyc4/kDhLsHdmQdCfo
THRnox9NN4yDUkzstBYWdK/v8o99MAWPmuKYfloC0RufxUDyGxgDGmrEe5v8Kkzoa2q7BNRzbLks
MtSKwIVoPE3iMiuP1MNp6EDtDwe7mifnsEiXi1PoOJn3bVlgh6jd2aZ1p9vEUXd1NZ0TkLwp1pmh
Sh85iaD3QXaJwd3LhglvMl22TSAnv2MXUN1DmXRG9sFokIhMOJu0Qj21wsJ5ggCOIW8KEDk5aXEr
f08THWNP6Q1uccwAHd3RN4uXfY/QMIuyZeQmzUyRW7dzUS7OdeW2a6JwO+nuxTZSvMqIkSTEDwKQ
q0j6KCfx/nrIG/xhKCNjtuZ+O5Ukh++RgHL3FxjEvK2KlY43qh3c7kViXH7M0557jZ1u1WAm1XBL
N5z0mxF2KyBIzCaAxMdXSL/Sx8NeTN4TmiJUdtJJEDwwRPKn+y4moYTNnTs6ajOLq0nhoOarzBJF
c+UxQLFuzZnM7SPY7YDPNc9acil6bVUKDeSQojusRnEpy5j334PW3A3p6hOUs64fVYdpnyxr10OF
Gqfe5f1U+t+p9N90UizXXLMN/rMv9+XLIP7nOeuT7Jduyh8/+d1M4v0GFstdczfgPXBK4Zf+0U7x
zd9cRm4A8KG92rRbqFq+t1P031wkGLrnY0D52UzC1NrA9qHjVMBmt1p4/0k7BdfKz0XHmsNBdWcj
gzcoOlCZ/Vx0JMqWZZ0n6XGovPHcENaJ2tZshzM7vr0tbegcm2K0jHsElRtVJQhQyRcne9iQB0hi
Gtng8ejtehH0Dzgj2XitMnjOfEFAW0BGM/HgQXNuZoc4G7cSRTgXqXMc4sWDDpOvUBVHWwEqge8A
EbUhsm6nAF+b0xLNgkv+VPsQQje9SsBuVH7yZNTsbjQV+5hDVP4hkPLZGMrY5e4f1NMipnWJKxVY
Ik3fkvQ+3oHaNE6iQSVLiOsgI0He7BSy7Hb3DlHGV/yI0W57fY37BRiUxW0+bFP45ofe6rCASVVv
5sHSX5a+n85wLNRj3KoV5zCkt2bAYrEJWMyAJ9XFEJmVm20ho5Y7xAUTXk+pqockhQxoWjNWzIH/
7OkdyBkje2oKWi5EnEwX31aosEoRkuncEOfZTJgLMls8FABEbzkQW3cxPZB5A5DFNnaNGvnEpa8t
CLLigEV7siOznYyNizhgy3suttZAliBZu/Rsoa0jULJeOBG0B4PpvYeYdG+M6U2CIh5WuaLhvfXY
m0LbkTZ662Sxr5jBTURV1FjqfHch6LcShwAa15MNvDwHjbAYkTaZQDw5+yM5G2qH6+GMV8wdDiLX
XzNOWMzh6awXsXiOa6WfAtk/Mcm2EfLq9cde5upkpACbKuWnW6dQUWIIZ0ugU3I/2IzktxNh8WDG
q+6aQ1zFV12SdED0QeNCLBjc28LS4q2WetNrDPD3DlVlHjmJO1+ppf0iQHQr5paLG8VdltwuKMBP
M7r3PnctAi2M+YpYIoYBhhtvx1qL7wxLfMBDW4cOyKNj6vZxcpZCL6c7MJ5N94a5cfioy278muWT
cedWrXPOk856KFw730KEH68cxnZuKKaKr0wSqXUBQfJRYoG81lpTi0ypf8H28tGTsoER5tTdccrx
R5aZpd+o0jMI0u6V/+on6fi4aOjIcwRmkdvF5Rgu1ThWB90myWcXu0BaAGNL+THFl06VipOmxc1K
nDUBub2xQQxuAgAXVZTVw0TvoFkIviEN56rtAhAls6Hiu6k1b6VjvC4DMK0ejw29rqgHi9MeAjdr
g9D20q7fUyCZex1B4osT+49J3H7RmXKqDUAq4sPh0B2ccpr8m5RmBGMEPwvz1DUPCWvOPb8BR7g1
pNdDl8GxCiQcoroauJnX2FwCq6V5GYJhSfZ+PPdJOKK0qugxjve9IIKq1wcKnzG+nUZSGfquaC9q
sqYtfvd5N+rBXtkWKkoSJLs7czERTo6xAVXYH1UOyUVHQpENLUSbGdXmZXCsOPKsJj2mVWxEXSvk
xvUYBBmt67/YPQ2WjVjONVXtIUGWsy98nD4xQv6dEyswTrqCcGbTQ0nmsvgwQxveVnknz37m7exa
gCOIlTFy1LCLTdHnzh3ypiJq3WLauDKtQtw4dph3VXfKCwvHLgX2frIR405GlVzk5Ei+gXxZHjuE
90dH+P1lxnn7LJNtOpZnNDQJvmYy0jYZcxwQ31YFcPTskrtqAlDfNj0dkXmJl8jh/zqXjt5cDEoZ
eLy2NiMNbzoTaezoWN4RXYvPStV3d9B4rUff8dPQdRlPp47BCVG1C6BstK9EEJRF8brkaBvs2ZNn
InRWm9L0EdUso/5pRNbD8K7fYYE24KpN1+WSqK8EOTOtRlS8S53EhuacteN+jodPRDN1W5eSsMAf
BcCqMfXxGFeqxDYb91dgVz6ysbg7KcrpUC+dXEffzVoWtlIiUKgy8cms2W0iz/aGK/K3EZEkxkNC
85tZe6WfM91DsFPDRSk9rdqkS39AYgFsnA02qr1GrXD/6WD2NYNGoPEcqov06Ep7jjAI6mdXoBVi
x/Z3Q6ubV6NnBOe59rKIONn72F1U6A2JtwcUAGws7rOvY6ZGOqEYS6l9WXulQTpvYJndsQuMClN7
UhAfMVu3vdGERNqYKnR4RC9pm2TXmT4zxS8x96ilCCgZMuOE3pnuxdid56rqIp0s6M+EFoI/qloZ
5WXZXtESSDbLaKfHfgmA3IjqmDiMmYNkjMZC/l5V9hjphjLQxLDdMBk/+nCoDqMsrS0su2toi/eU
ChYyZQKO/HFy7oDoVLueyX+i8vsR9PSdTPPbme/1FM8OqlO9vE68atnNiMrYGjPG5Rt3Gtyds0Bt
wMEC4sCZRhH29qye7EKpjRz5Xu9hziXuackJR7gwy06ayGTn7JkpzgiuhW4pCB22hIkVufTU9Sgl
EX55qDI90D4Q0DMrJhMefcPMIaYHD0rtEelbGCXwB7KsDYU6NntwvN7Ntwu4MGuDWNcGoG/03Fb4
MDdmTvjsRjf66otqDDJ09HHpbkygY+m2xWHyYrXj/FIRDXBC92ug+62Hfacwt4VEIs1uaKhiOun0
sVj6y5rvYErFAVQiefQVKyYMQfdN5X4OxWPM8fgFo4Xn3avufYqWE5k6Aw0fJ/K8QO5wL2LjMUeN
yax0bgfldzvpd8bO6gnb2FTUTBu6LHxBBdifXaonyTNowZawC9TbfVsM730OcqT6Bee8vtAYls1o
wKV0rUVuGru1zn07VmkkKM4gtxHIHviEIkz6zhnY2+AapH6OMwn12UpPPOHWrJkm+8M0HvVUjecy
LbSj1nXoo3R6uky+SXW5Adbvkt4nli7bFU4XRI0fLD2J1yORQ0mnvw5EJoDPyPX8zk/77j4PKMdo
ZpJX3EB42Q9ZPO96X3cPi5HCeu+KmUpWpy4fqGeVeIGiF2ypnIwrsnXwC5Vc/A+Lldk7d3D2YNhH
5H4LcBAIANLi57MYUoU10Z7S5LQCIROcwlp1bSsXiwgnoK4MKwCkRzuz9Rc0MXmYtEjpQ5QtqB1a
ZdcwUQqh43sS4gOL9xJZfEnnJgB/j0CBB9vRK1RIYwwkv1ij7ANgupFEMK1ofzgEeQl3aUPbTasb
2He+AZwmxfLnpBdkZwQR0trGKOI5RxdrD3Gklu/cDSV9mmhw6nJv11BAAy7ayR+HbtpiiVWf59hP
P+IEy55M5Xrn2CaYO8zU5F0NOkezbZwYSXCpAA+HpvI+iMoaXiC2gFhIHHtXaksSmrOjH/t3bCId
ZPfVeocp4jMkTs7yWAdKM7iQ8gp1kRZnKAjEeWM9zU4A5dFsdDbqz3duI6gdGI4aEfAMJ97RjgLI
o1pxj9B1rFXxhARAeUUE4ibYB3MF1xHj53nxgEaqFR85rCDJHEo8SDk0XQ3zqzfVrcRJs2loFL5z
KFuj7aNuhVMCYEMXuQIrccq5O3OFWJorzrJdwZaU7u1DK1faJet5/rURIDDhPpQfkncuJqqF4NQo
QAtw/vWT3sYkA3G/nvUVqmkt4DXxmEPtWJGbGu1m7G12G6kVyNlbyDUYGo0hfER4ncWK7pQrxDMv
NXCeK9izDUB8MgezdpreR6Lt8ptsBYGCX5uuc8zeZxaJacsDyMPiTSYHFlY+wgazMNW6Niqq3I2U
bVRELk2q2zRkK3FisPMzjYKYCA+94wAlyk9p4TrLAb2cjLJudL8yXJaf3QpJFD24YL5MpjlbO0nO
xrfR33/r/7+p/z13dT785/KfSVXTv31ufhSlf/uZ7zoKHUkE5X4QMLE0LHOdmX7XUejBbxgdQMOh
R0eqjML8X4W/gY7CRMH+Q0/gu47Chctl0C+gbORgtpKY/wGX6z178seRLkgHmgvwv3xejnTtdRj5
40i0Sln8NPrzPuO8PNgh64Bx86HH3F33p1yvvKzbFLAS0nzvDRBPnCuwV5WMkiqgmyAgECm7TU5M
X/zCutQaM3JXbTScozoiUWw+2bAfi1zMMefnzMmyKyeRUwfRiH8bjweCWXitJ92Z8F/jUhqrcU6v
jKlyOP9gRPM0BNgaPcrJ9evqZKEAoBdpyTJTmy6OJ/0VLNEaIeuKvlUPBGJia4l8OwH44qfzmAY3
WSZYnd+13NW7sJsJASLv8pviG9UA8u/EwbT8Xy/HH96Lv3lqLO51tBf/+bH5tw2zbz/0vWHm/AZf
hX9lwt0m3sgAiPG9YYYzg+E943uegBWk8v+fGzDltkPFoes4ltCA/Iwp57cxBPE4tBPn6v4jTLln
rFP4Hx4cHCRUxigeXGTGjo5H6ucHx5/cpmFLMQ6+r+oSGkIDYY4MkHCpVXeVSQuKcPxR1fSzkNMm
6ZM+tklo61ZDomkyXluNm3FwmBgTeTGBiL3n+LepStpz79blY1MrNEQsHMcuFo8x5AEfQEb3plst
28a2pyP5hGC+fjZXAkRbSQS8k6n1n524ps+W4kqz1ey8fRsizebgvFktsvoNyfLBs3Ab7Usxe/NT
YTXV/AVefODlACtseZ02XtRXTLuSOT9TMrf+3iVq81FadiJygmlG+3oUpmFszbTRHjXbaQUj3nqK
MMFT3nc9hL4q6+z/Y+88liQ30i39KtdmPaBBi8VsAqFFar2BZSlowCEd8KefD1HkJVlzu3t63wua
FasyM0Qi4O7/Oec7a49J141BM+ea/ZHPAbHwzVPXjz5vS22ae4PCZWIoBsJP7nJH0M2F7eRLMg9G
A2wr6qCilqo6xRItwfGVjX3bzt9azAobx4jsteYt3M3Iki/gnmeaLWkZOdiUqu5qUYo7zN06vYJR
Yh/0adTe+65I10OHSTihDBkzJLbSFfefxnthH8E2w3NJX25Uq7AMTVkE6iMK4kWyVXZv3jbXqb3G
ufapbXz7c6BPD450IcW7Hdv+meZl42mSSzDezI0lkMye8Sm4KoKzKY2nOF3GqIVw+PG9VWCXatmq
3HSWhb7i9R2imMV4otz4zojA6CcB/gutbdCrZTXUaD7wksPrHwsmiwqJwm1dotQVXzcnJd/DECL3
zqKifYozFdK305fRSwZaKg2v0LEe0TRdcr5IzvHkwJ+oc+6oV8eUMZA7XbWkQJluLHAMgPi8jJIo
5E569bC4UAIoZuSSPsVUoEuiR5IibadOnYKKoASjYdKBZmygDWa24gVdDeRms2xm+pzY8RFcGU9A
4nKPN16c8e5eOR/kH5BY4mhEBHfm1soAfnu4fn1sdOYNReQI+B3NuPGhFyOyDxaz/huHOGzhpBrw
QEzLjwU9gfZbZBnaIcbXEfXJ1XT+wWbxQC10lxfvK7hvKxRy3sFWTvyNonfjYLslCum0uNgUFtl3
N6b00NbwlawiRnd3fjq6pIx5RGrIOYeNmmsdZGFwbf7MImYIwC+yzdFoLdtBR7IlJc+7tjXsT52A
kA9HgtSgqzPVaoAJctxxYJrHaebY93FGM3RuLYzA1ErbbgFAE3VvzMVdEVsFL2vGRnFOSMG82kus
5OX6LCECD/G+mAFcw9R0eLKOcLnKWIiNm6BlFs0hpWO561y5rJzl2KjHXqLebtnb8Culpnl5T6gh
6W76mSF94Hb1aW5r/j+YF9SIH8Sk1zUqpXZ5rXFBBGVDHhbBIIKF20BlLxktbFOS5D8UcG6XcydF
0GFlYApZxTgZy109jAuazignsCkCeO3k5b3E2mQqckcuPHlJ/n7En/BucaURXecA63OdVqWxCmwc
Wb3PFlw4lH07JhCPVWcCaRnKKrZCJvCANXUvOl1xAfwyQW5abJ4esmTuSYy3nXjv7aGLtl4GXmTk
Kt5l0i+3CiYqA4TYuR/SvvuaaRbDAWLiwQu54unRd7Uy9MyWC9uEC8yL4Q04u7qt8epK2k2wV0N6
DHvJ5n/tBNUiX6fxqPYTxq69xMP3lTIy3ARGVaMV21QYc3PocvsQx5l9sK4ol3nBX7QMNM7u0AAT
9cxS3krDsTckyEz6SntLQrGPjAAJ0hYHi+JCQKl+koQtK8Z9ZYjqoRgh+AHNAEQDJTUxn4NaeVvc
GPN32yutYwTKYJ+NvvENk5N68eNh8rak8LJz07rpdwuH/tPgOPNBlAiUAB6jsE61ZxTq9iUxbVrp
mryvCWP4oDzo6lpBF6U1dYKYwsmj2up+OW+qWFffQVvmfAKI2p18RxJRGmEiMwpTkfVOcqg79TKi
VRQXp3EYVJtf6LpEG5dyIb5MPap2iizENrG5AcZefse3nFBb57cjg9u5mY9VP/k3hdQeoH8DMifH
a7UhNFeA1MV19quWMTAzl12/DIbVdUS8DIvlMjbOlwEypcXcTRgpU8fNdNmoqjcrlni/6E1l+jzS
6ncW4CTM5wgmxItMivaRso27xBmbB2pBMSfFnfGAe8Z7rDgXspmcev+2WebfnDHFUhKrv2GcACvO
mFwt8/JhmZyjgNXtzpFVHfD5EIXYj+20fPDlfhJBGQ5M4bsODBOKQkLSfxnSy2VcP0dNr993dJht
JsBpm2IZ7HcZuUjGqn0iNgU1cjo9von8oKSuLELjqg7oV6UAMQjVQDPsYkOGoQ59BslPJp2v76kZ
6LR1LKLDsMgP2I/EYXRhwITSyj4mlvcTucPhpl/Ui9ZvLqJTMwxxOQmXgGbUn3HKZGv8V+bjHGj2
aZ4y4z433P7HSHbtY77qJdNVOyEoj47Styo/xEVehaJp35hHRPcJndA0JiPBsBWczmNvQPno2NJ4
LsGqztJu27Z3N91Vx5m98nvRy+ncgHjZ0Cpo3mdpP75DU43WMWr8XSACB4KKJCGTX9Ui3fHEjcdG
/6JHjVkxP9e1exvVbe3ZA2yCssCRYbvTUXRl9ZEOTG2dWjxHWN6Oud6+9It4lSwyVoeeZZjxIUNC
OmuzY79JGaN64TZqQyPqjE2kQeXtQLjfWgCBLoPX7jEGwOP2zH6V6HhPse0JDBQyATc+4vINzcSm
BSIW5tCz+Gk37iLL6ehzJTCbvVkYr1GGZyTGS7ZqzdoOK9nnmLYLKhIWsa8zBQiWyaXO2Qroh4nt
xl0xRUIhDK5qoWkK696PbfeOEtX+scamyUJfgXiAaNOHuZq2GhSnC8RE+sSH+NldpMmKcClhL+TK
uJqdLVPl8jHNSI+tskXYNCHWrhmCA/gU+qThV3OdZjV3NDOUU2ttUVzmJ30RS+dFNkUk4AZF0PTC
HWjcpxNhsXVfBvdWryO5VgNO8d60xckqVfOQOIxMwnkRaoerZpss8u2wCLlpCoW8jdyD32eE2fJ4
ftav0i880JdkSN4yvFwhbXxEbTGdxs+jCHDkdFPPittZR3fRlCc0rJUdJKgeA+yTVd9myM9lqQfY
Ar2BFgjIXQ6fhEWsFotuTY8uqyPcNOA1XlnswL34LwK80mok7/gYZbW3JWAQZRuWQ7n3sy5dkz0i
JBwBGKZd5CGJFkBLm9FmorAZnmobwWp1na9Oy8xGXsc3fM908a5DHY/7zbdsmfT415nPdfyTLJMg
GhOafQBJflNc50TLxKhYZkd0LjNGAhTmbtJltpTh50MA84eLFIa5jma0ZdxWI5XwzKXyZUKlGAFa
z6xv+aWvCotGm5KR3V2GkzDscqd+GMopdh8KUsuLTB/QBEIDyzJwtb/khqnH24AcGh8gnb1g7hr5
bcwiG4/FdEYJ7zbztXon6/zovmMbcDELgdJbzVb85pUjsWRl0d0D4fY9Xtp8FN5BwBpU/DT5MCOj
Os5NU6E9roKm0SA5O8ORxqH+NBnNvMPTQ2eQ03dPiSyPVImchK+mdROYDcVJdfcViKe+G/umPRqj
E+3a2H9hoya3HhrF6LX2fTYuxUXOmOf5NpuwNhyJ4EtjmwaKuJa0l9Kjmk7cDJKIqx5oAhJfprxE
C+SWV4AhrEpCwxVCXwUq6JwPrVZ+ncepu9OCWd1Sk92mm1ikzvDF78WTGOYKCnObDviaocRwc8Px
40L6sbyH2ihehVVMyakqGi86W5X+iW1XXCbqlCms4Fo45JRt8HvO5hy3YZZ4D5jdHf01LflTK1dt
XkV3tSAfDl5ohac1dIR8BXVVh7bV+rF3F5uiuWP1O/QlK6jc/+Uk/z9ES35JltiB7jHU4tDuU7rJ
Of2XiVLOZongMt45Z16OTg4ULsIwBl0Ch3/+QMsP+usJ/PpAi0HW5xhsme4vD+S3bOZRRut9kRQE
EYSPZbevGvZqV2ITXeIcs+J6Yj+quOG+/7uP7tN1B8sSOspSfvaLYQb6ouEx+6fyNRPmkyuBruLo
ndlKLNwoaA3uyu099oOaLNnB//MHN5akxd9fOxErrEmBCWgt+H9eu8QOGCGPktk3BD8dx/pg0ync
mE9V1nGCsmme4a/tuYZDd4WWtNXAGaCKvWIfg3B5+udPaHm1f38+luNbAWALUIs2tIa/T0Mo5Bhm
M+Yw47WtDRKP8YOTJuaTmr3uW9Aa6b9I+ji/+pUwPQHRWKIonm6zP2Q89Ne5JaUeZKP0rt5XhAnP
fcJ5jbYULgONHNLarIevSaHb9k08+oN1aFvXiuYQ71JSXjInwwCscTffuE1lt7dXm2upodkcW9MA
N5bAQR3zmivJJsnFXr1cCGaxbgVMcexePZquhk+xmXKUE1T7915kzmfNCLN/7JC1uq1ChZRdWC2U
mw/FIRI8lD9xSo8juHUppSGE81kmnuhipCe6mLtv3CeqH7hwqkeL2CqJ8CtLEX+aeNchetFYxoFY
WxZMnVO1gUdFad3QbYOM0+LuiuKZ+cL21q4FELE2MXD2doZfv18HIKXbGD/rZv8jCvyL8abJVPKf
jjdv4MIl/7X+zOv+86/KwO/f+PuIM3Cp5YCKAGaIEiHQAX+JWOo2qgHpPNJWC3RZ5/P2hycQ0YDo
Jdc/+CdSmItq8Ls0YDu/4aLR4czoJjdE+jz+LWnAW+JQf36o0SSYpSNmmABrHCDYv1b4kgbEATt5
5lnBfYzVDi2VSt/FoYFNq7tovR1sRAnQbjUCzccxbFvqXTMLlw1tStHVKLRzxHNHOtTKbYwlK/Rq
1V3quNonrTUc/UYyJCkCxFVMV49o7CKsyQWf+hQfrbBL93H0xQR1Lejh69WZtjNEQ23ZQqRzO+Ad
/DxjazZNWq2CMeJQ39Ctw/PmUOTEexgzFxe849FETaXVOrqXqPyUOaw93seVTfPNvumEha3Nz0OP
ch7DjtYR25U1HLxvg2OAj8kE7qyxpeXHquZLhPELMYEWnFH/mmjMcJui0+gYz4ztrCu1Q0eIl0jP
Tquc6pU6tWzT0di0VngTiqm9BWdC63ac95+t2VvbwiMzT9i/3VsloD+jRJ3nnbLXfeUH+5lR5oMH
FHGNgVvtRW6SoKKIAz8ZMHzGsbQXBnrYdLmCuZYaqwGn6MrWhbVJUILXiOC0qKCoMJ4uumOeepfE
wDYJD/OBQq/FA+ntgnLYC1vm0HOwfjABwsgHXm1tRvqOkkUjdJL5xenHORz75UWIvKdr3orWBWWv
YYsFACDd8IWo55r2ifIoOBacRJvOocXp/DqFSAuBKaSpwKy4hDhwoTL6cvdBFBz7uQbVkNMalapI
e5mttF5BhXU2XU303RqmaWvaMU2aBN4OZp2A+8iEOnBjG9eeJ6mUngw8ldz8192k2+uKpZpZMYy+
wWW4i1CxCYzsQ0zCPjWaf2CsTqbNgV8wdOyWrCLeYVfw2FvCASgKbZNnzVPduS/+pIAbkbGKR9fe
alWqbyBYJztPlJ/KyT6ypgcRwSIMTpbyKp3Y17Exg++20jIIS4Gz5pp4AoSD2YtLwm/j+6DO6u0Q
53NoxhEOvBg3iQ89xO4K7Ei9c4DXbHzMtjLCvO1Ok5Z/UTM2JPRdNvJpNu+X2FKowFHA/+RagDXQ
rL1Y2PtEYfCxiXSEkDabNU6XN63rS3b5U7Tm1DHiipibneHzG6ytAPtEhmQfWdkzuJz4Ata53Fr+
lzjo9CMW+IZNo6s9FRwmuhB6BsP8Ik0fSuI3FIm5lDTkybyjLqp90qvJX0PQzx8Ujqd116kL9K9i
62e5BAKLWq9yevkcUq2bajKgqJmafsckQOFkAp9hdFjNBkwAazKPlIV4mXswTGy9aezjyuKo3Tsj
uoGmD2uNLO8zfjXeRRI2a5P2tdBl88H0CEuo7tRpiONEf54jm0o+zcAfxrgT0pbAtzYoA/N/XkFZ
sua7SAz60ejJAWFHcSnGkRomDhxvcj31pUslGdlxCxTtlqc6nD2tsvhC7VwBUt3VuXuj2fkXJsJJ
mFU+bZGNR2GqT1epp3g/heqcvZcU2YrByg8WYJ+Wr9o5ipEizMztH3U/PQzV6B59Sl5Wdus8uFC4
NxJ9aJME2CCULNy1bcNFMpvg69AXDyl5ncgY7gqoRis9S4mHp9r30lbztmjVqe09ZKeFo+RVO5gr
+F3tqtp6sdaGYDIFqQawholn+chK6WdTxxLLsXqk12XaewvHt8gRW6WPYcvQ/XlDF6gJDaXhkord
9jKb3nYozc+gWaCYaWbhhOqcRxpg47D0GMWSttL5qO0mu/k+EnJceWqObpw2s3Z6YRhHiiQ5YBUm
LuCZ/Q3dh2Itg9LfA5y9rQvzw3W7M+id7NA504svO+KNKfaiYrbcw6Cn1VMQjK9F1Eqynt53N5Ey
HKO0D2VcoFQMJ8/u2xvhm8e0pguKzsriAjxtBUr6rkggA0cWPomoaX607aCvUwThlaMGmlzgvqwZ
I4GZwWV4nunw3DG5gowBHmhfYMGC6vMRzHB/Z3vecxY0TtSBDNvRnJtt72PtmHwesVqsmiAn7zpw
Z5nBIgTZFguuDPg8Q2TbYg7CaVY6jyJnk0pDTHqam+4Qtw179dGCh9FTMgf7nzle2bjvRT69yWgY
9t7sfasH+vWSuEi2g9nL3VRBCYqraCn0HoNb3JF3OrWuq4ajGU9cXgRZmrB3TPqHooc6U/WGsoTt
1KRola5dHIxEex0CAUFKm75ZqeDYxJjv4I+q5V6TElUhsLnn/psek9GWu1jjLkdnn4Mr1y9R9k1r
lyrL2caetLac6fER2wKEnJe9UtzlHJTmP81knzpg8CuhxT8sTXjHoiqwDnkFio1wjS2NjdQkISBQ
PkfEpUbG4GhbR1tGv/Va+rOyqi8AhBe3edqjCHLNak1Q7ScJsVTAaGv8Wr6A7Cw9PopAxDMCQFx9
pX8LbTiQdIZR9bV8yGARO521b8wakE3oCdeMnq2BGJmLpwsJwY83Tldz987RBIUEbFWZkfNAlR9D
yPd6nCpVHVtr7LwgpHQaTifouAKia7EiSUko4D+Zm5/kxn+5vdYtjnv/2D1w8338/PbLxvr6LX94
bgx2z9BDLfBYaK5kav7bO8A06s+dNM4cfdHw2c07DOqX/fcfJhtaXLDm+Iuub1JGThzm3zDZ4Nz5
204ahgqECB7GDCyisibzkb+fVpnzgiJphXXxos57maXtQMk2aJB1VLH0d5UNQGBRH7ED0fdKAnBk
bYzJrbl+saMJogGdrQ/mm5Oo/Kb2ipbat4kwNPyzZiJa0drzizXa41ufl+26j2e1SsRsTmEw+gRI
RJ/1a2roYNwPcjYYYXWQH8dovFVMEKm80io5rHJFTSiemlZu09LOOcpn6BFUTw4rT8z9zg14iiuR
ZBN2mbheYg6Qo+7secaenUy+jPe0x6hhPeUZDe1Dwf68mPP8W+NpDYY4ZyTtT+D+NopqwAsggnnt
dCXNOd0uae4d6rm1aT43hkns0Er4V6uDinjEPjHfNYnTLByxysnWZTlPtFryBGvkFYWpm+bQ0ro3
fVHfB6DAH1SWj7cNaxDiW9Gvcdv78NpoaEX2a719SUanQaAGscQcup/uWn/Iq7Vmt1MvMOaZz70Q
IB9YoCK97pt9ZDjw0svIjC1v5zOLi7dem+qKcwD7qEqnf8efbiAHlpUR9vOo4UIwamyyZEETN8xc
9Gf2E6l/rSzsRGF31gO+5XzVYhtjPXXSaJxu8p8xduDsZNpFHbflVlyz7gORMoLvzjUFH0GEodzs
Go53fkblG1LqCDGEJWGo/wzU6500opPZJkW0buxuXC4cT+3VlDkKEgG9t0wgXFmMx75nhgF37vek
f9t1o1Ql65YpO+Mt/okFmH5CAvqfyADnJ0Dg+in+zzzhX9zwDPtqL/rHN7zDN8i3fx0k/P4d/32/
wy4Ik8Vi9Ia7jgncn/c7w/sNIj5aMQe/a4XV38YIgU7w2ccx5S6dTn+MEZbmT6yH2G2QVqEDWf/O
zQ/C0y83v+UnMLFwgQcZTBH8X1BDuRE1Ax4n98ZJbO0QR9XUnCpvJpIE4mh22DeTOc+t6jjpgVs8
KsBiwRfD9L4ntXIesVxbToir+AkkzfTKFjU94Ytkn0tsl7y5qFx2IwGppXqNPjH3D5yMCGAnsZTN
s141kUZ1XAoY9pQHeBHHEXfIDVh2JCE4//6WDuXqUEazFXrZ0NBtYsRrJvr22mD+uIVPYJob0i73
IAsXarouo3NhCXHu2IYBaBobpgut/AZc4MMG5vvN5gj1XkiaqHVGsx80guqE6Ur34Frdp9VmnIAm
P5kpwOCzeVJzMu11geWZX5R2U2XsGDnXjrj8fYNDUBuY8diyWxmMctw6XdEPxCRkhqyQmK9Qms72
YAlK6BDpADLqD3NX1Q89eYX12OuvhZMGz5MzzbfsF5eQe/A6Tb67GfU5jKyxvLczrdnbQ2vetGXZ
HgbfikLOFumZ3mL6KTgYXQKt+Az6hlCBoGibc2F+aso82IH1H790uRcdZoaaW/orC4LrbBxV5lMg
RLVaE/odM+rATL8PAy3LgUynN2Q53OGYXlgCwHhAri/8D9PE/O54YEQnv34t0xI2KQ9dNQKYTCIJ
9fWas7Gsqt7YTDE4nXol3AuJw2dVlKNjEDANykdP0VhAf3UiDssV+dwsaRTfAP+AhadgSTMH0k+J
B8KwqEdvTe5n5HQyWu68FgWMwpXLRv3Bzo38DsOOugVSqoecrZtzYpkgOUjnODwKh7QA6WNnZ0U7
0zxqpY/S7YqzU4r5TKmLdTEDM9u6SSTvZNu026rrpq+9b0OJZYDXY3jTKFmmHWdYxdI2dqWXyXOr
wIMi9HRn+J2qxq0k42+JWWghgpmzT4y+onFiEN7JEAE9tWnv6eAZKHJ220Ch9VT0R4WNSzVh7HfD
izXNg2QEMptIsXkz07LkpWszTqjGTEwnzDU6UzGbm8FpLMspI1JlD6CBm7olo0AyveFJeY0rYA7O
3XPcAm3CYWImP/AN1RvfB6zopZx1mAF9cxXpHytJEAYJD7griJEgoCbFvMISlsB4owev6chiP7be
SURVeoedKdkWsaN/GV0DOTk13K80YqujmsqR+NmYuDvZMsFqjV6+gYWy7jSItmtmotF2gKsWh1Uu
51MtNZviAD+qjz6JHEGgSUtQHU115zkgChTnBcJslNzAUDIPnZm39DY4zg4s6vDiJE6NpFwlZBij
pYUgiNOTJix8RlSAkdILeEmQoEiMmbCsOOtKTuftOFO7MXLapU9yk0pfPY9Tw5xNkttJHGpNkmDm
V9Lb0SXxAT+7xNyMyG+faOV2HwJr2LeVpW7loEuKJ72jM/CxXnE8ng5pVCIfS7e+y0qCooY0GCKx
DZgf864Ql7IbzSfTBPaQ6kaz1hbXxCBbefDnNIkOQEa9xylrzDAgV4p4r19KT9voVS3v8QW05zlD
0OTmqd90AJLJQ1VgUsvU4qbQBOvYkvpBNcY3mEy0CdlNdTCN0TyUHUnj1OjAYlfCzJdf8q5lvLOO
UvGksUGE9mNa/aMKkvk7vcuCZLU30xRb2vfe3JS4BA2a2LE6JqGROvnOY5u3Jv7DLMNUPabYYXqu
0Gy2jaji0MVge9EnwJ7YbOUhiBO5jvChv1v10j8rZBFqsII2rd3PGnU1jvvOIqj2NDBq342s0VaT
hO86u/bwI6O3BHZJWj8QyDVC5sqrHpT4Z6zKeNOQGkMvGscdBiJGJWRDkndTxf25LYuHDnLwkXpd
vHVtK05mEfd3qnKQ6idf3ekGfeld0ubNqifCvrGZk+xKmykUzld/DWmL0IeX2N+hZo0b6U1fB4Sr
MOeeWayinPb51nW0c6LZzQprm3wVU5CGtiHUA4WlwbrHJPw++AmfDcsVawX2/GBQN3ah1krjhsUE
Rzqp/ZEXOCt8r0lvjKiqdkqvjU9orzaTLIWHhVu6SYfc3hlxPqx0LXIe6W2e1kJX/oGt8IPSjQO7
Bx3TJwIfcFIcThx+nQCM8ngv0Q9ftckpw4yq4tXsVsldxuaekugmli8Mh5ojPFjvGCO4+txBGZpw
39TCrtfPHUioB6WGO+qm4JIXOrlV3rDQ4dp7ymazPEY1pgEG6bsqMKqzq2AQUDr2kM+4oSY8dwyB
LdJIdhX77NVdMLJABTadNZSh7kdnDMr5rnY7QqOw1ZnB6OlaCpycfKAYlZR1umOqstjVimYz+VF5
JhjJ7Rv+9GeS6mKnAQs5KU71Xw2vKL4wKdNuHHDdncWgRvlEE2a7u8mDqDlLSVKWWh+18wdv2DTY
WJ4hngxHxy0/M/KMhyTzYmwLaY2FbM73g1oGUHA8umNqRgxo09im9Kiq71TjUNrLyjWSEro3sP68
M1+R54BVOVlZRjS+0r2n7Qs1OudSpNnRTJ1tbSF8IAvdkjJ/mTQS+tjuClLdFp4iDBdPdBaK3dD7
za3waWWeEDe2ehN99/OYWyBF0ju/C2h+S7pi39WFOie2LU8CZuPbGHQpJhksQUIVzdomafTDaYqn
pITsb+aZ95hHPIXeyHuMpkQS3cy64K+rNiIxPmjN1VZlbSe3majPmPPmy7SE7yPDfi6avDo21PNs
bDxAO8iPwTad8uijHeaJSVvafkxa5a7g8pAgHM3x4Emma0x9PiTJdILW1InHpPloIC5hYCef2uDM
63a2gN74mToGAUpQTuXB1J+wC9NKSJfReGMXdRzS+U4Dm+4VzxntMI9sqvJT1fgs9TjIvVUqiS3f
gs43dgGD9Jsitrela4kdDrn2gue9WleTo+2SzC63FDnHZy+jKLk1s2EfR1kKKVNm7l3jiOlAB5ax
nfwBDkuWOaG05QfyPOYRr3XETkpD3Qr8kGHutMaxVm21pUt++mSUTZ0BFDE2KXnnOhQqxU21ABzw
u9dq+lrB0P9w5zHEm9R9lnEQrXkiP6DwNtusrAK4hJRlw/jT/bDMctLquCrx5jXkypj15tVFTGYe
WrntbuRYNklIJ9q3qG/NtV0pZOqS/poVZQnTQ55nt+x7wz7VC+xIrtrqkWAFlRE8Ie4DIYuwANmI
zZFGPv0H4iUh+RkXzNDLek0IJ94YwPgxag6g74r8HrMpHPgOq8Qpijq0qsrMDjq/6g/Or/GeUgpC
+NXAQDhm2H5skbTDOAEV3+A6RMDxIu+tSSiy2hokJhGJ9HtPsCABDoyzG0P2xtdJeMWtQnoK9dEs
QivKzW1UQeQ3Hv0pGjIkvdFP6q/pUDL5JE9bBOWTNyV5bh8jx0/zE4bSoH6S88i7Btt00rSZ3mh2
yqusdQ1FtrowvBHX3QJxCphVMLOJmRf0UYb4Gc/Td+GK5JsksYIbtnPe+J76AxpptJ3NURyiGZzB
ihLZaa13fnocQCFdGsFXozTV7xafPAv/4JZH1C55ECBOxTgAU89h4hKLqfrWRrpxqdPJP7g4x/kE
c5i7wab2pBKMHk1LU71diI5uCaYWJ5ov4M4D5X5oy2Zpd0AD1Ri13OsyYfBsEVxZ1Ykc9nbR+8vd
YF6z6zPXtc0WhlN/uYrjNN+77RKoLhzzpFedfWx1TC2pA64LN9q0dty5tCht4vH0XNTPUzrar52R
U57QpejCK+wWQED1AqwW79yDJOZKJXo/v9OucxtnPm+rjtftcZJBvB4pKGRePSj9QqWCGWZ9161b
rFAQeylpGVZRLPxbn1UYQ/GEDSrrDPbI4BzK41Rm2VPsF3B+2XpyZurGm7lS8WNJEn3rL292VBJg
04Ke05dDwf2NFo2yXdUVNakuw4/DnHXNYxSVeg/Mji8dVOAccmqAH/oYw1vcGM1Lm7TGmyH85q2q
45eo9PSzbTIoXqlK1/aWKQQwx0AHnz/qJy8oxeMIJRfdIRKVdyHWZt9jY/v0VFswGFITIXct0bEb
Sp1lP1WxLXlDIhck/Fy8ZrrInv1MRjvfDHAmz4Nh7jgK9c95O9BkqWGRFUijp66MBYUEcbXN8DDW
66mt1Kp1e4c0coMsgczQYPxLHPlFsetjx685uBDriaGatwCkqqBIH1oCpiu9UTQhjNlgbjqfzK/p
qeBAQUR6SJTKzk4ypofSCrybwuHkQA6ei0nXvkCcV89JbEfOyjVcXpw1c9PQwbi85twqTK58SVNC
5uGGm2u1LgYR7XpzLB6AiQKXV1xXRNcxFTd6fIyu7aXsfMM0DTD4ZJERZhzLmD3SdLjRDac9E3OB
elHpznIHizcB0WG0jy6FD/NW9zj7bw2c5tamgIhlXRqDVQAJHF5WOCSY0yQEDFd90+ZKl3dGoGV7
FzYHP3DU5tee8Mz0pKSWsb5qPQfe/g78geWZwBM80xOrANe1PPGWtL6/ra8TPuvnuO9/l9RoJjYV
PzfwTiFmeM1TUZTTy1/m3Xc/PRj/VQ3lXZ1Wffd//pex+Kn+tGZwfMD5oRN+gwyFzcP5daDM1Fdm
hWXIm1jrnLUWmMnKQB7yphKsKnzX+MMsrd2YmUcrd7bMNbdOYmx8L7qIQSGt9xte6i7At50T5fjn
T+4Xa9bP54YvybDdBWL7K4W5NMaGbjpT3gjRArlnrxjt0/Gn9+gfsnz/pwfBaLbgxH86Dv8+UXcI
lHLoJU2e4kZZ/nO1Ykv4e/ufkeT/D0GekeGCVP/HI8mn79Nn99eR5O/f8Ye3yfrNAYiOIzAgq+kh
xvw5ktRdqGZLuTuhToLDJtf270NJy/2Nyjf+iRAiIHUzYJT4+1DSdH7zGUcSu0ST+emI+ncUGYjK
f/8EGZT24BwNPJO0KCY8czE//TX43FO61NQ1bcKN2b6OGvb6rpi/+vjZb6B4UaCjYcWZyjp/8KR/
6egJfnPHrHmEDfbY6G13HGYXudX31MWuB40hmOVGu3Ehnw9AiT8Hz6txDNRk920/4u7kOGbc3VWe
M1v3tp3mZkmHDvuKA+gToKaBzbntuSsAgTBCyVXNuC5HhrjAZ9DZNeoM5SfU5GDsS7KRUZ7ZW6Vi
cGVU2bRt81z4Vc/ay5CmMDizTi6LLx1Z/cZLdLvbAmQyxbG347TAgkD0Q9cZvM4Uy6dlpoyjV8/m
i40tnXJ2VRs15Rp2NPmsPt7sHIa0/r/snclu5MiWRL+IAOdhGyRjVIRmKZUbQkqlODjnwenk1/dh
9QN6ABqN3vf21assZSjovG7X7JijJwBIcq94SRYNLC6QBCG7iKLl5hOPr/+dQtjwotUcoHjGUMp1
xil/gJ77rFZcstHIjzAchGrMC97adTOWBNklKdBRwnn0sE1KvShkvDbF4kd+UxyrFN+uqnNYSmVt
jcdCUz4eCd/5WCQVnkwQ2TEf8ucUBg6/rKm4Eu5ojth23oqGkFQxzkzAVYAVbE7Jana4yt9haIDV
XHiVeb66NnYPRnea3oe0gjtbDg8W1nssXJJ7kkzdPyTXMVVPM8wjZwgxY4RCWadUiTclcaUtWB7O
vm9/pbgOYmbPiUvjNHAR1aoDptg3DdFyR/wEHqmXUXJm1gdq4p7kmr+5pfnTlPl4WYdm3kF0vK1Z
54VQHj9AQJyRYOujGHNAL7kVqbUyd8PSupe21Y19360PWVqRZzLFW0uEjy2g1oCSkH+pCnGvlbsm
D3NAD9iwZTOCidjJgGlL4MY/2NL+h810bxYWoD1JSVhKBVBozzK7Qyntr/44mzHqmX6i5S3f12p1
dvRlZuE6dP4XpULywOU1//KpwD6rflnitnO0pxR+Clvx9G9iJc29o43Pzpir5xqeE3I4IhBU0PxY
Cxq6plxHJWwWaBu1M2GjcOwT50K273sz2KeVQwQn04KDdOe/jSOqEybfJqJDjAbhdCLtmKj8q6HY
hVpfEmtpSnyMm+IQNQ1xHAwDG1VJwwumS0ifGiO2b6oXw6n1HfPXm1YmJ4xUtMQPbbdzRu3dgRjN
GK6Kc9Y5Qai1dv5j0ZL0e1q9sDBGPE8zJC96nbhEQNgWaORiurgUE1O8TjIqsvB+AR9xsQpJ6jWZ
7nl9pVFfSCBRS6W0oyn06WlhHPKeS1u0Dyxh0LHZueabccXdW03uxwl3niE0qNV9GYifhKNukEkj
eGOe64mdIFBTbvhsO2oqvpJ5RFXqCEwmUj6w1TNCKflapIEsjZ2v1PLdtRyqcQrr7zyNeX3EPrLM
hOP4aqlQW1xdhR0/reAyMo8/Rtcx0nJ1afeumqbsh9E44Fmbgw7Pht61842N+fAxOHxbzA2qu+4N
CWcrq4PqQKFfS0uSRnzJpAemE/PJWwr34BFc+yzUbNKqntIjY7FVttp1a9PsrJigNlXHKTXppr/+
UhAq3wCEqVtZaJ88Uu/mmoPgAj2Ly3E8j1pn3wrdFBF56OJSa/l3Mvh9lJtt/lb1BaFT+Cz51ewX
slHVtFrRirHygT7gVwq9BIU0OPrvWvSBsxEARvcseUfkr33CUqA9C3vwPk3KmaNUBNS6VkFf7KY0
4zGme82ME24N+6Vc9KubLA0WynGI0nEcbzCam5g/p95TeLwc+u2pFfDNHisiiPuEsG9MYAEHIV4d
Kg8B2C4DGVFUhV2yNeR0/urvFjJCj7O1fBD4do62rII/vTk8emojZA8CspHlj7/cf3p4dB2MoCVP
6A4+RYiGZe1Gox1/koZG7kIbtcsyORkXIJp/an3FrbthdBZ6gikQMjgP/OWGdC3uV02X1yWH+V8v
E9XktUK6HwDSSzYmMT1AmCQDW8H1N/0QPZxVkNEfqNvoOYPHazBxaq1UKOwCLBChTp/8aRQ2t4G5
h2tpzE+Tj+9NEDWPm602ib9bcOyUOmhLF5x6XRI2NRRqjhsQndkqmPStC3jaapla/EMRHQbs+gLf
hOuTFxhNfbGw1S6DaBi7U6CRyQKU+6M677XKPQQLAgl7fWix9S0EujR7IxXXCkGQLNNZE923FOu1
BB9FVx/pn3V2OjRxr743mUzuTMUvttaXYj9v9VMrA/hRc6ikQptmgVHXRKpSerLJsi87OCZkekkD
39Mr/HtdqbaqfUquMjH+NhshLk5LAMyAErGDVLDs2qUw7vgODNCv6MiahfiZ3DLYq3b9TVajxIgR
cJYVi5NcWfInJhcyjn5wal8YlmcMnmP/gMaRhJmkkGu2fbaFJQZaV08/GsP5Ie321x7zcl86DAxS
2e9VP2VhJQY6633+qLW3cWSRWP3pJ5ur9lBQA8khivxHO1jjlMVjYDbs0P7pDRMjHwN1YlOVwMGX
PF2cUvLdXxpeGKOFlow8LlM1YePwOdfdvPwya7rKqq21bMLFvS+kB+Yq0Oo9DbvVnWmYWI+X1Q6l
tXwNGWKipIN1N8M7QI0QlPYEnf82sBiA64lxlbfpZuvN2BnUfGAtP74cRfHBYy/G61a//tJ5Dv8u
icPnfkpOLsu8UCuD9HHCC/bgINR8YCx9dlyXdUuZ3myzGY4WzhJca1nBWnNI+KCzPLNfA0fMoXLc
HouiH9tr4po4rD0AooTXKALs6KTLWbIZYdqY306taida+D3vzNZo7qWxjkcQfd7RU47/exZsgydd
/SnaZLxfdQtSrpSZPBYQr6nOdiVrpELVm2mbeCJWa4LRMkAKhBTL7qZ66vzAeZoXHe2MU1NjxDBp
+XDwDP8MPYVL24NKlHH1dH2DDvbuoW0Nh0cGXivppCFY4WuwP4iW1HpuQROGHro81/Li10DM4KtO
u3M5Z6RGC7AhIeD9b5RX57l2c/MP9Y0k4FfbJcZIYkad2n+6EnORFfh8nEX90bdWxbaZ6Fdk03lK
ODyvMtPKQ1C7D3TRXmBGjh794Gajjoa2FnydXel9J6ADw8wcPErEnfwdB7xNLUvuRBSQlrGTW23Y
NijRUU/YkhIDq3nqLRti1sJHcVPC9AGGJGBzvZG8asRVHLczoTuaKrfOytToIaN6dFli/DLjlp/r
MPaudiD9k1SHDjvzO6eZeOcVN/0qYWg/AylKjnrh5SfdmZl4k849d1yT8fBqQ4JHELPMW2piw74g
E2yeg6w/B+QdGlK9M2DPvAzOZkejZ1YpQ+yUXbcRdbF6vOrsE8ZVje86+L9v8njy6A9NcKGBZby3
06x/bSwHboo3QLWILNrdRbVBQpiu1jcCuxXhQ8cZZopAOWFD7klTEK1Ba23w33aRMSi/UVyATJOB
87ee1JkNsvsrFVuHKrIjb1Z/sgMeRBxOu6V3gW/Y6ME31xLZB9UF2PIbb3ouodcYEY4I7VrWKv9I
4NLu+8SHAV2tqjyxMNQjsIapv7NtofmQXqiL1RMFP5b/61GxRz73VfA8V8zGQ91NX/VWPAuYl3X4
uKaX/p9q2n9aasdKVi/QRdl36J55QLURd0VDcHGpxixCVynDVltLiBZ96+znrRC3tJ2+j5w1qeiv
z0UsC2O6q+oVGKlZ1MfJU+kDUedkefK9om/u0djwxwWp0jtXkOsF3pp/k6wPoHHs8CSYoOoZN3Of
OLTwutl+bsbURYVnwGswmA3HIsiqYAefWK6XUtnAP4bCiCkqrnvsaRnnqPIpDkXHtY5j5jrvpp9X
U7TOaesde8Gz+IUzJ4l0rUjSu1xKeFp8hfsihvo4R5D1qZwXmseyPBv7hui71h4ngIdPqhu5Cxid
dljxYWDnWAgYzH176vlORtNo5XfEzvIwMSfvp+ob+49eCxvpLwcbeVBV+zKwtco/DEAAYWUH83Xk
eQRHC6Mjcgff/9v4bXp0p2oD3o0s7Lq8997WYtbj3OV0jgME/D2cjfVTZ7C+zAtFNCX348Zr9UPD
H3tezW58bPG5/MqUXT2x43DOa5vPoVnZbYTmhFfcyCoahQRNr42eMB1QpXFQAgtuj3/vZtsdtSL8
jK8DU2Q8KhWAUDIKErMALKuBvlhl9mM8ld5Ja2sZNVzcEWXzYN8L3fx0bGUfK9G3LE/QLsstNeIh
4R7yFDJw3zj+nZVXLr/eIZu/yDDLA52u95bKgm+97u8lPwlret1ETDWXI+tg0hPTlN4Ro/XVzgjs
Gd3M7fYkvZ24WwT3G76U5DWKHOgjunIclLzGE9IavyH9UkMXeNVRy8knaDNvknqGYYpdehxCSDQL
kGyqQZqEJXQdeNr9iGfpqZ0znNaivCrBRt5JawvJGVQI+mWW/W1b174mSZ5z0HbpEfotz+7AwT+x
XFpIv4YoyvSQilHy0pmXRwzkwU2qVJD+zt2jgNoWY6fkwGSffcY18OCzetwNmFIaiBO01np1gYSM
JZ/BrvNvQuv6kF4jERtlYuNKCKyPNDC8nTUPhBirPKs+tHb4oHsYbK/0D7ajCFQ1rfzWFS9WH2vk
aan6ks8P4OxOOtiWVJ1u7dUW6oOXupG7lp/AvbJY8tvambX6BZT3kqV+RMfZN87qX0Mht+/bpDcx
VTgCQ4xlxZh2schT6XQucqBWgqJpsuK6GzIzG3qo1aooWc/xzktt1d1REbtJ+IN3MOg0Cc3ezu/K
NBUP6A+6Hk22mvxYtrq8DSPzdsEGKeo2+Uf5Q3sicF6y/ILnwrpC/zvXXNGKsZDHyh6naNY6yBMj
dnDR9n/GTI1nqiUKdrLCO6NrRVm2tCe/dTtewJo4g3+Vj6vI0n2ad1/c1xjFljpfInstqhM7MImx
Fr72O/29ww6952pRcfLGKPVClL8LPSIel8y15rBTK4Mj5OqEQBuhjknro1pOvwOju7IytXagKt5q
nCEww22bcpLeD2fH8t8zZVQ7q+vrCO+0DCF3Oy9rA/PBWYV5qZfsLtdq4qx0f8BxeGb59WNxku7n
hemoTukXyhrzw8qM8mTJ2v4enLKP9LS3olar3pTnWz9tW2kryQQfXDyqB8O3aidwfy7s22XUWTyl
hRGNrZ/8loBkaZyRskegWOanjpAbiBl4CchO4zzjd7OXnOG/MrjjKHpbJyt4Qjd3KDOznAZjLVXa
BO+pS4OXzDPg6oK0HyyCec1TxVUnifhVtd6V+pX2nu0fg7UhtGZnroK4nGuyJYylXxpDPOEau5mG
6wO8bflHOHp/zNR8souGw8PPs3PQ6uK8OLxcDWv+k4h26g6CqpIYVwJ979B4I6dU55ViJB51440l
cR2WxshCyNy0wM3XsgRkzTzDldszwZSXU0psOkzC1P5wJLiql/OxaIh8yO438Zyz4gsfljkrKpFq
1yQYmHVKp4vpJT6zBx33syW8mCqm8tw6yH+UxZI7ZtSnfFeZYYJ1rU/lY1CQYAagHMFqd2KAPY+d
TQEswox3qulIZI83ZjhHoNliYtbuZ9N+zw0bWE+i4YIGERSmpVUfMr1N47ypjKMquJz1zjSc6jHV
US6gA+nC+W7nJHicNHL5lEABOG2W3yI1UM5GuhKgvua7YrS+Eghnz7OPCcJVy9xjLWnmv87gyWfO
PtpuXQfTo97RTdUhRulGAVtFs69lT/ojsvLcjHtdCMj09ZX2M8paVsumOjOfgwmqmMH2sdAzce54
PxrB2uxFvrSf7GiaD6KuFrk4bV3/YGXD/Q7KWftsWJHee3qpHQteeP2O2ICC4lz0d57giuQFfpFF
IK7PPbvz2KqW5Ys5i0crJQ5ISNK/bwC/Xdcxm/5oufuT9jTD7wIW2YQC/eARYyJIkhzHYtjm+vzq
K2d6MOG+rLceyyMLXa9qDqigW/PayI59XenkMZrc8OgEyzHrmHlNp+S6tLSzs+6xwXbejLx3ZOjw
MjjiH39ZUueVCcF57pK02afdMh55DpbY7QeDy5X/NuOPw8Ffm8+pXmIYzax73xiSzwqjVVjAAQ8N
zzSp9eCSrl1mk6HmrqyRVrtRZhdmiFHt8Tg1YV/k7nS2a84fMAdsKg9pMmNSm4OS5j60MGaayjV2
NZcbxrsZdxNwvaZ/63GUXbrOp/gH0GCg7yYdjW9piyRkn298uI0KrNvMlvlF8gfQO9ZNK30VY4k7
0UsQjRCosx08muFqTS3BPL49eGLaeTzMXZ3TDc3aKeKFFYB0mVImpgX2jmGOGyp73CYhTpmPSrje
b7vPqJETUzEeW/wBWxAK38Xg49UHcwh9BuyEenamdkR8YsXt4jnA2NeaGngwc0i/nYyq+KhOk1RF
aGrLE1BwwhEWDxqmQ0Vrqjdw8VYmr2hG0KqNpNX+zIzXMSuCx0VjrF9JU55b4QL+aSdSVrA9HlUq
zfeiYAKPgF1W3Ncd42HoGqoPKbrznwan533KWdY8lKsm3zXQNGcr69BlqjXwr/2ije+i1fQbGd/l
YLb0gXF5HaxHVuneU6AlXF96IwkumpaZX0uZi/M4+PLZNC3EUGVOPKVNzbG6qxyf3mkfps8GWy94
KGebNxYxEpAtVh/gwUDhH3mf4B0rL4VhAgoa3dnhN10BZxr7tCAQMjwQZ7HxUS6tGVvIUC/66qVn
oEYirMts+SnpF/tIjIFBbXVHn1yI0d+yIKCwKS3y7n1yN9OdxluX5AkvM75SEZedHNDWUBxabWbB
izR66al6PMlZH+OWzqi7FrIXxTWeod81azO/wlMfCeSqvIoy7FMhiKSE42TUHlvRtTdnmf1jlRlp
TIMflp1Bt3GvUt1Iw8E8Xv2ysn6h3tJn08zti858d9c33YwZlekfOdNDpdGypyUrJL5RCsYUuwz4
4kN1ncbgjyYNg2KTKmHd7IzEZ1bjGkgeDaswM4jO1qnJDP+hxjl1mhdHnl3Ng98OtjOC+Ae7n4kR
I+vYQ6gJpiuV6eKOBNQX2RMjlpRW7Qt/+Uzp6AtNbNIgJwpkRYM2hajrlzcNmDSxFYOaQpOST40v
+iGTxNtlv1CdyVYYdVbUtMkGsPUzSxmRa+jebnQaZll97T/y0qYtYczW49Ird+VFNkwPEBrRgY0A
H2XtbEt95WQ5BhleNrC9G2ImqxR3bMKj2WF9g8YKWWppsr0h/HUHpu5GmoT/XQcPhGX5fh5rdGAp
3oLBhMrGYe1odZwDF9gqQj+DGrdAkLLwmOcsjQaNnBC+gGZvGsI+znZ1sNPiafVbrgrAYsn96tAi
0/XeynLYfkX3DhuneIDueEw088hgNR7kasvfmmINYlLYvlUy7fWVCVl1Wn5owathS58+q6DoHuep
e5was1x2egPOZ2dsF8Gs1O7Bo+Cp183sxPrbvLOl9m1r3nRtzLrH3aDsXc4aDKEnsH+B+cf4XQE6
a/GN9eW/Cqn/P0nzvyRpTAImLHr/57X1Na/rv3yR/2t68N//rX+trn0Ywr5lQfW1oWm4/zk9GGxh
mo3G4bvkDQ3H5b/1H3katLaN4+Gw9Tad/4zlsNhqB8C8DYvNZMCf/H/J07Co/m+ra0LUrI1MrB+I
6YZuGv8tUGNlIqhGu9Yv2I6arJsg/blaRJMOPovRUPDkbYthbLFki6VMA2lJrn20/ipFkR5vCCK2
QKgGuv5gbvHas4r1nf5v237jIbZEROrrK/XN9BVYp0cMH1GDW8R4xZyD+3nm9bHPm8LZLGSad01n
/mGIETTAS1tk4riVVly8Qq3HSjmPZc+0x1GbLBd96HDU2a453skCvvirJZKJ/oK1W3U2r+48VTA5
rOm7WJce//GgQrqNcCUX7Z4AwhytAqOa1etWSIx9+sCNN2eKF1uFac7KHfa7FBO0e8Hv9pl0ISl+
i3UwylyZ5K9GBh0NG3kN9BW5zIX36gzfHuf3MyZxYgFgHA+mKr7LLsDR7+WwBPSO65yUpnkozPyF
u6t4cAsvKY78X6zr4iElbpmC/DiyneYptx0rHg3tUwmWJSis1XzqcUAjaARW3CHdKYAPuODXzOuc
eLW14cnQS+cKLULFxjhtREzcf0Cb1iB5Wyvfe8YkmLz0Ix0hJzDn1uZ1b53yUg42I77XJ8UvjGxZ
rIFxCRlqAGv0LZg7hPKzGzTlhamJz3Kq2OmZLjWCrPCX+TJOY+qHWkprOBn79amrUzvXD0la9UfQ
jYLZaYE5Os4Y+Oe1jjx/IZFhg4jf++TCj/hrzV8tKx+Gk0FbXwKqdWHopbOXH21N90sI4P5Uv6Y+
7hCdF5cNLjQmXU/m5YDBAQ33lKXbyqEqyCgZn+mw9im/OXaWdNEGcTUQbmVxeVudBD6jntSxS+fi
KZfrkw9HL4YJCkFDNHMR5g63OpsIaJi5mNj6iVlmx2Bk5bvBYdNQrokMmbLpo9K8F4EgCHH0lE79
1VnoLFqZYVGMbna3clEnmWCrKjl7ot7XKIGvjEiPykL76PnP7FNU3F0llw9Dn9e95+XJPpHLM9CN
4dT1WRavbgdStdL0U+vYYg9V30QkhtggBi6ZAwHOHTSn/GxPJQON3+QXrVzWk97xaJoYAl6Dxfxd
ExUKOyPlFrPdbHn5y30DZ3Q8O5YFHyGfv/qmL899jv+vcz30xrXSYwD4h0YLwsFupz30ZT4fbkt5
pdVh2mmBhrhTUHSCpASM5ZenaG4KEu4ebscrMrB74B66DQAjmJb0rnbYSgxcmw6U+D6PaOC77TrC
psZJQpsc2wM/fXEp4FX2G7eV3m3Lmv6CNF0iP7P4cHjYjh2vYeGB2KlT9iJN153qmfuJVT5xpb5b
jeQQAGMIC3N9gfVwADocnL2UfpAgP9U4HiJfpwuu4NNPQW34Epmw6w7+oq6FqdG84kz0x7TlyPiz
YiFO7Dcqb8BL0yoWGVX5t7R1eoXQ4KKizKZn1I0rzTpGGIzudqtxOARz/2q3FdG+im0ZyDWDJbRp
P+oTYzocy5rLn5z5brV04vD7cA/mABRFYwI7+n35Z/WY8ztTD86sy73z1OPFV4BVmF7H4kigjoZO
Lzce06x7lKAyNZ+/1NrUN+XbxWe5nWZiSnAVAozU8HaY9lNusnpo2jEL+YX1e9g1wYfXZb90DZ41
CaGfbOQCnnK5IPPXlZgufcwO9F7jSSLHM3CsP8IMhn63usEJ6z41Vf0j1lGu6bxXWDtoswfa0R3f
OVe4NksvwUVkjcWtQI+mdVeMBzy7zl5vuunmpE72BNonuPZKf1p7bYzsovoYUpPdYTDdL4oa7o5b
mSrgOq718DQgefIJbak7vdgXlrD48Rr7k6X3TVgZb4cuoQHSCHA1jC+QVqh0gQ/8jF56bf/RHo2x
ePW04tVJAy49mvwc1uCXm5onc2IR2BpTu69KdPfMnPfD3J/Q+Q5E7mgyKjAHmEbasU/o/9QOaofT
r8NRR0VrE0/wBRYN94uslBenm/UbGvUTHIw7tvdvrjBXUl6QaUBz7jhpY1cLfiOdE6SyCcxtZ2mr
+Q/+YLG8LdQTei2riFamXcgx6v8W1PD8KvErY12GR5FqMEZMT149djSyE2fPN8e9IzsTyn/h7zrZ
5h19Y00WiqX0D6Wa1lNGxzxAubPME3EYSx3lJdDAI0ltz8sMsTcJPG7adkDs3Z7sP1AQ0W3HRvNv
y6rbj1lFFINeze5aTlSML7NsYhYF2VcL/jykLPtO5RA56rl8NWw61ZKGS8jKi7UIghip/Vkuw63L
veqPVPWROpBfhSfgBvP3cRXzPGlWL7/IxToZPcEMO0t8k/4MZ70pxyYJ4CRdG01rZlyc3En3C7Sd
3TCl1kfSTO0Tw7UgOdSPZEl9wckkK6t+SDUJ2qPpycqPvNfYINTHpSHqbxhGu0cane5MYCdhzsbm
yESfs0rXXrnCba9n+vAa0Lea79xmFklvuOrqez1tpYrspcTwtlvWYnoiW+ufAlBZZ9AJr7YC40kc
RUNQr+qJRnhvtrjSlga+cOwCi6RErDRjWOF/Kk0+GJmX44ibxyc6mh7mWmNdIrTHasmme6Hyd3ax
NJkqtzl3q/vuD3b5AtTgbGrGGBv89SIToudvjlfuKIRaiAsZfYwRvgfnrZEwbmR2cEt4Yr4PLLDC
NxLmg/wI6JnEiUAsIJUzRq+AksJADv6POzlpNDlgW5zMKj9ZVi3P3ozfSUyE5IQD9sWvvDci/3mk
Ja4emh7srDrF/qRmfSDtUqIEWwq/uL09RPzCip2lLLHvUO95rvnx0n6gUbz4bnvxtegaykFQy3dr
wJ4RTNmtRO6Lls1m5BWtQVIy71mErGxyd63elxcWTYiAE9roCnjyCg3+OAq6VnBStPEETPcJMwJo
LFa506PWWf5xZdHyrq3BsRkX9SKBKO+3Pvg8DJBr7+px/O6E/4fTudx3VOJGU59Mr6hvFyxXwaEN
+iVy4MLE9CLwgsipraf5k30s8Kmapr3CvNWWRfWY6XQAegbI8OOw3FX2HByhCxO8zro/9Dsb4aTK
3HhoW0RKDshBxdZklWTbRkjg9HOlw94GkcHLa0Au77zAuqQuwkfJLPimz721hI1fsj7S7MV6rjLL
+KpLx/2CboPNZyVSQP16t9OMkoFh4jM3Aw7L1fEZjyt59qYVShqMotoyodg4JP9pfcDXgK2zjCom
D2JNucSNR3FlNWcX7IneHutf+gyjd+yNK4NWWNXyjVwwgZH5u0lcCLOtt0bV2Kp4IiZxoigE24By
gh0vyQO/tbNT4MEPctlGZYM0pezptxyJ1prrlmxo2WhRaU/Fe9Lx/hPNMWPDjWGJ/g8UpvJojaa9
y3C7nbHVx0lv3YqssF5zm1RkSacmGc+quRQj1ZfCC56XlfSv7PqnPpP2QTe+CEcyMBVJEyNFvhrI
OchdJBc024rAmbYRutfOl0Vy7t2ljr2uPLIpZB3Vq2G3oVK3yoc2zOnAYyXbcZwQz7J9tHZa1Gh9
ENnvORjvXAZ8cPV8xFXQvqqGTLmnY/Z08uoCImmJUHOriKtKwddDo6sy9VreiWVzopnsifI2++Cm
1p+ynl6bdnHuAYc+sqEnHkzkYq/m2g77doxae0H5bJ0enUbJfb9q5htkKcCeZVW9qpEkrWkiqNFb
wYbNYAUC1JiyVEfDSVI0zZ2o1teqa9W+GZjp8ibJv0VvRIby1sc151uuSne36P9sDfzk1TPKuy6j
nKVHpg2nrv5h+EX7yobYgP5E0xgqv7LlvcqGbL+WU/UKOXrTeiciizahNttm2DE739ktWlFeBaHE
3TKLah/oTndjif2FjyGNAgGtOJuFeuwWT9tTfGywe/GYeoil36MF32rSXzeT3F2FOIZjFGdDZuvL
zaSGTTPYZ6xuA24B3ylpa2++8y3wVtw3SkP7wAD4mbYYBpGW7rjmLnwY1J+U64mCKbzBmnYosx8N
WXhnkOS4M4aiPXaif6Cd5YLDi+Mx64h5yFzfty3XW2n2FkWB8mA2GyagKC6+YfECLSiCE/6r42UW
8ID1U3nTn2RKv5pG8P1prMdpvHpN8trIddxxnUp/a5opwwl01piva5ha3h1i6y+YM1EfBA3GZlaU
Zuq3N6xEWLhr3biz7faxmJnONLjxW7oJGypyon4TCY7fdNUeJhdFFxKLWrcEKU4ossgcDVD4s/3i
+8Op5xv8e+mzv5aY+Y4kOMgya1tRzIS3UNGd6qMEbdXEZHqrG68sLACqsUoGvKb3KOnp8ROO5niU
yNuwHVxxKHKce+y7ez1D8AOda85GHqqZdStJxe51njaiHS6lE1O1OAVeVh/soGbbseDgmPXJ3YMT
fll6/JtdE9wH/lQ80KRg/Dj5MF3WLHfPreX3R2QycZ6aZNk7s92/2Mh+kd+bYDD04ipqmwt+qt/j
YpehHJr0zlKehevPdK6Y9u24w/B+sBoiQgW2s730bG0/UmVG/RFVERZRZ1lbNjU2eHSqjqaSfBjT
CG0DS7Gl36f25IduW1gxAnxy7xqjS3cei5tqoknD9D69tOQTY6i91uD+IDkvJ6eXOChmeYOizlgx
ZFgwRPA70IkV4/W3WEZm1Eq2Ts0Y1K/RLPjjh2AGlMQly2UZbXLr329uFJQB9FSlij1W+PLE3HgC
WkH0HmDFnuPKAfSHjIjTp45LkR+KrL3nMuU/TYVmH7gKo7hYqviQBAKZpG1dXHlV8xaiPqO9LUNw
qQecBS1BAFidZAknQVuQ5PoBubi7eORBdy4I7iN1I5vZguCcGAedGh48tHRk/nQr9atB2dPZlP3C
YnszON3jDdnwUPT8GqEc7opAmJgAStx0lEDCQchHIkM+yyG7eMjNzZfYVNfU9d6o/hwOzNddqFq+
/gPgztrQD+mM3lHSfRlSe7TsJ4E5RPMnc0cr29+1aR/dZiTxBw+lX5JoTbeSFLYwhWnVYaVhjp7x
AplJiVxjDaGeKU5lkgjHrCkhjQgcKWjGZ9qJknBK8Ijq08gZ6Rg9dQryS3rFFynKk293D2psYCsM
C/WLXXfhiH5rE1nv7UnFXLX4JhuLF45yIFRv5DohkMkkBTwjo+BCY4sMRro1npZCO/nFFK+S7XrX
GTVOccjN753Nuh2+1ezDwqPqqTWfzCXFLpjKMRbuzM3Ln8O05zo4avpuJcM5oQjAhMjnc0ZUhkha
/VVDtXgsUjx3TLMHaPYE7JS1vvqG/UAWD4pXC8TfGvT9ODgeK6C+cEMGZS1ySw9raUI6o0qyv77R
3YYVvr/vfkJi2bfl57+xd27LcSPnln4idCATiQQQMTEXda5iscgiKVLkDYKSKJzPZzz9fGirxy3Z
7m3HxL6YiO0L2x0tscgiCsj/X2t9qxXkEVr3O+SKkjEXWXAR59ZN5m0qdGoRl5TlVv33siWen2Jm
wcUdbiuFlYJI/Dqhl5OlCht7h/JnVK+cXUAo0Be4a73FRXyPmpaAGe1qPa5LUzl3WdfLk8GZnjKt
gNAJ2eOGnCk9GU3Hkxy7AyY6/N/bvBmXJXqLbF8Rb8jETW3aax2T6F1cMd2OLU5w4pFFNnoWCAmx
mKruTCMRoMYGKgfGYVUfo7Ty713uajiNGlHjB7XDKnTZ4iMpPRlKZ80ucxtj2tVGguZsiZBVm2ZG
gOFSyS7axcoTFUYH3iPbL9k5dMZk0vjsKkA3S2PRmRKeho3F6r8lZrb/KC7v2UfzvxYh4CuHC+5z
Yfu/f/7H5m//HHwUm/f2/ad/2P4e/bp2H/X08NF0KX/1b4G75U/+u//y36sAFPBQCHb96038MU0j
WKk/Zch+/KU/FvEOe3OHhbtgde5gkuPr/agA9ATxMlu7LOOXG6WztGr+sYiX/Ct8qwCrtcM3seCo
fmTIiJctaTQXSYyCX9b48j9ZxKME/BwhU3woHcj/pukpx7Y4qfwcIYt0BP9HNOFprITDzqnEjWrH
E1cwxDtAGaNQG9XFHrhPfESr1gfyRozLtcdNgNuoOtRIgf7aLQBPz7Oj6PLoC/S+1jTHawd3Uu0F
1UnGNfHi+gVUPWV3fQk7njKglA9VL5se1ELmYnvzwV2sOvqniYYVnT57scZywmZkJl4202+SxwXN
dqlj1dtexGO4RkH1T03jsy1WmCq+ePHkfCXY3W9apMttgFc5hyK4+NYm16b5RgSDkmdPcj9uvEzf
DtQ/sArtHppUGjunEeS5IQGYTAlaRI9lHE9X2tTaSx3I7CEju8WZfSwMMJ3uGADPtE1spDouH1K7
7Pd8+QovdDEdgkFjpIUgfUNudz9GkrNxWETFzs5tvZZNiEe+xbtLsTS7hp1qHflCzwqPFKtOH4Uc
f98OvwXc6O6oJ/U2+WxZ9x2H7WNPW+kmFPI+1HOzsXPtbI0pAtFRGum95RjpxcqHB9tk4WOndK7h
7nTCrxrL9V45nFlrJ09uaPhON5Eeq4eeLQ9vexgFt3AL1GUIc4vvrZu7MxMQpNHi4pd19h25gVb6
RE27xo5cngJO8yC199UGhcgTQPhrbXDo0w3/Fdrzi6d41tacFtZlap9oTqOFLPLyx7gGG2iN3nhj
lc5wHyFQIFyHX3hahu/4oZBIgvEGthFzcEdqBcSpWtW6NK59MWaPac0JIU/S5iKx/a7bZfyg7P5a
p3F7MdhlMWVEzadknP0V99XxMkVNtilHmyOAzXdqjKxaCGsET7PrQF1MXe6a8I8LUC15HNdbE7vr
DUYE8zSZ3beUP38XcGC+Oj0i/2Yafe/BiezyygRPyR7iBfy2YJ4vakl7xCWR5AT/4H42uvzBlFzR
ju7as0wUrVI8QEoc4GSNJAh5HoqvgKTsaGu0bXhSS814qZK0YqfRq02VJMMe8kNASzURLctrTmao
b/u+qdhQUrDJuZXCczcmk2XlaU+si2twM5oIGp1vtGs9t88GkeKwQW+IUNZ950b1HmiDKv88DZx3
Q6u+M9r0WUy1t8EC+kB4Pd3mbvm1KR3nmMUFMPOQmlnZvGUOQOwkwgKFd1LekJxK1/nym5q+GQEP
mmIxic2d+YKvG4lo8vwDHnHjdqCAZEsJVbCJTfXKzbC5k5QX7Qywaus0CcCIVo16Rv4jsRA7DeSr
2lyhBfGxMk4OmX8cZhJ/t19tOydjDHcqeYyb09xGZxwxLCOox8ODeMl9JhNs/mzmVLYBBpZth6Gk
1X2Ix7UiS/8AcDu9lq4dHPuYt5l2XutIPcp4zcZ03uctAO/FerOfGQ9vVd2fptpC/pqUj6IomuE6
qPa5A12J5D6xqVMizPmAFY0azEd2c4owTyVqGd9P/mBltJ7Zl6x2vxRVYW+1nr2nGKwAJ2sSOGw/
/PvJcqM7O2zec1WC+6kggM8oSbrEWccawmzfmpof2aTieINEIG+CNIfhIm0uaRMrap/RhobBNr2f
uO2uwnHpBC7qgpaCfHqbOxbPvc/9ue+4BoFvTyCgcYCtcNFVj1VNqtHUKIpunt0VWai8Ve8BNrgP
bF8cLRy9zZ5dPnv91O7NVQPU+FgmUDuhDLTppihz76GNne9lAQAskKPYDaGbQqVxBQ5xAw/MqtR5
xrFW4ScfIa90Nv6eMtLGjlPXTJC0zXYT8Us+4jk8rLF7DukREeow9Xl7ykC6dzxbjOprYsREaEKq
s0xQ8oMEMFHTTLaKmawOrAvj+TyqWl9HHtiPFtsdbCycYwlmtb39ucFkdgpnGh9W7WzZX1qufkx1
XcX6iRYSR60GXToPVboIG74w6xMFEe6pmvxlWItz9qtVe0SXCO7CtEsfXSNm/Gbx6uzDxOfC9eYh
fC1d1Wx7qbKD4MzzTruQyYzm1jH2malV58CiRGblqNKhzWcg4dOX7EQHa9khWOOMf4db+3f877Ad
SHvjde+b5n4aZWVuHD1BX5lFXpKqsjtrXKlx7kgtWNV7VZvRK8/kgEEj624ba87u/N72vptj2GGC
oVz2wcAj/mLQFnrJTOfoQLj4gDarif54drSKQotdRGeTMg08SBl20R+pq8/WDeeHaTNhWeSY6/Mu
QnoK3eeOs+WZhE36zYhNdlkZKYRmpVl5X/1K6WeeIwT1mMJ2HYxMA3qQU/prkYgwONbROH5NwGIo
bkaUjXpJ3t+PDsI8jRyhcR/FuilX0srq13jyk4uVlkHAVdwqrM9eNh9J6iXfVFslWM7zRxr2CGRG
dNwcIR5mG5GEfFjLoq3u5spComkGIoIr2UCk207SM29LashebSx1Hz7ZlDdXqX6XG7FXr4zAY6s5
VoQUahH397nN/WZl0VH8ldVPczfV+ORWluE2pDQm+i4cYyjfSGagFNEA2B1LgWS1oeWgIkboZPEL
e2hF7rSw2odYEUpeGaPFGqot0yOfuQhGizRLcrXYvPH0ht7WcmrzlcC7r7a0NSTjBqeWve9SFT34
eHf3kBCddd51OcxztLc9t2c0GJvYAWwk6ZwxClYnEbZ400nMstnumg2ZQL1y0nJej27NRoJNGIOJ
bLc2cVe1Ek15FV3Tspq0vTM6FRYGxy+Y01iJYylgo7bK0rx+TWqM4qsoYOZjpmmKz8kky5xoJegS
IMXV/KE5QN36JvhCS7IpDkLvE3uX7L0ImmJnIVelsIYd1KYJActYD17CHdEeJ/MYOaZz683Keevt
Oj2UYTkFNEzYM+l0a7K+OBgE8PEK69lrwxCFIbNwIxFUIqVeyOIQuCP/N6GQ3T3EVkh2JvGrfrEt
ivfe60lG5Hb5Fii/vdpeC0sxHiWhtpkD5DYwh45ryWyW+jNHfPMqWWH7I3ABoLmI/c8R1S2fphm5
dWfl4XjTNd0EmARVncwWUk/mWMkxDpJ7c+6iz1XuXIIJ51aYsRJysQy4GCjzqfWuqvXMS+eoYBN4
tNLDYSrlnU45G7oI5fuKkAM73LpXXzxnJiRODVLwnKuJsZiNDJKYwAmDe63B5+ARAcDwL+ftIGf/
KOO0388KS95M+dquM83uLBh+dUf9KFb6DuNtp6kcoGopXPVNTne0butPAVjbL1pBq+8L00KDUwC6
1mzSu9tQjnRccsyi2M63YQJFGCEV/bEKOcX04PVBL8GHAz2eW4s13BZwByk3GNMnvK8h5Y+2wXzg
d+e6HMnlioT9eUKyah2YnBEz5mEXn3azy+sKHTrykF9zGSSfG6Kn9QrwKBi5MCL4uEVS1luwmvNN
YojyNGglzvyE6VmqKPrqz1G7y6K2PWRl1e8Cz8qPVRpQrpHML+U0DtiLpKjfA6ty7q2qgq5oRvXx
v2X+vY2+1kVTfG9/nnh/n2L/Pg7/fzQlQ1lZ3Fv/ekp+LDqapNbvNRiI/CfT2o+/+mNWdtzfcAKb
jtYa/pGWsFt+jMqu9ZtlU4UG48ShbWr5N3/QVuzfJOVTtistS6ufLGsWaHxmZxujlBYY2sC3/LEq
+EEnYsvwt9XBP6EV2d4vjjXGeMZ1RnG+psZuZv7iWOsimeRYxovD2DtiwLvDFb9mg+TtQxC/O51L
jNk5GZurR8d6D+GYI+mgESf7FNgcYnonnmI/sl4YkaZ7GsHzR9C+/hvA+fEeH9JQHpxhtg9MCNR8
e7xHN5EByhAXTzGuhzHRGLWMEc8yLYuedXZTI7wkokBrIVJonbq5Ag9ZYTdm+4tBisKOTsM4g/CK
jpLBBkCpmNQuMRp1FzI/3/OoVEiKI4lcszKsU+1PS4Ba2ySpDCvEBkoYlRm9mPStNGq/ZNzyrWOX
WdZpmF3OzmNk5mg4Vf9qZnxTG/AE7QevIqiFR44Ra7/LG7qpygp8saPTCcwV5XGjT7ErVq8WY1tk
DPYhwrPibK3ZzL5H/MIPtm+P9zq3gZyIOfK/zdquqlVCH91LCZOVr8t39qJKu3nJBzN58Ji57oFp
hMBo/fypbNzirm1Ygd2MFXM6KwxJdMwPHXdhLacMq6aokLtmaJ9X1nPTtmLCBOIv4KetTAum60rF
o4NINZdvInDdez8tBuJbc22KDe4FoIoehOyd48ITtWfnOJZZecfq2Lu3GzLYZ/Zw9gGMTMmNteK5
qqNqD+huOIedJ3djCK4Y1xenVSEq92oorhYKibI1HS32IRMwhxmExJNfULQdYUA4GWlEt3vnFBx9
q954nBVt1dqJxUk11MhUadIpDO7Sbg6zkeFvAabA8yqqvkDCr15rHL8vJSBQi9NqxRICS0zzTRiZ
u6UJrtXYMSbvOpYQ3aZJeY+SxR2mMRBvRG1q1Du7t96kPzbolKlhS1A4xvCOIumusYWBoigtuKEw
RYKTGsnsHXyHwYy07SSnfeR3xln6Rj9g3iALbZmji4zcWN4CHLUTGyFpKLsHh+bBBE716N1zNhbW
StQgsHMxqduQ9qQhWFsp3jyUrxiw+lqLerb2AQcICsGMOB7KCaBrmtSHCVSu+1r1BUJH6w0V1ifq
E/n9GDA4Mc121RKJBH1GyGWW2KgLLEGnVpedeUyraopeiNV6eNX4z+I9lOZnxw+MR5IaxIAS/9bJ
sv4m6tvmJayyi+9ZwRk5MvK+UmsZ4yXnAFso4xRw3MZ6SHLxk22Z0Y7wCxHGuZ3RlqdkZ2r+sbWQ
VqoZDm3UElwx4GLfUmlcbZuSY2MniC2kPP9wKEiBzMY19Kw16veBj7eBHcLy90VdzzUHeCsr16Yr
gBLHsiJ0M7I8aH+PeeR8D4fJjEAc9J3sNhMp1RsDf+ex6EDQTV7+UMzuuY0b/xjDZKCBrhhPQ4RM
4NCbsFUcu1g4jHtA1cY3vHfbihqjNc/k/ejSmDRFUqymsnUuzTQ+tjMZLzxwe7eN7WdRQxjHRNGt
5qkr7sg5POCzI0QPLXxlNB59DwoPRZ+yRiBqCNmD5u4mtnOYjWXzwVLvYs7Sf63qZKA0p0oJ9vfu
XdwDhybMCtIlbXC3dL61qwrK6YeIYi/geJeocqc9zoB2HUKL3U1MIKvR4G+JZErWUV0X5QYD/2uB
9LTov3cYP0AxJD7C4gI5tug5r/y83sXaMG/r2h/uGHpcNLrii8fddo+A4G4j0Jg76hTjNVVGzXpR
rg5zAUE57XvjFGeRYPMzgRd1grcikpBWBF1diTPlG+l1KBJtUb8McTUczCxoP8Vd3XJhDMY+qMfv
SBHpnjDGtG3rQTz1NNO+YY1hc/V7JaaOFYBUxlbz2OliSKjgUzZw2KjckWYxInZT0IPLDkyo69Oj
CxbUuXaEx+k94tEUZ020b22VcVXo2UGRq3IKrpOllNytovbBaypGtMrmI2tnPtQ9PDMoxtUXbFzE
Imb8QZ9Bl2Y70fVYKCPp7rKm9fbF3JevxOjMFzggxrbtF0o3vuVL7sriBtRhfciszL3C0MlvaWg0
7ho3eHaCKjMJu1UQkptZX4BzC8zRY5uIkz3GwdlLMhcyfL6QTtoIZ3ciAXmsODjPGzUAtbDbBaYk
hXWxfB9dJwsZm8lcR3vUNXfvlE6CnBOAZCiDjrRUZzy3pdm8cMXl2Ey7ARCoVS9FZsV1nFvzYsWU
qritOuou5TJQw84cZbMeRagOkoo3jtI0QtSIVh9Wo7KPLqsznB70f6+JwA6o0UpPp9zhib2Op4rU
OlbhT0XY9Q+hl7jfCGUEW2gn7rny5Zvhdd/huAeftdQ4b2A7YoS1P+XKNki+NwnZDtKmveA+N0+V
D89e7Ucq7n3dYSmq7P1cYH+ZfWhkVjR9nljDbdoUKqrj1O9VBtayt0hhhmOyrYUsPwIf9FoSG8WG
Ns740MsuL7DKUO84a1/cp42ut0kzJNdc6EsetPk5m+tum7USQowM+qW5LKyHctuIbGbqWY7qWfOt
i8MnZPJF2lhDb7BI7ll9enAwcWxoAZLVCgWqPSX2Evy1sDq0ClMJLhI6H3M/epdJ8mRIXWysoTLf
QokjG6iU81GL+qHrxXefPZlbYzv0DOcV/py5qew2IpFvOidvosC6NJc0q1W9FsGM8d7rTkMOYh4I
cbnt8wpsddBbh3icMjLA5dGeCGTHWnyKhinBRVn5QL5o9hKgR/YStw9iYLyv+7Q8Fe34qOawWRZY
7Np6qsTCeP7Wcv5ct1ZXPJK477G9zbzXfmZNm3ThptsoxOwom2w3dgW5NcP96gfys4AX9WpWtnUH
kDTF7WZfK9FyXdlfM0lgOJo7eunDqLyBGlDcdJX8cLJhzbngG9QYhNWOb2ktKJg/uKWPYM0WkQwW
Lrje1SH9EIPzIIwpYAc0xDuT0+MdwWL/vqZmANLaBv15T+HGJZywquNo4xIVbkDuaaQ1T8TiYsFv
HUkNPviskvYlmUaKlMgjPHRhVwDdoWqg1/x0QUGYc3TPRtXoTaPn5zaO9sthE3H5DngK7PPBu5Fl
gbsiOFSStvHQMKmmaO7mFHNsiEJDymAVl9lbnXr0pzXj00Awi43KXYvhmdMaWQYNgwzg0QhApaON
uKe7c4r5mAOVR/OxrcjGwUO85ZzHrnvWWZVjp8c7PTnQYg3MSPeyRvz4n8Hv3+FrSiWtvxz87sLo
p8afH3/hD2nU/M0GgkZ7j+nYHOusvzf+uOo3F6SNQBS1/ig/+0MaFb8xiKErkVbgHshf+7s06v7G
p8QURJik5q+jtf4y4P3VwCd+obMqx/OEK22bXiOWnHhaf1ZG/cEI+jC3bWYgs/Q3Mp6ThzAt/ZPN
wnBtTYweHqmjHRof8Lhh9E/wMcpXrzHHTzYSyqvScfOCANm8kJuV2z+N0P9kHv0Fnrt8d9Lkx+cb
lJbWS2Lsz+hPr3NrXwye4qyminc7VON9ZYb5knjgoV9F6bRnXYiVoWR++JvS/y9nYUv+0gW3ZMvY
4StmcXpKtLKW7+5P4FHatPBCdhGopMD/nFUQUToW6h7Y77pYNo+2c2Z/npNdmrRzMyqP6FJcR2/j
nM/fnA4rI4D+yToFKc7ghCcrHvGa9py6KvTVCV1Wogw6NmiIrD2LkuoVZZZYcLGPrnBUMFeqvsnu
QjmZ5doRcFhMl0M7phfH2XQdi35QQaGBkNbyGO1jLV/ROBY4IEnumeHwxmnUvGVj0T2EPPl3SKr5
MilYbkLmHK/S2vPDmGeoMl+MujaweTtPHcMfuLC5omfU0WWOS5HhyGAMYtotoNpNRubDwZmhlc9t
xyPaGXrUFZ/UB4F1nK4w2T5za8rs5dQrzvYA113XU/vi4odamnnSwVyZIhwRBDDgH1yI6mgqqd6P
FBCBgINrvsITUD14nRFfzQa/3CYOKsqaClNviNeYNcGV0dsOnVVHu94a2X2Tv9cPo+8Ck/CrSkOK
U2H7JLoixE/hDB1dFSwTNznAs4cxoqtjLawBDDtPQHOXicSnksJvEzA4ti4F4JZgXmyKNTIFiHU5
8Fj1UGKgX/NrRQQ72KTNDJYS3HoH2/7sgELdhrbO79mgjLsmqOQyq8AyVUvObhWYKEdQU+tdTaj0
HpUUXBBkoW9VKPtdwtTktT23d4ZDjMBO9jDLqQcTWHTxiZ6meOParfMeAtE6kCCaYdmU7WGK6oLW
XNmyDWFwmvS66mmiXQN2bpapRNz4hjuePJqVnokus38cQtImqWOHH6h5/Z3ATA2rP3eyD+moxRaJ
nrACxsCKBJY5HUzglGxrpR1iEBs+e49hgCx0wR2GpZ0eHorpHkkXRCNseycvesqq/Cpg8eznQC3L
NgEQE/qRu2rreI/TdPiWJH22ZDtYHIdLUVVv3jaVV0fvdH+lZAbyXsm7pqn909zN1jE1rRigL3qe
d55sWbwTF2s71PBuJOMuKqP9mlMdwFmX6iuCDy3NpNsWk5+x5Sw83faTyCcCgk5LLLs35uhxgmVK
3w3Zjm5t+DlrqCKvM+ifXRiUS4YEsZO8g01T+WSDcgiGxDzMqGg8Cjgb1uEA6LWi//e9KZwlWzGl
XOqjWRynpEkeBI9hboYhPz8TRn4Xz51zkR3rkbWBtIMre/nZppByl9qfWbJVIO04IfaqeWkjRh24
UD3fPeXO84FZdD5EZNhfG98uXodeeg1Zqh4JPBz4IG8bswMaC7eu+2LiBTQx09e2efFQZjvmu7J4
r5uUimtsE/Pu91s5Tee8T2iMctvGLvfRxGj7C+aN+TltLCMq1slgEeDcjz5uPo6ySonp3QacapYn
F7cu/5MEnqe4jiYRwAooBOSdz8jkacQBxLDz925qQchiO21uipoRp6Jeo9+wpyiM3dC1ZDWVUZNX
c2V6N+VhT9J/mRlXDQu7axcF8k4VBR+siMKNu9pOSQzmgS7sDenG/jhy1pIrk7R3ds7I1sfcEtE4
QDsiL+eCwnEigjX+Q1RQv9vkTe28GX2OH5c3J/HWaYAbfVO4mkKuLpxctvCVM0BkpH0o1NTZbFwd
Fyufgz3KwCi3CSUOXxrRfrLGQR97z4vtvWDhcgUHaaUbgwwIrUShW6EzuRFxdFnQbq8A2DEx4gYN
rd5HKmbSOXNGrZ9kQv5k5YSd/dXuc81BFofbjsF2G8vCmEHR2ONZpZRm+iGc344iAjTdCq/vWLml
vXXHGveGkbZHT0pYBlxAxhO1KtwFZsLtG8XYXsDozxy5Jju7ENQKidVzahHM9/lgTdz9eh3XC12F
ssrAVrvR54bfZFbz8j8Hx3/n4Chg+P3lwfH2Pco//gxm//E3fpwcNR44S9NuYMnFP2d7fwezO+I3
0zUdVqtiOQESU/9DKVA48QCDSBcgC7OsNP9+cFTWb8gErPc5PHqmWpDt/8HB8ddzI2lgzzL5OnRF
etBdfjk3Tp5Fcn0y5gPKImBye7qlnOevD3//+BKu0DYnMG8573KK/uX4NXSpEUhvPvS+xZ3UXRYF
K1fzlv5fleafHDH/q1dZ/v2fDnm1741QMHgVJ39rjLdi/Gjt9f/bS/zSKUxiWfFg5CW6+eqYVzhZ
1fzlr19i+RJ/aplQwPk9BgztKVKvcN5/eQk9phL+JT7+QeEx7KHsriMadrOs2nNqzvZ//Wr/8J79
/mq/UxI4HGs0p5/eM3CpI6QRh/1zEVCT3vBfUeaM2zQo081//lJCIqosxkVbLRUEf/71mI0uRyw3
/GAQgJ7GWHHSZHF7a7Y4wf76pRYT6K/vIT7RRUMDAoGN9eeXog7HnGjqqA95nXfnJG2XWp0YUsg4
j6sqGLN9QYHQf3pt8Fayp2MR7MKjwIX184viMxXSwMp3mPCIrSiJAcVcg4rl2PZfDTRLT8KvP5+U
esnxg8qgSPbnl0oodZ/L0mAlOYVED1KfMhWjcuNjIs1xhYeyui8nFpHYZ8LbLh3H/+L9Xa6Kf3h9
cB0UR7jLremXq2YKVBmaSdAc3MwYt+SOFXH24dNf/xJ/nRiXDwKTHPgO2idMx5E//5CjII/YerI+
tG0l9g6nXQjpjuVfUmlSqTxJBiWce9sCw9nur1/6n10/zOS2NDlOe+J3E/Kf7iSerUaBj6A+gHaf
tqVlt5iYDIwsjmEubscAj98Usjv865cVprVcJD+/s5xpFD8sSwYlGON//qGb1CjjgHzeAfxO/bVw
NJZW0GXUAgzcdWw/SQnzQkowU4KJRBK63dhY/AriUeynsR/2UVnXzzJkhYnHqIk3detccd/19oaj
2XD2gMoBwqyp+W4JyAnMdo8Rrk/Ezgz0/ZSQn3RiJ75pdO/gZCvfMrcEPus227QQ/aHDvWrje8Dw
6AEKSwwnvE1LtrtJhTCgmWFudN3Fx9BMnRvyfvrVyByOz6E9hbdotvomDdJpPZOq34aG3d+0AUa7
VTJiz8ML0507HFOfcEakm7AMibo71VctM+fkRwBNXYNBvIGVt1eyOUPQaz+N+aSug9+JvdE56bag
7PeogGiu0k6oHW2QFQU9pQBnl2Tb2AIRwk2of7Ccli+SuO2ZZMW0RUmS8LBx8sH8tHgUkraANN2F
Vz/uh69em03Xfra6Zq1hXZGii3m9aAZOqf3PYYntd0On4/xJD9q2NsMsPup6RL2Apdh+h5yP9RtE
ZvvMUEz96qhbde17ky+0vMGYDG6pZJAwLlrkMA3tEBSX3yLB+la7AjeRbX07d8o131+y9hgeIbfE
xiUO1EfbkGQcpnYBuIyf1Cw/PBxyr6O0WWF2RkQ7/Uj321TxltQhH6R8UB8zAo63CodqPsQVd4w4
Lfkl2D7+W9BwtLWNfB+oyckp8+zmOVoufcKdzk3GluK2zAYfdaUW+w50+XWgD+AIPbXfeDXsm4G6
qz1H1Dlh+qY+3UNs4pQ7mfF6Tt3gZE9KHmaheQE5M+RWMRC5zE0OsR33j0kxd48tq+H1XHs0sAKs
AGcTTGAOUz85EU5QzBtFt+Xkru5cIMKIfDQjbrK6lBuUeOfSDsDyj7HU9Lin1HDhj4vQz4ktiwdF
CPc6BbSjxMTPx9WyIL4jOhTvwyAw90LV/hekNTh2ozT8i6TLgwVJ6MC7VCJnZ+D76m4KKfEjZqTX
GAbVCV9dda7Q+B+QFPqj9kp97xuWsW/K0Lp3RBacB2VTXVYRWXXCZuGc9+ahCystwZcA2etIPo/r
hCLZL+2I584D+N1i2+uMfTGF7ncVJ+53PMvtujGa4aZmr/AlxG+xDbqKThH6fsytgYhFCsFb3g/f
TPRGzCNUnYZ3sunHdMs8bB5EI6YDgpRccKzqyRwTZN3JxfxgGbbYu05e7wkNDp9d6fdviIPh1cwq
89BHMtUbQls0ptFOakFTEe5XAV74VNGIeMHeObzXNEWT6Qu8u5EmvqfUa+kdZmBh/K2whgwymO4t
lLpdUNbuPeNb/j6F9nDF+jHejzBXLmNT6bMYnWnZItg3SQn7UlTAFsup1Y8l3uNNO09M0oPhQmA0
JS9QieXmlUp8cvWMdL2aTT9xVjkwy03kWgQY/cH8ruCcZKswLUJMxH2MHKybA05FlnlG1uy5NOzN
yPaSsGUJs7wYgmzTlFFD2CFU286En5gOeo6JRFTh0ywzH0Ren/I1bT8Ec+I51L06+Qz7sg+epCjm
05RM1Y3NImed2j7KT6xzauDsLPaOLJGpFY1jvcFZ5x1tatTB940QI6jp2NdhEsEp1tTwrdG4YLp4
kPXMqa6PRm0CECBqO+380De2sBn9eisp9FvjN+V9GAsOOBI03X3OIeDLULUtt7E+uaYA/OjTNKd1
y13gDTfrvKWM2zmQR+g/HDOfd6Ro7RuZi3w/FBGaMZ5h6J1JIb4wajbTKvUi/3vjdenz1JAx8GD7
Qn3lj8tc2+TtCYNNY7A0HdjOcDeAjUMinYDEuEkxbbmGWT0D998orCLEH5eXxKvCslc37KdxXbAO
sdLW/JKQmHyhbJ7cmh3yR1VtGQRt9XSLmTgmixIAiM1H/zVWYfHcR1m2b70u30PD8LfRDBM5Nsxs
jRLnrVmmJCdddO+uZ7VH19Fusgo6GiVdn00Qj3fig1PdX7wW9MwqJwiOzuhFtzgR+lthLNCASQDR
h/ADos8tBYFE6AZUqLh9doobMQKQp4Gzg84yzyCpSr5hE0zfgcZK/SjGxvzcwjW8RnQHAC3J3Ght
l27OeUazryHjz8tGyeCfxhmrj6ghwRROZTzhOR+GZRXVbl1rFmfWU/WxS63wmyf400ka68es1vaN
LwpvH2iKG2WFAMCn33D3DKIwLjAIPQ+gHPZ5XulHr9J0wKjaW7ttm+/pWYnW9fKwY7PLrid2xvtB
0/Vnid5bFx4uKJBP471FmuBdZDCZ85ILXPsqOcGHitaOqdptpsz8I+YZfpSN2QA/R0rjQgrucXoE
d23cecQMsJVqhTAZ1WW+d2tLf26ZRQl4089LlirnKN5QqbrHbzPet21C1J5ulI8+941PsMX89dyy
/9y4hv7xe0roh/o+mXyzo7IQuFUpLnaUGk+Bn3CTYQl9otS72xo2OP28a7C4FT0JDrOzX6xuUi/A
j9ULdOLpwpNK70gsGpuJ6t8NBUThwSEhdDsHRv2AJTbfIsFlW/yi4+X3d721M0D5jeveUSy0M3NI
+17dxDc0HAsMJ2GB3Xmm8IILcfd/2DuPJbm1a9v+ikJ9MGA2sIGGXiMtMrMsK8uQHUQVDbz3+Po3
wGMumZWqEtV7L25DCklHJBJuY+215hxzMHNSKUugRtksHErHxlgXJawLmtEYkzyUZ/tWH5NrDz3t
TksDVB4/nuXJ1qZbRxFAc2hOHCY7HK5knXnrNJE+7LmGPr1pZvG1WoKxRmtvPTkenavGU4mAsUM+
htjSuP1TOV1CmZwYSNboWHvHILF1jAOWQE37GCjhSxWPwxWLwrjTSYi/ltU0EcdpAucf62J8wBtk
4hub+ghqxlhvpBYjDnPwDrexjK7xNCmb1tBj4FqpeYjIS7vRYKIgFyqG61LWfLqRVDdbidLFQI6W
yniFtnUOR9DQj/Nt6nZILrDgERdRXPYNEbLLjP7zsc2HbNOy4FADZbI+aEJvrksfqUDVWh1IrWS6
RDVY7Evvh9WXwTHZR5lyBDKeV0s7BSEOxgMBXceyAbOUV7MxcWQDBIByY3dze7zosm2jZcmD2vI4
pcVEWe2E2ovqi/FSpGWNTKNXX0ZicKCph7kBXqSGCVLzYsKR1vfT0E+3VSzl3urFuLabsSIUXu+K
hTF2RQnvwqIn2nTzWAtp4XSrgqwihNRI8hldaQ1HWEI+CBD6gxdto0TLWUF3ExnaPP+ZSs+lkyq2
oWpMu8j2LIi74XY+o2vJ1HtJRktwheQQiUcbpncooKs1LqtsPRWBglImB5FnmODNxmzmrulZeWd0
BkGecagcfK+7aYtRwjSij9xHyjeb/IONJrInowUxk2BouOA04lWi5qycpl9XG9uu+jVxLvoWPH4H
Y8xrDqSQVu0yKVW5pkIM9sVEcnmDapR0KJrQtZV+kZnypZ7Ma8QoxkYf+nSu28qdHWDmg5dzhKwO
JNAGDcRqhWla6ZaaimjR99jeITx5UoBUL5vIwBIdInhY2T02i9iompVqN8oOubxYJ7LgfLPChCDS
EmzGip1dDgUJnBkxK3HnQ7QLEwQ4TL/aLfGqwWe/7Uw3HrQET1ZLMi0Z8/ldIaCULxJfRe+R6sEh
iKziJsvi4knxISnxVQfFpRTtl6KT1h3ibzGsEhhCO4wm014PHYB2oM9cJYgxnpKqIW6EXU03kW9V
dwUxv+suxZGxHIZZfDNZ1noAK4hOIkAEQULoBm4V3Tg1Cfd+pI1gNxrMotWUHghONdwpTkynWvW5
jwh3Y+PXjg919kJ5r30a2I5fkgDQqMtKN/PbroyQ6+t52994E9lAzYiWKlIQhDR2y6uYpgjlZ4Iu
aU4Vd3E1eOaLCAQQkS6YxmsBFew2M5t804Zj9cmqqK8WqIn0q9F2mk9xEsg9YbXZozdKwgrLrDUe
1PkLaWkpnvfADtwhy9pDENpoItFaPWaNYbpDU/b7xPS7A7Hl8ZdGzLKIAFb4AnW2d9PJIv2a1lIF
cqmJ55pcLAi5XiH3WqyLCwSgdFcUNtgMtTJIC2Et2jUEZnFvMABbx55JGEwITuMqV8ZvcSftJz2X
GQylCSuozwDFrJMIlD2TV2q8iU9hQKg8cXsD+SBjxUoWJRGBQR12VEuq3F6+tvuRXQU+CWNiTGFj
KC6mVR2mR5SuT0PW0NBilYfKC7A6c0ipirXisTIiEsmshO4FYu2yBefjwNxzrPSYx2l+0UyJvkOp
Rym19tPRIxyJQAu7xSNZ90rqsl2ylG9jk7Twyitzp7WW/UAa2+wTbu0tuxiYkSRf3CeG0lzwUcRa
B6HgedCM/D4q4/KpaDHUgms2R40pTBnG2y5Hr7yIscOwmWqyW2FoMNJroq4/x5VFpm1b9bDQ9Pab
39s9o09buxgcOzsYVLZfsoLkh5H578pS4qspn9OpmDYxEyfNZdlzqy7iDi/ewimLhtAn27+KKIYW
EWOQem3bZnkJWBCjUxXpcCXl1wbb3KLlmwYwW+okGZPMtndy1DSxSpNB+EnwMFQ1MSYjEV8aY77b
ujDyF9pgn0VU958FCs6p1WuxkRa6GiXrtW1UTqzshWLgOZwdcDBvZlVlWeE0TuAAeZhjrKBVN1NH
LJ7JE+8qdi62QWAhBoitkcWlauWOJBr2ppHuv4C1w7zDSrgwDcXfMJ6WR7Y6fE8wx3yeo6lXhe88
ko3SH1SQEVv+FoIthrK5E6H4KhOb5BOaWi8+bEycyb0NK9MYo0sHN94WYy1XLLdtMvmiWQPocFEM
Tz7KLhDHsMsRdbYhL2wFmATUYrccIW9uTNxWDdL3G/YgDyzI8TWRZtaesTljpr6x4LBm3nPuxIyi
KkDbIL+iK5Ap+JSAF8IBq6huhxp9Iqyz7GOGDpYKF8Zamja7xh7TWy9UrBuJ3W1loUu40oLO+K75
GfJI5MvrihHf3ssAsqHkCC4SpNF3ooicOXZh8pT2U5Qp6NiZQaYst2us9GD2m0G99bzWcpO+aJd5
E+dbBuTJXcOKO2N/irXjdOq2Stqj3yK5HaRq7Q0/H7dNX30OnEy6EURNUsmaAS+fVNBmOt0FpZzc
A6PGZuSXMfVvnn1vwXjCW2qKF6OMGL3aDW48osWD+CVnhK8etKL1DsgZSPdRwp6HrdaPJIcM4IOg
IDhXYYKVfpnDWhwWBvpbc1MSzMnWLKicq2yskmOWov9KzRFjRYiKuKCFdbT0GvQvwHh1olSpSqPa
q1P/RZrsGsAFpUuKKjZJZYfogtTsHUJsbc12wlUY7u15/1EhpNZD6lMbCy/3XarCZEW740uth+0q
V0ccARHf17HvXSaQz5ItyICp1KxUyEMJKR2SNpHS2toX4ST9QeRgcq3SmPMiSODxPc3tgAp/J9rE
vDFVRb+tB+d7SdjSg8+rd6/rsgpWZp2jG3CqwVvhrJTwlcx8qzpDu9bDMltZjQ/jC9DtO0HTr7ug
tH6FygeaFjfaqFnO81P/1aiJ8CXIEb9iGSV7Le3uLYd9v2+xu3VQZ/wXnXuDYYsqUE3Z2o/Y4p8O
51elqpEqyOHqxjxiptuyAxiwb0n1nXGLNptufu3vcmaooARluI1D6MSU40zTn01ta2r7L/WPJv3o
tV8H1O1obBLtkr6SurXsSX0mHo4dJfL1/6J7bzi2BZ/FQCf2anogjYakLLVy8T+IWxNZzWXh0yd9
u5l9brLELZx72CqDzx+d7p8uqsAi3YqUGcyPcQgAOfqReLkXmoiKd+7fuXGEwHAzs8ANRozzT/np
UPHQZt3IMN7tkdqv9D7/bNn557dP571jnEx3MPXpQMN4Rki1uJyA6wk7vX37EGcfDp4/jZvD4yFf
PRxOZPeV3lRuwQfs0m9VfU+eK93yrg+fAoVRC9F4ILYqeq0gSdQdeID3RjuvXz2cYiZ9VN4/h/3L
yQBCEIhhKLlTur6GdqbJG0KetLjEZhuVu7hwstXbJ/36unI8ssWRB5q6Jk/fPTjKqj0WRumm2cAq
ZY3I6TT5znry+lk0mKFju6O/M7NtTkZJjq81UwWnAlS7P5OVkOYSm3UhIxqab5/OmSNxErYpBR6+
2f3366PoIHCbxtHOXZY2fAlKfcD/fCyq6OHt45y5TZoUuqpxr1i5ZuDOz4+8VaSx4VQydwnpXVfJ
s2KDMYyzZVh6+7eP9COU/dclC+nqT4c6GTayUbWQhnGotnPo3mUC33sPFnsxOF27Lrtsuh8xZGxN
mqDVqhS0+NSq9D6hhsVHMWHbjhgBAXBmL52SVwJ+XEzx3rSjYt/AYd1BK5suvYRiUJSkOLc+LWOK
q2ad6E1EvFeXDFd93tLGGhHpLNlroxLCQPHOiQr0uydrM6NMmvsqL4BmmKdTv2Smlzuk5LpTHTSP
DjCHK43gl9GywucU5de+TdDIV4n3qRpin1glmF5wN3aWla5DxOhLrYQiq7f3qUd11CCizPIUn7Z9
OSG+WpBqj0MKQRZqV2AMXhXhKPJ7DF9Vp8u9EintchC5cBlw9aumsXX46XG0Yh8vL2KBliEiWhCd
aR4QrgjiUZKAIzhDh6ulKxSPpKu9SK/P3vlonXnWdDydKDj4ZvHdP3nWvLSDol+NXJdIqS86zTF2
3PWBeDayBGfsdu++/ci9nvxippJCEAaB7AUc1a8Pd5kL+MJFmrvO7GOh6ZKuS78CImoUzRZZaHOB
O0o9itDx/5DG/1ul8JnXl7G2alkY08BCn76+FTZ4JWgtQi3DcXwiBV37jEpLO5qaFX377ZNkystq
xIaHf53O0BmOUHSObeamXUVrtNPo5NMOrldKlFU7q45hFtVM2RAJ63Tu3j74mfOkrjIsBmJIJBg2
/3qFJWHu7D2zzK093FZlnx19NIqgecbqt8sAMS9SmkRhJB3TPFkQ2QjWfq5Fiavb9uM4Zv1Kt7H0
VYlh/PZjSrmBYAphFDIM1To5p4KYxdbvWvi0WguTyaL7YkTXfW9aG3afX3/3AgoVajb1DcgzZron
j6iPwTETCTBcZuuGqxTjHFQ+0titCfOo37mGr19ADkZpQ2lgMtU6/XyVDIgDq005M0UcA0N5LCf7
azQYR7+33qlB5nf518WeQ6HPsTg11nzz5LxS8nrGTGEaaxQJbI9s7eRmAosDQOeUdeAAoQ2/fSXP
H9GhFHVmAdwMnPv5S6aIQgLM4Yil1u1jp3jOR+1oVHGJnhPpd9DqF28f8PWzL1QKb+JtqTo44skT
adbsOxqg9K7StnvYaS6hutehpb5zmNeFzXwYNDIGhFIu5vzPfypKO1sdQlgqsdspunJUZCZ2sOCV
9dsn83qp5ChwWWeiAPYK++Shh2I+AAHTCIAx2Nay3VsmUftdZtZtVDZM1ewJS0P+ziqpv/5SclQW
DomZGKTf6avmpVPjoH+JXcccaYUlgLSXWUG4OzlyynrKmGTVQE71hZILmGdANIkBQbe9bYbS3yUM
kwi3lMdpNGdjQByDDS0oDuayoIQTfkAbY907em+5flOb7/z6szfGdubNj2Y74vTGMJcMEtqbMFsg
x62j0Yn2ykCz4+0bc/YpQ1cpHc0h3uH0nU1FyWfEzxMXxwLArbxz1Vg72rJ5r2o588KajkVtyzpE
5sTJA2BKAiKLMmMhGgqDabYX7AZLHTZvn825FQhECXpEm0051+7Xh3mKVH3wWyVGQVAjccYRw2S8
bdZ1nbx0kfj9Kpo9IzJRPhlYLol++vVwNtp5TAW8omPsfZ2vXRVat2nlPb59VudeHkKdLIkkl43B
6WM81DE01pyXJwlN+yYeNfrsnvmVjmu+qXzT/tInRbRDxVK/86k6t+ahiBXU1UgGX2166J+ogSG6
2PWRxzeZ8jxF/qaIHgpCX1iu3znauQeebQ/0TcHO8pVaMOEcpVXUsUtuZrxNLVPe9nqkrN6+mNq5
Z4SLKHU+RwYy55N11Wn1gXiEMnbttlcfcGnmGwXF8cKLsNLSoJf9PWZNso/zprsuxyyGmy2NbWAj
7JpGgh5NPypWWum166S3Gcq2bfTe7lY7e+VxyM1vpgGZ5eR1qbxaNfs05WszCHqFTfmsNU6+RFpS
g3SyH1viVJayCOhkZsQKxH1X74gK+Rww1p0I9NoXoOh3dJGchTUqc9go5/H2hTxzHRlsUYJKQKdz
ffjrw59IfkM4UG7jPv9aTBreejhauZcwxB6f3z7WmcsBwIYXG1ceStnTMkbXRhUmTUNp72lfVRoO
pDSpz/UImFs6WbRGM9y8U2Gceek0jbY9FQ1frFcldlclgOH8nNOLzCcgnspSZ3RPM7OaFoY+lvdl
1ZcrRrKd+/vnSnKJM3ekKBBPV0qhOGiO7Dp32atdlVZfIc9NsKSRfhnE/gMUE/+d0ubcneTS0gbQ
wemylP16J3lX+qYWZe4qKlk1MGYYTZJZdtuXTuqmFhvpt8/wzDeHE6SGMviwUSyevIHgVwQOVy7t
0PlIuEXVr9QyJ7oXWdx/cyhHdQzclCqiu5MPQiFF2KSQEl3NybMbXD0gfGRjHcJW095Zvs49owYv
1OxDmCXP+q9XsUMXk010BlyQQMc2yL+ZZnlMoOxCditvCTxrfntzxAKG6UI3NV2nQjy5bRqpwble
T5k76bD2Vdl/rNpqVdAHeOdAZxZmtMUq8WF0nrFxzPfzpxKxmHpkIACH3MQ3sZkNW3sqj+88EgZ/
x0lB/8sxTp4JR4lA1QuOgapXWwAfK/a1WZsf9dbyFl6CPTMEJ7cw+4qoDyvy7/O+InKeeOMtlt2Y
5l+LJCoLGfcQ0UbkHWmqZCskbmgQiToJEdzqAAXBxXXeJ69Qs21ao9Bgd0s6FrhEYDk2am11GG7g
wyPYA46ifZycFMVFptXxJk9reKFd6TlsoAb/OkpUqsM8DBdZHFbXASzgLViDcZfAmbvqjCC97IgQ
IifaOYZ5XC+5wjG5VPRNFwFqIReFEiFN/VQAcQ1MFINxf5ELEmhmNszm7ct77tnkKy41nhODOcXJ
s2mVddmMFs8mWsHncmiebfIEhKFsgOms4Wzm/8VrR81NsUf7HmX8yfHMYMxKwx8zF3/k3HO6gsi8
I7v1neL1tb9A0CsFUUZtMpvWTw4jhjgwqsHJXJSkt0URzsZJ+0sZ3zOJumQqTWKf/tmvsne2TMb5
49Kl5YqyuT4tyJwiLdOiN+mJ5OP0FAwqLqFKKLeo3cH8MjhnjwPaxVs3cVeukgylENRiFvJS73Ym
Ul8z6pWdobbgWgnrJIjd6Hngii3GD8ZYTvQCeJKN+oAeKJYTsSqNZtF7IaLH17w7mMf10p5MwF1N
JEALTuSuR/wekCTFN4Tf2k1kw90tQPpscHTxv6dAnYK6idZSkfpDaZjv3YpzazoYOU06+BG4IfMl
+2mNCNXaTLO4y1y1eSaaZA6HUbexRgjJ20/yubXop+OcFka4UNMkd0gAs81EXWb0G5YpyYpvH+Tc
B9Ey5A+8HfaAU0SBWmJiLcFzugydIJBiy2Uz/pjH8D+CenzHdHb2YPQr2bM4uNtONxFWxWKUATNB
hGOl7ESnbSeKDTIwBJVN+M7lO7cQWLT9+Vpg2XtV/CbjaEB/buY8k+pWr6W11LzxEVzJtybEvBVY
71zJV7QHG9a+ZJfEBhYvlTyd00x1kXB9qdOiIQmweugabMqq3xEFLla5oQSuKMpmORSO8TFUvcAd
fZTNsJXIYvSBBjiE7d1LfAFotD0fJNXbd/rcY8t9Nmgj0b/Fx/PrYwtdolZw2aduXxbfDMd/wBl/
lxgMk/+L4xAFgdod99qr4qDulDEoEOW47EQLujnNczYq/Spvq3c+pOfKVppTuNfU+d/kyXto9A4y
bgRYboNwPKjRufXZbZWb+8jWrpO8PKaJ806j4twD/NMhTwvWaCLYLzfV1FX6Yeu3+TdHJChcrX2V
d+/sOYxzzy87UoZklI/shU/2RU1vi2IaZMoyo4+fm6D43pPktiRnzoYPFvlLpVDCZcqKvA5JH9r6
ijbLsyqUPyTjPYIeDB69cuYM68iWsbZgNgia6s6fHNKHsgRWkFfbm0H29oNtsmouLDAWC2Cq8B7j
ubWZ69/VXkfTTlDkUKikm7RXeBKLdUPJF9pdD23ZCNdtOup3BcpLPva6+c7TdO4qOLNTlxYHz+3p
ABZmQV1niJTdqSDCoZk0YiHEo1mYB3qmOPqJy3r78T13i2d7Bo5BSbP19LIXkeaPJcWQG5aOgjim
rYA/sftdGUQpe3joEaa+fcQzp8h3fXYbOxhxXu0uHWu0gWEZiRs7vlgHFaTMLKBCG6O8foxgC7ro
kF7ePuYPvcZJEYr2Ruei8oqytT15unwFVJ1lJ6lrpZOzDPrWuhOB1i0zqDQHQoWSh0JPCZwSSLZ+
6JTtAMh/2k7NukFLtFX6HsnsOz/qTBMTVQJdn3nVlq/2vv5gTmQR8UbXk4eezSD3EFWasam9ak5q
tEgos0zkU2aydvwqWI7MZJBfC2319g8xzqyVsy8cOQZZLAza9F/XSnjkvpU2YYpvOTIYjczi5tBI
plsElpl54HbJXRMhScRnQdxuQhMZCiZzVMDI3U1v9OpmHD31KRAU3nozqU+Uxdk26HmksE3EG5Q9
5hZd7rcRRSZLdrcG9ROsEQyKVUVMshtYpYRS30owYwc9j4272MiGa15bnChwpKfHwG6dfaLKT2o7
xu9szM+dPxMwPOhyntCfNo5ot0VJ3RicfxIPdwH+XHcAEvIYgoPevH2tzx0K9SVaA9zofDbmKuin
aoqhU1mm82fJycmEKkp7tvQMRbx3gsR/fPtYP+7b6VM/d38Ndq98Bk+3/5liJW2fhmwOOhMkTcPA
GMfHJLStV+TdKiN3+6DlqnfTDHp/BYHGv9UbuKUCgvy2yNT/Bvj8n9Gcjzni0/T/F+Dz7G7/6dbN
uUt/5inNwU7/+ueKhLoq/NL8I//+jyUEpfQlpI327QcZYvf1X//848//BX2G5aASc0qLD1UTfX0e
sT+pz1J+YFlFSEpr64QCZtgf8CM6cIlozaDWsPgQ/BWQZH8gVoHpF4os9lw6/+g3YA6vHjr4ZECf
jVm5YxoWnYVfn3AIObEWjIOKpJ0oSP974ivXwwgiFaJzRnlPkMa+Vr2147VPWqwsIqN+Zz1zTkul
+ScYzCIMtFh0NbST/klOw7ywyVt082pUrzzxNJL0XHfxmiQQP9YRhTfIoJ2C+AeRIM3H1LWlwM3W
vf5JQL6fglVWKP6lOgey5vamceJFIbWrMqBlIcxuoZGappDEulCLLzQl+D8hH4bOS35aVOvr+T+O
pBiIcLyvp3wbAjyulfVoOq4gZiEACG9dlGqXob1UgTIRv1Ibxkolimc0MhqBiDx4JliE7EVKvhJY
uYNP2OsijKZb0dQwX2ekKlEYphnZILuMGl3HhVDa2yTI2jWxlSiynebWcj5pzMNqXz5PNb8gjTBr
Wui7LQIOSwdxfLBu82TVEVwBTezjoHhHqKozwTIlA7n4DHhZ3YZJe+PX8hBp2cuEfKmJyMCz+mRr
4add9FilF6QyfkkHAmXjCHzWqPZfUOmsfKutL0AtmosE6lhh1RwMz11sXPspFd2PV2YOPSPV7OaP
de0PHt3f1PeT//p//oNl4z9bf/5foskz22UJ+JtT8mp1OX7Lsm91/e3bz0sK7+X8p/4iC2ofePUl
X39hzOLFvwLX1A+8x2yXWWbQlPHvf8NhSFWzbBokNjN6EPTQ5/9nPREfMM9ZyCABbTBfYZP9G+uJ
kK8aiDPKQnNQcRiWyiJ18jZLEoWUgB7IjkSWWiu25BqB7ZibW72+aFLgzWTCSr2/YONA0lJdjiut
HoytBNXqlqkgNdz0eJ5h4WtXNWErR6inMTYcFW8PvkVz2VfGOvWt4SkdhrJcjSghnh0/0/Cjqcmy
dUxY4QHFqvTk1zYrml1n1P4WrhmKdKCi7LSZMSOsbRGRqyrMeEPki8kZ6g1RhOkyyWyyy6Ixf2JH
bD9nVZ3uyPaZNmpobdoaAB8EEnwmUehf40uz3WwMk6MO6IksIvz7PmMJK38KtLbc6lDH9nXHwHvl
s5K/eDazogVueagQaeX7lyx5zX0cNfYFYmz1Y4uec5Ul8rZrNedSjYxyZaPp/pwQB7xwQOOSvt12
qxjZHnMytdpW0svcPhTLmDzr27zI5a6Cc7fBacFqBUr2OpPO3s/ilZkP8Y0CI5nsEzwT2tjbUFvq
HFteCY4MjuO6L4W6xAYoSKYb6l1bT4rrKRP8dUx7+6RGZx/rJbnWCphbsnLzy9IKZLAmapRwV2ru
oxZiqmK4IS+wYZlbfJbpRqfLxd9aT7dFRyqYDBU4ta1+tIZ0+DLGrbWue6iFKCzq2ykG8tqPVrKx
cPPhrhzGjyKM5EsLE7Ug8UlNw3oLMDFCXYijjM+k99DZxM5FkWd9talex0uswdGlb6YwHexiJikM
Tbq206RbhYFtuyB/q01pASIfVU1f24y6CIhiVawICXuxq6z/7kOK30xqNtjwv3F08t6IWzH2dXIx
RsV90GrRvT0wXVPQxRiYHU31UiGS+GArcHZzHFKYdJ2gWKOTJjZI9+xVAEd+j30vu8Yvm18mvXYf
DAqp3IohSkageXw75CV5LIARrvW0cg6iJL5uUSQChAalbSrdVkFmtqnqmPQFpxVxvJzaOfsUPmeU
6bhhpqEyNoEo7KUOeRdvb65jCCI8apnh++MrI1oy1nG6piujnzp9FZW+XNUawLZBn9IbAG5INGjx
BG2G6cbSn/OklN5Fibc8OBRa8gixQ35Mc3OLa1hTdnXYCk/fJg0Uabno6Ac6XyYxluHa98bpeiLE
4KZudTv94mQG2GIBEyHDUnFvFoNxU7HHALacgJ4UXh2tyezE05Rkzr7PpT4HMtXJiJ7RKj4Wg5JG
/TIcO98thIyrez3pBfFBJvYEwg4JCczlPqtNu1aYSUa6es1CyXVPu2LaeFZEHsM69z310xSUGHtU
CoarcpSpfEQxq5fVusbudJsNTut9jebsdDOcmNkScBVoQhFrFfIxT64ZL2wnbQmwrgRsjaFLSJ1Q
idB6kYpHbJqN4DonXiohBjq3WwxzXVtBV5vxwuISTIDzkI6F+RxD9+JJUaHo7Wh8qPgiyx4XfiMF
egKjiTE3Dx2BGSNoxVWn4BBcNGQ3OOvMjDnklPiVBXdDRfvkT0QPxnVCtrJKHBxoCsERm9jzkgUm
edzHqR9GxqIjnTC/lphNc/avbRkYzSFOelNdIZlQYOUM0l/DebSuh84aNqYgnEJVk47UX5NrvLRo
UR5pNuiHylLIto7zqiQmPHX6bcQo7pKsJSTfIXtHQebjyoyTOZa+NeS21fRgm8nO3uZBFd9kenKB
Bwp/SKWZ+cUQmMHBKwoJBq8RwBlwefBSdWFRrtqspamCj2hvS1gTCrFQvKsR65dvhWvmwsxOVAmf
g/gnxs+M4bSl0ZvKwlKy7ArMXv7RxnJ51SDG/wSUD2qLbjgH5vfGIilJao8H4W+bCvY4W602UReM
o8Yv5Vi+8I2qrmiBW5teesoyBH9oL3S1VGlSad5mUCP73sT+cyuE4vFxyJJd4sv6Om9sZZOQSbvv
MtX7QsyReTN6Ghway9+xdHooOEP1KZZauCLY1/7UaeWQkzyqFzBNyuEgJzldgoyysR0NRH31YwQi
3IAQX9LIE/6wARgtFkOjEg2Ml0sDxtkZAmmSN91YwEzWQexs6yQr7ieZE+tm4V3Vqmza4iZiWBFp
pGlMNYbZHsDF9Qybg/sz6PYhRBu0ZoMKM7IyCFvj+HeDg0Fc14g38XUvuCG2CqPnFMQQGhx/a3EC
G7Qi2B61XgQsjZN4Ytdc8S0k/Om5s7E/aBLADaEMhIOSTreOCdN0rbo0HkkbLda6Q4h3odX+Jgqh
l1ck713Fal8+EA1ZXpIVUN0w4XIuyEzKqPWz6AK8OyJUI+iu4tycliawETeZOqS3IrwYRUBrMW/Z
SZADzF9SW1QC6YTB187VZZ4a6lU9BGmzDHnzb0w4BltmKdUzNJNlWVvxiqi65raqTXYKIrWtXQrL
/Ta2gumgRXH+0mMWWxRDqq7jMVchF/mPXgUKGJ+hSvEgcT0po7EmTqeyFxiFcHp66lpUfnFphqEK
vLEOk/nrX64GBXcbYk1AmgOISUVvEcO3tV/XCwFUzZkHgtBYLGdZAvfDu23TEch8vVmW6axGxptl
aWhLee/tyWBC0lZds8q90HzWBwDhRJFH0GHpGPF1A38JJqQjkEMSIBghi04WfkqQ37G2xiL8Q7bx
v/X9cSzoATx/pRHzVyPgl0odpzfF9b+v7++b5+DMH/iztNdUB1ajOgu8f0y95o7Tn+W9pokPjDgZ
+yP3mR0/tGr/goYTBfU3D/KvPoH8gDEB2SpaanMWFJq/U9f/GLX91Jyi44zcR8Xkw4pHY/a06UbA
ZxjkI1BdJ5uUKV7afTGOGxDAfNBSYeziATjQsvP94lCbgtydcQyJBQYIMpZZ5VZlnx+Y5g03Uds6
ayJDho/BOJo3KW8+JVSeDABfsfL2aguGIUXt4vUfFTkOWUlJ39EHvQ+8wUkLt03BmVp+D8p2hjwp
104qcEnmTNLQvWMwy+3vRiHHsHWha6lDt/Nlq4XezpODEu0daZfdXdFxke+UjDpjDcJDF2s/Iof5
wLUUxjXZesNS5bAsepiXeU103nmmXmPzsUoFied9El55aRpsS6lPxnLmeuHr1GH9NLlBSpuWr5Kp
VV76IA2PdiSqclmkQUSNZ141Q1XuJnICNkHutc8OWW2AgVMq3zCuwqVF2b+EP0IPfOkMk9SzPYg3
hvf+AmkCSNq+R/5w0MGaMc+OgPdcBX7cKbuhz/txFceKP94piBMndaX6MUpBTxSmLrd6SBGy7TyV
poarqVg653WIyXg8fLQSAuMuC0IP2f1gTtX1tNv9747/P6HB8sTNbMd/vyLQ40C39pz9vCr8+Yf+
2vDrH2jzs0PnLWaSgA7x71XBUT9gZdRADDrA6k3Sf/9nVbA/oOtiwSBMAPkcgt+/N/2CDgKh6AYt
bQY7zBJ+a3E4VUmCm6V5Ry/ConEt0HdxoJ/b5OWggGdIau2QFaJrSpYBqOBuZXbh1gvUjHF6Hoyw
C6I5nuo+HNC2DwWD2IppIMUwiLBM19iOofwEKxdZE7YS7BIiOvh6Sd6R42VUtIDNmbT8dKX/7EL9
A0PxDYPqpv7XP+df9tOypgPqxcQ7z+5sevyvXKd2zZvMmLY6YI8cPpJ2rCyB1oMb76R6BWmCD+fb
B6QP8+qQ9EaYxZsmLWHu5slMQQkTQEtt7h8sy7nIGwnBJekQ51FEC79UISMqvJ6VStQCwr9yWLai
k8J1rLbzNqYP84KVLJxhUB2+nAUrTztt9YaV1s5CaazzrB0IvhbaMdHxMW6Fl+UHrOL4hfwwY+sI
8J69Q1mVRPiYeGFJBOgzrrVidcPHZCpteDuT+QybKq8XEZt7pDCB1/lrmg1RuurJTtYx1Cm1vbS4
I8SDNnXbbpjgj5ejFerHSjN4CHojMYG8peF2REuJWamBukSmcQwKyg9Hf83EeI6/m3+5GogEL2Dg
60dNA5S4CGXNuUF8KD8ptKdvfOKi5k1qaA+gBPXik971fG+sXC+Da6o5ftGP4L1xIlzgvipnRMei
VHTtqJM6XjOkQnR5xfoplY0lR6t40g36vvuGOu9Z+nUyQWjHbf9xon1yxMOoD4+FrQ3KZ0NvuHJh
jYUPiHY+5LuqsIm26zCITlAhFA6dFB3/lBAqfh18tCyF9EfDeKFADAhuPNLGrEUOFSoADmRw/jgv
zeeoJxy4HS3n4Y8totMD01+x6b9FTMNfrdIa89fhKLgLlmia+inoM7aEghBB+hlM3Vo2qVDbF6GS
lD0C+6ac7kY2g3yHZ/PsgWF68n/ZO6/luJEtXT8ROoCEvzzlSFaV6EWJukFQogTvfT79+RLs3lss
6pCn53piR/T0tEMBSGSu9a/fRHupXok7k0ro4+XB+8MK4+DXnBDErnUaZSXquU9RiC0RcWkR7o4T
Hy/jTRxLaqwQYe03Mx9h5hvcZANJ1d2UgyAxLXDDTWbXBjZB4zTfO50god72MbzME8yZMHbry6cw
6exP8xw6Dxq5kpfjUGXXOG6FT2K0SD3S6PbWMaE9TwWH2JfK1JOJ6CGWbDQSeTiMQ+etowQO9jrH
0XHei8mxpy0exP6DBp+uuxGx1JyNPbgsG0wxeLxjnDvNld5NNtNZO9QK2AQ97kE49lheJM1NwooU
P8Z84t3FZmWNv+Zk7qtH/jRPfkHXmm7jnNY6cZhorgn3tZ9aUZAZEJW+cT8L9eazVKudlUbCj0MS
t8zyLc1W9ciT4eNysYuUZ2lVjsGu1bWq/YqH/3TLLIgPQZMuDzgW8FDOUuxBDrYgphGIoG3OwyEp
0x196nSNeL0+77HUmY4m5pNEcpQ9V3HQeEp0B63mbyci4PM1ACbRAj1+YociSkVzn0qpaQ8a3vE1
KGujNWRs+/ySbDbZfmUOuvU5tvQ8vQ2GpDmfMNKvCRsyzQs5MBNeyTnnWTY4q8XrSSfyACpcyIOo
9Lw5DzIvm3YWuwq2TVQ/RCqphZxSW007bO/4jp1BfRRdY/FfmUaTPbSwSnEf9wQerj3Di5yvU+b1
4iohCLpee6GRlj9cczSw4PeSkHFJzjW1NEwmvNXCJvnWGM0YEs/Rh92zGXhd+qVhhzDA9gJpN0S7
FwXDlynUAEhcRliYHKawUFaUx8m+rV3eOQEsxmVC/zl98fqgTn/abiEI6gKtCrFJ04n0uMo5f2S9
Ej2+SxdBAW4FRlM6Ol2eMMkfpNTGplSDAfstnkAM4jj0LgsG1V/toQ+UhdudC5V6XBt52X+ey1nb
4k0YbVgY7drsw+jCzPxgQ3JbTJEVw1GBETVjtevm9jlWnY5inia1Fn8JI6tvd9RtDohHWc0BUVwV
4fSVpz+0diXWZq5/08BIVl2ByDidC0zPonHyzvE7Cr9nbeD+nEK8ngsa/yv8PY5Ay/W8TbNmusEs
I/xmm0OxzTmkSFVpzVuPGMBvhhWB1xaUhmiwCHHRO7e59kNM5twqxf0Mk9bsU1yF2WeREGbl6223
k1qHE8UwQenFlW075GN1NWQyP9oWcm/GYNkN23r1LfH76G6wsuvR1Seyxmrcd4BZppWelMXZEJfx
Xdg62Wf0EkABTVcURxRhxiZLa7nPND/dAcKCKiA+xaHNddn2BrO859CpvhZ2XkWbRBJ048V6+SVy
HPVoMUnBNd4mmc9BJHFZOZO5CuMhxyPMbX+BZDabrLeIuVNyGmxpxSWGZa61iXSbWd80Uw5s2kYM
h7rNyzMvq2dE85lZXigntV1oGzdJUFZnKoV+g+lL9TVJm2rklBqciwLIZ9jOudtf1p0V3PnAmGda
K1MceCBKod6WHjQMx7nUoq4+sGHP5/AP54tRIwVGdum4ndsGAzMw23Xdz8k5OT7O/RAP8hlQLjkw
O5aHpmj8j3zXT8axlERQKxRrDTt0VECnxdych6R4N521b3AgHVZYWHPEsGzZ54oJJ9OVyi0w11o+
8Oc6oaTT+fsl0gnliB+AkoX/GeyGmJ+cTpBqIBoPh2EsLjsi6NMiQO0xmpyCBIdA+tEJigvYZj64
qiq7XleCCIFheaBXwwoendXrGtYKJKOM0fb35GdUjzF6BVq2TlDkvH93zOfeXIf5Fqo4yk2BXOb1
dYaoZMzqhwFDFVXiuHrDoVFM1aM9BexY//5i0NIMHicKljeUEoNNRAupQonuGv1tWUbWRYtKlsxC
mvD3L/W2koaWAEpAM0BEmXsq3K5D362wH8V3yZmNy6Kn9rchQa5xUCoPrWLp/evrqRBtcHIUpRgN
nBAXUIaxb2S5vZdTFDy8nIEFLvP4pRYt5VAbYyTzweN8u0Y8FdMN+AJzVNinfL+ysHC/zlJn3/ex
co/RSHo2ADbev7M/XgVqkw8ngr5cVx/o76SjQIxkRLbOPuwi7HCI2T4DtP+ISvinq9BQMt5i9su6
P7mK05mitjXuxa9bb+PExDMiCf0fvCXiSwCOPLod2s2Tt5TWOUmtuIPuRdDEGLqinMI2fQTcnIPO
uOyqaZAftHRvtw/2dLYQboupA5d9/fiKeAjmMXOsvVYGzlejx0Nc6gOlSA9hfVt4MyM6p5VsXu+/
trcfNjwx+Dqwh9DhvVmQyI9jXQK07FOFcAUEHh06Z/A2MnG8D4QPf7hFFgfUN2pw+JGne5WLdxGX
ysV+agjUxkagPMiWbL7MYsGkqoOb1Kr59/cHgcBDHgQj542FwcCEw4wY/e8zh7yBQoF+me6BgOmq
+Xn/Wov07PVu7INOQKwlCNBViQ6vX2IZeY2n8znviT/yPUYWOQnacGKz22qQzWWZwJxZBTNl8jRS
143UWu3lUA9TsLOIf6e5KO0nPEcBIiPIOqg0iiy69lKn+kgt+3bfQyxgwllnN4fFdUqsL2J7JL08
YIWTGm+u4yCuHhOVwUwsn6VSV33K+g+ezttvVymdqSthTGG9dGpJEGbgJQFHzF5j8t5gQWrSP+AI
1j17jcGJFVWBWu9JDAmqz+rHYcC9d2PG/nRbt6LOsAzsZb2jSorPutnIos37P/BPz4SdcvGm4t2d
0pT1uo3k4PHV59Kj6NbthIh5Et4xuyji1VjrH8E4b749hygivgagHJYoJJfXy6WOmX5qDVaqgxXg
/qknzEIX3JmDlW78/bv708XAjbAMgdbHcXByMU8SyBPWODFPaPCukwJ/Y7316HJsvaJLev9ib141
d8Y0ANIOjGO2M/H6zvJUM6o20GeMtG0ayzDuWFl8iHSJ71/o1KRBoMyEAMjZbXNzqDTVL/n92MHK
Y3Iqd+QAb6L2WqeHIyTPaztkXKhh2kOVDCAhVmh5xwhcm+CYyjWbVZ2pY7CsAfTjFJxAG2mW1q0h
q0fpNs25rjlAWaBe5k7H7IT2vE5pjhd//64ofeKC37+Tt+9HWQEgxuRcQ7Z9WonEGBdXbt62eyFn
bzPi0HTIxyg+C3Xiqt6/1JuFjusAa8DC7wpI741GuAt10Q1T1Owb5iYXnki4fxS0/hafjfKgTOc/
wg/V6fXbxggVlP2QlBv+aEDcPH1LhcxxQW5sa++gSP+JKnzYN1bgPyyAiOO2oDq1zOzP5TSJDw4A
cbpELK7M5MeBZaYzBOYMeL1EYF92sYUscm8YIElywwjcQfg5Y05oijUiHu+7Y6SpRdxfa7SXflhy
UJhNGJ+Lbi6CFV6V863e56CIMlV4TY0lGXV9T8QsYaKsoyZ32gS+gBFfu4SMQX0oidw497FRTgAu
CWi4sZNWPiA84LjTOAzO5q7B03toSGJYCaedru1xAhprgxTcLwU4IuizHuC5eCHqx094V6bNRjfS
/GYEbbhsnE47mwh8uMZIRpNnuP6mK1DsQiLlrYWORW4CaaZ17R4uiNVUxy61XGMN4QDbrRI5Bg20
jPe4s6rU1swmkKM3ohqPz77GBhDsWx/G8smUSVHyzeBtJNc9XBrjeWyIOjgmWsL34k+VAkPnMI2u
h3niz12tluUFudpKXtBg932OyQVNSVFL/q6syZ9cis8BztS08zNV19QV31pUZPb8C7Q8HtepgVsl
pseoM9MLjNImmDQyj67Rm2bY7ob10N20ZssLERV2bNvSyKv0tpQ650XTd0a9g1U43aa68I6h45Tp
rVsZ7TMxBdzFaCa2/Gk6BdSWpjYUFDXiHrua9Jh/kVu3n+yRn3tXwRf04Y4l1nHgaQ4gGj3YXJwS
NrNzqpnLg4OAXHUyAgj38tkxt4PJgG3dO1FgfJejWVzUU9JrdxNhE3Jdp5JTy9cLCwgnysxWXBXj
YHe3RoxV9SZluUTXtIv4uhuzO1ZrTYuti2FoWuzk+27Q1pL8UaybhRIay5AVVBQDLa5wx9g9WgPh
wxcQtBDVdJMxxJdlk4FpeRhuybMJUYdY4doNyhj2+tTcG4XdZGdkz7DAkMdge6vFDWfDUgeA2bP6
ZEiaGsqJEtwMAqQ5H7ALnbDRxGR7+uV3Mrj24Etdv0BwdtbzY8xoMu6tRNhPcRBFwbbt25GY1OWz
glXG3F99M6NrJvAUcUXA4hsW072B3XZ8DtoLNi86i228cWxWUe05NEZRZvNcRaswczNp++9zXI7D
bpnVvoxm8A98CmxTFRILlcgrXespNxKFxDbA86sKZ4TziUAPyfyR4891ekDGCOzKPdqEjMgVobZT
ssMDXm8PuR/ymeaVxqQhmy0eLJmZlrlLfBHGN21R80MMHeyE/B3RYikMH+ZbP7mmNqi42jS99Uos
UD7ZU2bcO0lSWCqcJ55/ehqTjG3i1cK6mY0KFDiaqY2xBDRGN+c8ZgwQlcRSAINvfItpDsw2qzPd
LxTmKURNu+nKCiJQPFQQGINA5mDzWmYn+6xRvClC4UZjp6gzHohAYgX7XNcx7sbYf+pUyjEMS1hp
y5nyv8yJD5gTBmSF307fN8To/5M9fX/KXyktXv6Vf4akhKoDQBg4aRpIE6lh/jMk9by/2JLJEsSQ
6O/k9H+oE6YNTQKCBD09VC6HbuM/Q1JT/0sIixKbdocyD8fff8OgOCnk1HgWgJJfwdGJS+Fpv50Y
lbBa09I4yzT4PnGCQXHvW+39b8/k+qUS+H2geVL8LJcB7FBDXVA81Myvj2hpMKwZ5KChUmMCmJb5
vDF73bvKx0H7qNA6qX7UtXBHYfILZY455mk5wLtIUHOawTmRN/6V7jTDJ+olc8+EarqunBzO2Ps3
R6FxUv74NiY3wCI6pT6olg7F/fcidUpb5k1EH5yTLYAbeVCX3bFs+pAYAA1a6trzIaToSoqz03H3
M3HPJ5TizClHUZzVNnIIexgsLOon+uNlG/PLiR1t9hv9ezHFzbGG7XVWB6F/Nkogi9yZxboIpmI/
N0Z+k6WZf5ZpTfeZuWWx9wcEmFqQQwaZuxhuXoL43wyL6IwAtfwiDtt5W3dtfiM0S/7EUEY+RKnV
PLgVcpV+jrfA4wXVQEbKtDDTT7Q2jhp3mf2NaPv8lzRleSXNMfksdJKT4RNmO5t4mLVB1DDOSMV4
rpdBSclXizMP6umqqedxywyUhGZ0JgfX6MpLBpbjqstS80mnTTrPHAxzZKON5wDasEqsyUfQ6Gmi
/NEy2Tw6Mp/wDpLEG+j16DHz86yd3ormkfreH9MNBa/b1it3HsOxfQTntOf2GBVVsnNhmxfrMWCd
r/WoJClCN/Pie9+4NMUYtX5J/FTc+qFOAP2ot/5z4rUErBh+QxJXLuaS6QpmRrsGOzyVmWRG39Mo
8+x1DB3gCi6qR96dFZZHtx/7A26Y44M3y2ydBnGzESJj7SUypKKME/sqNgmsmWKdGE/KTioymOaG
3jzmbjnsyknvdt7gaDYhWE7+3CgyDxn2P+YGV6kQPOsQ+h4ZCozCo3zb8nAikOhPdZbLL1jFaTe0
svKoy0CZ101GeuFA/dWg5icBYYeldmc5sX0RUMGfY5Tfbs05To80pv0zY47ue2rMSbaVoXSKrdbF
/p5H0G5IUPpRd9l6NOCeEh0wYGWfPevEpa2c1CLRnVlLmoaf/VaDARkAZmgVCW5Sy6c1IVuYruCu
TYRezAiy6g6J1lhk6HSYwju6lzwBWgX8w+43M+jNDUj0TI6IU98GDD+ODk2fPY0j2e2ATixtvp7J
FsMnM7XENjGGn1PO9NxutO5TKgr5vYMBv+bN2t8rAkWuYBeLTSq77ra2O21ddN5tXfsosG35Vesb
85Ipp9iKWbaXmivldvTJjy8Kv1+Hhj/s5ty6Kcb8C4mdpTiPcTsdrBV+8dH8o3DiVKyCoe/LjUOA
RZKtaPFggRFYiRgizFN76wiEpus5qx159EY8oy4yuvQ5p4SpEXkEmhbKh7QdLZJGJkEdBZtKw+uo
n4c2ubf+5kOSQY5ynGl5F219o2W+TQ4lrjZakMY29QRcML/zCiLPBum4XyfNCr2dO6fCvsi9sdWZ
qGuzt2uTNq4taGOdg4JtlOHtkNr8k2YVD+El8Bnq5DJHaQCvAXzeXFVMsqODH2gDWTNtMNqPoopI
iVzpZFpF25HyXTwk/aiRJoA41312p4gXFXVRp+3xFQ775i7FRpjQX8Nv00fNrtI7f4B70egF23CZ
u/b5oCOSdmGpN+vAFAFGsb1j7u1pKPUVaoCRVAuNrBe7M839KIKaaL3JPhe5prurCS3qvEGNDaEi
KkFX2lr9ZTdwgrt5xpreEQWaVeLdqp2VMklWhD4V0lHASOszvCxbvdjHE1OIDp12gZ4toBrTPNDz
2rIoVF3YATvDaSHONTGSi8rv1nhAki+KZUPOGwj8bwvcWcN+vpNoEknHK7S+2kBfyG8m06p+WkBS
R34I1DpSX8pDRaC73PQOgSDbZh7LC4/ou6vMjp0nTCX5fSbMG4grbn6jjambrlMv57cBWPD3bK3L
fwmvyR5MqATXWQovaePJvLwL84j5dAsR02DzSJ2e7/bvKdz/VoEfVIEm6BOH+v+bLfflqY2QanXl
K77c3//aPyxaA9UtltyUbShomWFT1P3DohXWX5gU/SPF/YdAC+tWea4COgNbUsnwE/7m0Vr2X/hY
Y/BlqrEg5eW/qgJf1y+Wx1DnJSHYoW/GDPi0PCOgq9faHnfKgYNkXcRTf9OgZncgStTtBxkEr7Gi
5WI41ipfCp+iGMrP62IptCcrc6POuokYkj8uHIyZ0JyHNO6AEjE7rB5DcOYnX7FAfnsnfyhD/3hp
5YzuqdwIHurrS8daakxdaVg36Oq4tN/AVnmZ+7i9Y9ybnqLetHqjkMJAUoC9f/nXlam6cwTAwtBp
CBghL3LH38tEYcYhAXqZeZPlGoijpylWot71strHpbrclEOPf/+aJ+jY3xdlqUCpNOgyTj1siDsM
+rDyxY0NV+i+QGJyIXIHnJ3hgf9QdbZ3tBa+Vm/0dONR13fPTtWSzqY5PIfawVq7chXppdUaOCkS
7f8T3itsjgEJsMZhqAJF2pKQplYt0rpoM+E6aX6AOPNt/IYwvtwGpkvMBTG0U4zv16/OGz2T5jsS
Nzi5sVbU5j1lnLo7jzLnPouxB55Su31+/+kpP5z/4pp/X9Xn82BGyIVP09AdTpNkshsoFcZg3Bea
pL5xi+gXdLCa5l5Ot7YFf5BGLoLGFfX/brq1XB+pvZqlEGPx1imNeOAihQht3DgaeBcJxtXj7EOk
DIfa+MA8x1BNysm9YszFl0XPyaT8tBUk+IwEK703bnCkn261Ck/Q3UDmcLYKTBNwLbWsp0EHyQt1
qH5rMHk+liVwM0GI+cHrfrsj4WWCKBh+MFkGb1atIB3Zr/VAv+m7mo/EcgOAQYFQdyBFEWzn/df8
p49ECZf5Lvmf+yYvxKgSPdbMQdw0LVqXYiaUcY2kqTz0Lky4vEmsC3NoKQpqWI0rMrKNy3zwJ9Kh
ErjDKyOR5QtRNaztKdwuwCTubv4LjzSKBhCuYk74xG2PhBCMOvQ+271/EyfTyWWxuIL3RxdKgMyb
qXaShUHvzb5BKFWi17tlzLGsG5Sm1WPT5No6QyDxWMw8QApDH+atZDSEyXV9Xs0589I4xVL6TEIc
bDZGoLdM7iAgv/87/7ALuqaFSpw5AXzj00GVRp074G5o3Nhg6/FqecxG1VSPhh4Y97UixL1/QXG6
mGCgs6o5c3VadATnJ3tH3oUi0dO5vVlIpgsCHPiT/RT4JtyWnkbmujEdkM0gDoDu9CFhjDvCR7yL
eyVrNIsZgh/Zq9eJzg6wjI5i7FIAZFkTyyNqOTWcFXo0H48ItzzMEF+OC7orXG5Izox73r8r7uDk
g+WwBv5RlCRLMIE59aGTeEe6NZTlm5LPfO1Xs2w2CcTtK4Sxc3deDNEwEqA1JN1G2BphWpDMgmjn
R+guMVNglLiecVZbi0QMWz0nMnMgLlb56LQ94aWYOhETiuydiYopfRrfaNQ+V1oeklXplmWDEo/o
6zUG62DbjFv5MpJ27LccAQ6ZIgmBepZXFTc9Ms2D1+bJEXuk8pIQJRcBedno/aoSmfYVKDy9Mso5
+6GnLdQ66oBoRUcmiYqfhuh5tsvZ2ZP4iPSp4/ze676dkz9iJtV1TT8PrxkGAAywklbHdiPQazKh
teqhL7JkhNfoune+X0f6qk4wzVjBnasH1CQhXr2oFOZm7XTC+w6lv/HWBdmO6blEbMfcou+Jgxb1
HGsXRNtaRxH2jLSrIdjr8Dzu5nEw+rVL89ZQqZuGtUrsrrDR6wm0/Dlh5dW1G+ZZs0auGJH1mQAD
hVHPsZuyRtxZ8Wedkvkfdj5MTygNIIrCjufXkaz21PoWZULhsdtQArIRD5AFb18oRLPbAh8HJtIA
rw0yhJeMcNyjR7/QczIbkQEoIYtedysy5whZ++SYZX3UJix3dyTR5xF2JPHkXVhhHF0Oqd/98IrU
KdFTRvoZsE6zgcAbXjbCanaNT9ZoDQFt1HX5lVl+vBeDN22UB9t36OcllO+6PcOsK9ghPCq/IU60
v6KCtVe1U0XPLJTpZ9gHxErKKCw2KqW2WkcBAc4IEO1NbrgD1L0w1zEqCYpp8lYzcsWVV3bPFu3t
ekKXVN1rthenhwFj/tRiMJL5+b07BCUB2Zjhz6W7yd0c9H3VzcwMHeZltg8fAVWuGIVdrcn31Awk
8LM2k3/ppYZffdWiwTH5uSlxJZu5nnNvp+mq+JEQo8sUVGNV0P4e9JDxJ7u9Zj3VHqONbUvo37zK
MTj7PEGgHFYLcyjHQbFfD67PvgJWBbdoIcpHHoY2O6uo1UjNAHXykcujqTKI1AFzLYGldEiEoz+y
vIqF2J0ObNmxFd70rie7tZwdNf3AlS6MdXhKXeaxG+Wj/QTX2H8YBZySVkKkc3p4PZrFPuRaOZK2
JiL8teYL9dY5uRgVBAR7oSDbNKK4Wzz0ig2UooM5pEUq7mvdVv8QeTzHjoEUfT9WGQHqZz8PN4bR
8VdCOSkeSUzhA5OQvyDdlMG/Z/NwGsFJDaqniJFNZCSXSPbZYhQMfQzr3D/6bjndYiTGoR7Dz71e
9khqOO8Y2ByibgKLJyi99hkqA49SCdrv27bnT5dfm/c9bb5ZW9N1SdkpIJjH83W91CIp9KrmqsjT
Bkf6wbjsJVyuwaIynMVo3A+G9LfLrLePaTdMopruF0p71DHl3MyqepwFpHojn7kpPkmulEZD+wxT
bLpN1J+9zHPDhOpTTwf7aSEwIlFsn6sMUkHth/VjkkK5WU9xO98uhYJM6wJWRpI5L/LXBI/Hxwa/
vC3i5uQZnyzyRpHIgE6AXlwidddQkATogZuMQSzLiHcn1K8tyhoOaMv4euHtM7OkCC/VYN820uox
INkpxrNYQL4JcPJ6euGTDQBq5UXdNkyi/55zosibjrWG9mO9FDi9KlVSmXTPL82PqUqfOfGZgDK0
tbK1paV1AnjnMFNlmAfVIretpwiiRXbGscMPrARWISuP0NJkW+VG8D3TImbcxfIJkUfAMHhAYUgZ
xMnTbZrxxrPG9jnzW95RFQCQdPy/ZJxxABeWzd5WqlYlRal4ZswGhYHiMuDwNl5CDHcvuJ3yYA6a
cxvPPSG1WpTxa4cXBiQnbqeWp11kxqUeKv5DavVqKje4SBgICOo/MdjGXjSPAnpAwwFEJalFeuYW
2gs/JrBZwB0RtvwROdvDNMTufZJ6BMh3tR6fYfHBGsmYWj5FOcrH1VTl3P+yCaSZOd1CkOSpZBgP
HB2lcsEsnQ/OUZfPR0aWifrqs84AgSYu+LBMTyn36/M6MHmrJGF7m4yDnOcwUoL6RRw8LJqjCdHK
U6Poq6meIbl5EZqENl9807T8kmUlWlMCzwDJiVobiMm35OCx+SDlCttrf4LMeeERCx+gpLLYmkQZ
kF3XoEyPOzn5JOZJrd1Kp1OzZ6+nBhK4RNxBOrCfTJJa7oWm1EZ+QhtiTZ5xP5oND9kU2MOv2Od9
sNDYrx6dsOJDr41xgrDPul30bCDN7EBNyRxjaXjlqEHKQXNwT7I1ggy2bqA/Wtp7JY+5R1PDa+lU
lSYJm8peKsbl2Jwlo4BNpag+phdx7xKA7ohCAkewXuRwBXo6GaXUaqph8jfJSED2plE/J3K4izSG
l1X1QIt4BYcEwqfFdKvL2Qw2rilNfHVwDl3ZSN+fESnxcRFEye4YtY1tElxMVAQLPFAUowBqwDi4
NcRYGzmMTc6pfTs1Y9GsCxxB0HE1uv1kTWpn4Z/2HwplkpFB9L9I61IriYoFH97ng8O/nfWRqO8w
pcWjGnURD1oqWirG32rvm+DznJWhwSZPKRKqltzq6FcwD4BwqR7Ay16kGvchEewLamNtQqVBWtZu
ECrV2EJjn9x4/g5rJbhZ1idD+eAsAQg4G4raSj+5vccS8fS+ObfsdNhH4Yx7wMuCyMfc+1W5Qzqs
82Zozgn88rfZjHAyhEF8v6yKF1VQKgLj0rEYbRl1AfHOVuqwlFlBuXYwvy6Isy/YiWaZamu4LYAQ
jc1MahWrG9LwHqzwiLSJzLNG/t5MIQSjwBDGpWHBxGfJGfc2DIZxY2QhX5Yb1Jww6AjMHWP06bpP
SnZ7MzaubFTRN3TqLOoXHlk3smkvO6AF6YNM7MDlYXeBpo5v/DwwTXJHPht1ABWrOTTncV1hadau
yrBB91hrHsqpAkqjZMF1fGZmPXPdsJqn23y2aAkqWrUHf5op/NB8xSuQfY/VLaxOwym0mQwSB7RK
3g2Gh/yq64ciujKUi9FFwTZ62Sw0VpssGcnJX7LadSOQUFLsniIk1FLmispdpcC5hvt1/fHa6oV7
13tTfgVb6kekBdo69ZP2nHgDbKUadvYRDdOv0MRlyRVYNpkOLfV6KE0+YDWTwvCCE2mOR7nugDx9
NRV2HtIEDocdE+6yKu1RTmdan8Cdg7k84AhSdqtomJgtVlXyybRagzDz0s4v6Oyn88LAJGmdVaTY
B6VZ/vKnjHrBUSQX9P2ssKYVnYdurO30fa02/z1uogCRJDLRaPf43W1EhpOJViKdLEDZEJ9kwajd
hYng9TR5xR9r3+AhmbZEuKnr48ozyVLFUoJ9qR6ocbDrnW7ryIM3FHZUeFONA7wyAFga5UXyNpoq
YdqPauhCesPPC6QL2CRK6gOU//xSPNf57wUR+7a0Me7/WVJjcrr4lb9N1BluYKXyEHhKNLE0hqEe
FtWecW/Fltexp5XO5AYH8DSCehHuHYn/sy7Gyjcu8XL1Hwyta5+FhCLoMOG6oAfjvRaO4PxsFL+l
z0N2q0U9OXDl9bJv+knK5uhzYG4XfqnIVL1ZBb53zBsvzjdBBXw1TlZF0j1Tu7Jj32tqPiEs4SlS
Ay2Fl27vnFDtzFKWnED0dtG5sKP4pzU48GXsqueL65SVlJ3W/lF7qTBqMBKNkzlPC8+6cF2puxc0
bFNHAOTcrzAbas5KlLi7zBLCo1fp7CcYOoRIefDDuWN2JXAeHombINOD7iLoJHKHg8UZZuc+ArHe
LLSyyp74HmSotoOlZMZU+pcTCsKUfUxOGGnlrrd15k4w++qje0ycps9TxOQtsub4c9WH6ablC2F3
ptuROw7EnlmRk+tiPVuVdt1oTjmtKacLb2s25nQuQlv70Vem/YxMTP7MqCp/MUFqKbfHLFxRVwmC
t1v9aFCUnWWAK19hzDrNpsfkCJ+rukjqbV1O9d42p/gydhEyhIkTf8mrLrzDiHdARp1jJgV/QD8j
umW+9M0q+ExUZvqjrGf+S3ahxy2VcuGH17LQ6FgzPRzh+XU6c7jGH5zHBVb43wnPRxMeZwFQ3pnw
xO0PNIfx6wHPy7/1D9fHwQRV4dNwC/DlRQH0nwGPL/5iQWMejfpDOaeq0cM/Ux4sUTyTygFICA98
sLH/TnnEX2yALniGA3scaPJfuSCeAm9QhlQuLOQh/mvGG7MUBhNR2nNSvhSbTW7AMTRwQSHql11v
0Zy/D1H96YJoypjzKNzNMRT56DfuNrxYUYkqX3zHvY1B/vOZVOi1k3n1eThT+b9/vVOcT90gwhOe
F+MVUiROcD6fUWhLjJ11cMvIeULiYFwuxWqrLB/ev9Qp9saleNW8awYS2MCfWjA3UM0JHzWsQ6p6
8NhlVIWLFFuTI0J2VUlP7qYJ+5USWL9/6T/cJSuJESJuPIzRFhj4t6cKT32YdSgUh1YASxcEuwLD
24UylQs/VBW8mQpwo6xA/J9tYvkcKP+v3+FUZm3uTrF1GEuGebSAVCSrMdEphofO5bQogOGiPaaX
tDszVt4te2BJ2zJlMbCGKD7C6t/ePspmz4EZYpCwYp1SyRIjos8NA+vgjRa36zMxB5FN+cP/7Fow
6Bm8soRZOCcLKkxMPcMPyDqYLTLwHg3Ps9vl022vyur336p6jr9PX7AnVewx/Dew0Pdw0X/9nGNE
pRw/vXUYguhXK1p/SwPzb6cqy0UY8C7/l13q5GUCbFtuJzLrIFOA68QbaGY8p9LWBrX3R9POkyB4
pincEgnIBux8Nbs+HSgR624MEnH9IRHK4WEZoBiBRvUNj7V69OqUjkjJMhcJEEmc5kU4BObF+w/2
DyvYQQoF/qw+VVVkvH6yAUm0QaB4SpPXib1JWqK2IqfJO1Zaywql8cm3KQYFDh7xPZPM5eO11QT0
/0Mk9afVa8HetPCnY7M6HUXA03OmPK34eAf6xqVOXaQgdDIfqUD+dClUEQTGI8ow38zZUU3SYru1
eYgxv7h98UrQMuWH5cFn+WAa8Xqrx/UPgx1mh+S4oH19u3yrqMOTs660fQBGIPGaa5gz4QD/KEeA
Skyq2R0+eK+vt2B1SSLiXGx9HNYZthPqJ/22DxLUCi0RH6G9HoAkEFRPYY7xC65RI4KCuIWnv126
gcgDO4P0CBrK9ODgaopijylrfS6VCdiyg7xAPbMETaG6x112EytY5v2fbC8q9f9+5TA+oPIuQ2wo
HUtqw+vfjCtWgtW3aaE50/OdLiO5K2NH24VkiPVIMnKyw9Y0C02Jb0NSzc6WzEPnpgFcybdQ8+g8
gzxg7w1sPCekmXfPE45+8L+WrlYww4g2VIagMLZBm4chJTjg0vQs+kiYft3zogpy8QtpsMsVMPUF
fjadmlp5oWXum4QHuJrp964x8QNLhLbiP6CBwBIo8oPaODdam/9060ZE8+V+5KRryFEBLgZ9bDpn
WVFzDQVQOW0ENluTjYp0xRIQrxQo10YlK6SyaKHA7LEC0ii5nf0ym2u7MAeHbwzkCGkWdc9MkepH
typEtc+NeL6FYw1mTMAAWE+VhvE3Y/Z5ZVhpOGm6GsGHHhalfNGlzlOK2yFzXKVUmCGgPbdGpU5o
dIdPOTDpj0oG4nyo3fq2cbocYThtrxuH1rBi/x3s1ej/X/bOrDtqXO33n8h7eR5u7apKZSSEQAM3
XmHyPEqWLX/681NgnxfCObD6/r3YuxdNOuWSpUfP8B8Cbpjn7qPlUejQ02Dml9Om8DYfUSLGhe+0
7yInZTrAz6Pj5wpV7i7rg7ZJ9CAEAD9X0VoeE9MOeJamc7ZZfGm6woXy68nkuIvcSJDoGWHIUfNT
iLaii/MsL9WZsvtZpMhfTLv3+ZbruanRtwxbODRdOdfnwt/QTdRRZArVMvSZTPR6j65Kk5g8z+if
m+927VL9Mk3DV9G2jD6NaZBO1cSuadDse4rChtXUdT1KGgKx7jNl51F49VxKopRDaSZ8xYjY3QwA
xAuipjvOknsxHErO3wC4sTg+8ytLzD14lUFHS4aGPp2LCBFMCKHPCrBO77GXFSXfOzBz/Frkd+EH
W/RrRsdoO0mMJraTfua0MFOjvh+RlL3do3YvDM44eFLDFDyFTNOA7DwLTkAywarH293zDhcpOrhw
Wz72SvWP8V7p23ZS7WES2+Ck1PBOfHIqe76q2gEpvtaMEkSLXAh2pcNysEUe0p3bqzW1Q+ZiaRTU
+g55Cvu688thRKAuSbIqEDT6GXtkut/1Y5PYAeL05TheNbaRxGRPgoK1Rf+allHcp3W+dDQMZvkt
9iFRwbJf7jBFRglEbzXafktDZMoQ7emOqz0iViqNjEjYNrM4IQQcfkZ3D8VWI0LCqHMuTgbIsSK6
PFYH51mvZFiGu6RWzoq0sig/FmYCFw1yRAELoQ/mEPm1o2U0XcTIunwY6bCddD/uHxEuHK48vysQ
GFn9/WPfTs0RZbIdxqTiNcZAfbKmWfuP9VhH8sBsGTqTPUcXJhkVabQx8zwYiMFxIgdMkVXtToiB
ShOYmALgD/Kw0PK7BM4yXtYwOU86WPTXvBjWY2lV1msN4/J91Sg/w+xMpmOPFk09iSpFVfkpkj7n
A0WlQ+52Zbao2Tl148Avii36zwwsofnnw5A2M8KzhxA76UFmdClwz03RhooLwOiCKc8NmW58RrUW
eRso+WvqP4ve+Eb/xjdKOLHRxGmNOs5udHJco5gzNuE0ZqoXpyVoNJ1i+3MbieF90lYINSXOdhJW
7h2WludIctm95lZCkAe2WnkT+tOajoXNG41AIdzQf+jvgXyN98Dr2NQWLE4s8Ux713JrjoQwo53j
gMZHfR0+a2+4HjJ2MP2IhsVsE5AGg3fVcOFcpHCYZM3IyBTHeNkCxF+rcqOhOkB/TztGcXvG6H/4
kDsMzJ47XpFGo0SKhPs4XoKcGYaBpH7nkdnOhrvadxweclwkZkYa09qoozDMJoULFY0bNRpgLKaU
09nfsMw6Pw+fxpFtmw0RHMu0oVf3wR0wSQcojSq14w3ugBRvKcbuY1CX8fhNj+CoGS3K/NhGUhz7
2l+/gkmZiixorOAf5vnJ5Vwm4twOGs3wfiuqxdAUy09Cyaeatuox8KuiyHJN+Hjf7hYsvGof0bmM
3TK+U3TLsrCtmmO5rtO5tsL9pGMjPpwUXZTic7u+VcHcPTCi+Oa2+/vN9Z1XjXRpXIWtkZ1IEAH3
l9H9guBF8WWvqvVNsUS8OU58fZyQF0gYRUQr+l5QjDWMYxFdhQGtoMOG5XaXiZA4njUo565nmWz2
NSa6+hZxMO8h3LfKSueuAasb8hZqEE5MmZBO2vrj5sj2dptn/9UOPufVhF7KQ1fFUzYPjvjsK6s9
DihGfRqSUCHmMO505HIXcL2I8QdtStAT67KvSYpDPeEiyYND3cX+FXCFT/lorW9WWTTg6Bb7dq6K
4GOzhk2RzW2JaU/dO4w+sZG6S2ia3c6IlV3BrkhC2ruFeHKrdbzuIMMcURhYrvFHtsBdQCWZLxxC
3skimVUHUJQu9FaU2LZTCRbwMWzG8ax6D85lVeY3tl721xJr7TRRxfphaXFSOdpC+NUVFLYNvswA
xiaN8zVu7kK0vsaLpFzEmSrXuqmjfXiLLKibZFazdD0mJZHd0BeN17uVG/6boyZxu4yjuti4CK/7
WnTtYUQrkK69Q3kBEXW6aHx0RhkpjwxbCxWp1wXSfch713kAhpqQ96HZpIf4fhvcbJVLGPVsDfZ7
GlW/HlDCR1ir7Qf3VkYaGzgQVE58jNvIJyA669fBDZf8lMCVZRZAf9f3J/foteF+FktUPcBynN4u
jhbvYqiHR+S9EM1H4C5tIDSlPo4qQLj3Ojp44xpVWEPs5RcAOtxD0tYqA5BftQefpbpXO3VK39LC
zgIUll+BD9ve2vOKq0slAVNU3uSdYsuboxQkKDh9EWFEMcASxRmXvfuNRqXRFPTkZxQUoy9rKMMK
q27UgDKGX0xd6qGN5jSH4/wNC62pOsyIvy3nSI7fgnIr7kUNrCDdcSe68tYNYuMw9NMBhsukUx+m
PRrw/fzKapkLu3aYy0NSGO8HBOQQ2SqHCEj74sv4ullsprh+pN6XzKuB1RR7/Yq+cARNYuzbV33S
tjLt3c0COOzx1loaSD6itmu7Le+2ctpy/zte9397oX/phaJTEIO//f/3Qi+H9elnXdgf/8GPNiji
rw61relmUOv8TwsUtxdTkeGWTtvK/aUF6v0nQFkaAg9yULAhTDvtv0B3+z8eRZPptj1bTlHm/Rsj
mJfmvIiTeGglg1wGVe8ykIHc+XPVqDtQLX1UxVf21G3XVi3Gw9q4uBZhFv2l69V+uebSjyDSB0WR
NpBz7zyvmz/UdYhlEgpt1r1TRNDAylEr1BAlIoO7Sztq4jh+LmVVF+A4vCnP8n5hm07bXpwWBwXA
fGujdzqQ6+tlHj3gMRrpyKsSL94vSungRk1L/K7chnrGR2GOu1TGjqsP0PMZSXrwvhO/ulSBao91
6U1LGvZJQJLZeTiMOGH7tWfyUpCz3tXJprB5nPyHJrcWmCbgK75Jb+9eFZa6bZguM8vsq/rDnnvT
k58X6p+N8iBztSi/WZ7HpCopgmlK5y26H0OVdIdNe+K+DoqNBJzxeQosR3+LOst6PfT1ihybAiqm
LDe/DP0RBfhCxNwj6+CBmSvx7s5oCjgJueVSPmFHjFd4mItjQK/rg8Nls2Ve3MUXxCaPq7kL2zeo
3JWvlmDBtAJR2nPFvOUC4dD4iqaWurCHbfQOO3rcb0DpALPa+7KNUq1LpkEDCiF7WtLnKQ6wC5Iv
2rE3oITxHNlZ2arlOkRILnPzZrpa8qY+okIb7qmLpGLWwmO6nnfVoPerwz61kzG+A0GUVKdcRcuD
ijrTuS6HcwNM7BPD1VhmSYXpcObv4fhmald5RYPEIsQSqIbnmGWZ8OU8R7LYBLXqOb4VAaEOR2id
Aqoh/jnPsdAIa25pbkIkSi9Ey6IjcGJyA7AJ6lVWPcdVL8SEwn+OtoyH5JV8jsGhCccxcRmdGyK0
/RytLRO41wLXi9QD1rtyLe/ycw/eFRedPG7f5ctW40XUT8c90bV3OfahekIaIb4P11kdBnNrJM8X
CL4/3skZEq6VrXLWV7sURf1uskFAqNe7hd9Ne3QQXpQXEdoED6uOyvvOTVDy+cLbdVcfiMJcsbab
35eWgKU466G6s8Ooy+8KMSXgAAdI975UH9ZgDS9jqrK3Rcxn5GI6oFDxxhdkumsPtyKTjoOfdM5s
+YSkFh4CnNBM0f6/0jRzTqJrOo63N2catYURvlsaoTqZ0pgbjsImPZtwLjnVJZmbRVP0WG0JrpWF
B+Spca5dmTi3g40ZyDb4Dyjfn9vVDm720c8zbc/2cbN7fQ43/B7SZQP8kypf54c+ntmBAP1sJGep
sw8GOZB5c56csF2TqDHN3ZFxenTpoX16s3h7dVinrrmYgmWRKSK5E12Tably66V7wAbP7/GFC4ML
rGLkg5XgRVRyMJuh/gZW6a1jEQbauAGmPfiHOgzh1FW1eLQWt71rVyRv0TEA8bgFzpvZb4hacdeD
Xxc+tm1hzbCzoStTr0WcKRAJlG3Nvef372hVtFmxc7At8ulaFg9h2JfHDg/dLJ/6Pqsrm/7IJtr4
PO8hANwmNKs9rI/0vehAKZ1cRoO/HzHBUBco0LgPISIVB8JTcwQXEVyisoVqbJAEGwr2AhmFpLGP
aGlsN7oL9n+81vffoz9aH8pmbkFXleVVBMLiEbnE5Xpcw5axbyGIKRE4Mczzgtz6bANMBJ3TFPsr
LChYub6oUa4gNjbFGJ+HHakL2CP1zepYyXYsBKYlubtjRtfbXbYiypsVVTOBOGBeFM0dScnsPgH1
1emCQudpw7AjDZJJHjuhbGwBWJTXa4vrSL57yPnC6GO1Xa/moMZWknyuQGez5nhwTbwEuQF5tfqb
KijFq1rE6xdlB/jl9g06FNK1jzZoaUAh0XKaRdy9n4Y4vi8lYJKs4PW/r+Pg5AaLdRc0W//KAeuG
FERhPyIC1n4T2pcfIqfw30TT1r+eUK0+ameyT+3oL7dql/FlbfsC96nGorSP3ZagW1bLm8r3hqu4
FN6TJ9jSuKSsN5s7YbDNaPu8WYHzStDvyyhCF07Vqt8UTmc8BS2nuqP8lDd2kqsbEbT52S6DGgsy
0RwGPyZktniRJaI+AzCo7snWozhtVByBLfCKg1dLGmC5LPcrux3LU9fU3V3ltsy/+30t024MxEdd
MTuAE6uqGxfntrOAAYqEs7N96uRC0uyN+6OnkPkZ85o0FQAkAhq0qd5OyOrc7GW+3uzrALu2DW2c
eGCpPwTh4rxxC+WedlqsB71OEiIy3Np/xmkU994egg4TAzx+AtN05kbfnspmah+90o9EClFsO64I
ZtOK81EaYVde0dJ5LRct6lfF7DlSvrenMIEcrMPVaez32iqwOB+2aK7+8QM372Um0dvkJmrgP7/a
h1K5dIuW7rg4obGOA0lzHO1t/xJLFR7Rl+6zeUYZNi1RG1PpPK95WpR6uVjtDljHNl1UDfhxNml+
yatsMSjq29feqCUdvuhqKazxMIW4ODwnff+bH/8tP4a58qf0GE0Q0fyaID//F//lgbrJf0iAETjF
Mcr2yWv/myM7EQN/+Ds241ZOLeSD/4sSiJz/wCjhx+GBBLCizLjjR4oc8FcBQ/aYbJYZJantv0mR
Dan050kkjwN2LvAd8nGeOn6ptBtHSnfdYvtfS9Qc628QQnPPPqyra03yIGXt6ndQjSp5Etpr6XII
HQSfkRQb+xtnCIbJPY2WD1SqQaMf5YQ+ye28RD0bf6S3s91ZNfR8fwz3MK3yrUDzSHlq8lXmtYtG
ERuUI7JJDq1sznNh0694CycR7G4L/BFylk/DH3WlfWGMeoGFYjVxEVV1kMwZNx5WgqeeCDQChBZl
TnX/04u8/z6q+VnI5OVQM8Q21wM8EfM/6gj35eoMInSAM+3B11GsCrxSV0QlUtcoGnjNLWlzwkdu
TtV338yB048I/Cc8mkvyxvfpnbXY3v75kVwzhf6foRJCm1GUUHChNhsw7kteAgIimvrdIObii9Pa
QXM70hZrrnZ/oXt6UVphtaLqHVWA8UGzj/ECMwev6Cit7XFonoZNaDKKaKGphTW2EnZ53PNiXw57
i7KVOEomP+iDzGFubccQMHt4t+8NWJJjh04Mxl12QU8j+V56/+LD+vM6vxiHM9YzexDQq42UHbCZ
F+PwvGxokNFH/GpjdxG+CfrKGh6ol4b9/s+rx4n6efH4IFMQ+rTZDc+Sz+Pvf5oiahj3CRE//+Lx
th0Pp/S88e3UtTnhmxfV/qtVDAFZng6D1pLZSPWnHtBd6Otvf36SF/Na8yRcu4ajxliTmeaL4bzj
FdpOtjr8okQ8h3cBAmRS0iO0oEdegZneg/DfLjIDSsbDFFWOTSf8JbzBQv0yorvjfW6XaR70YdIj
9qipine0av/yWb8OiH2+HYHLdxLEhtBiJvz9us4uRnTNiBLZl80pROV/dRF5KcvLfFzYdwWjHJa4
1aERqf3zsv62kwyaAgYgHlUxQ+PwxfgfhoKYwUeKz5udLDE43aiN1UPuWhWr++ePeqEDZL4k/H6A
WiFVKMH75XS/HganWZXbfRGtH2CNWTHDe9u61OLUK5BtivHVluy53d0MFeZsNhVw2ezvahGNo5d2
LQER4Gmdd8lrqhmQYlmJpmp708Awi/V5WX0fr4M/P/RvLyZAsjGhvczbsX9HhTlJEzPMs/vPkBzp
S6Rw4pv6m3K0BYNr6MLBO+SdAjH6t8X6/cUwD8OWDBSTYcW/DFu5ZcryObA+7YHlMGlKoqCi6xjF
YznbmeOhutaeOSZN9AQfF0bKYZrnORmzDgqpeqy6fZ37FDzvLj8VvVMnJw+crL4OAF5DnvjLKsUv
jycPGGFnxzFJYkyMX77boFjHuVvm4VMZV4ClUjyq5X4vwm1mU+2awae6SMQokM738orTJHrf5zLo
Q60JlknjF/ozGxArj1DgPW6uP4gBa6ocn3LuewD285Hogv1NEb4XRcI0KVNd1LBTFUMp3k4/4xnJ
/A1oDW8EAocJ0ZZAUE4fXI1/xeu8HOX2YdcmhUjpPuWshVtTuxOpd0AP9cn1p4DzPZVrxbQ19Ovu
a7jiReakdLPEjuBfngTve0Dh+7uZHJlnhCCdYJLq4Hv5HujQWPfHJdza/d2Obp16VPMUqgdR82/W
FC9EIkhaAsnnnbklEhLYClNrMDurMRnioKNOZBTuBmNEU5wgdoZ9kOK36/KTIaZo/EiFamgX4g25
leTWCOdxmWnqQ0KwmP260Me6SPhoq1oTfhw1KvNpmIyN4R0o7mr6MCF8qM454+rqtvXBqV+sjtj6
6xKTmeVq2ZaNvbTFuYl82Gg6+jpWouSytNET5R9TzLBxPo8xUlluNvj92DTnH18gqClb1rQHihjW
B9vOLRY0sHu2Hx0KE8TaLrKt7jgxSOYfQH91V2dibJjH//gd0zgBrvCqPKjKjC03rBvSirtpvC1e
pfloql6Co/YGvlPxfVV9hrCsXIDkIz+wrrJsrvp2Xqw2c8rEfKJnRWRteoSRAj9ER8ycDgR6s12G
RHJreQ1eTOKIM3HdPfQSidboVHtGrgKyQu1yplSfMB/EGxoCmgbrYPMLmTQ7eXSShQTWeWX5W4Uf
abcp1nDYmOO3GF4C2cvfxC24yfqwRwvkuMsc/SkQ3sUOkQCXBGfz+Dsdki3yJeoEPuvt5OWqL46D
NZv3HrmKKHCcd7hd3XEAusWTzBD++BOaRJOnrhKhfH7LoAefo7DUXsyfrELCRYHbO0geSfPt+Zfr
Qk+kPvgJdVOI3UbEEdTgztgplHkhGljo1fF4NeM1k7flVPXVnQDaFrzHQ9jI9ieejnis2k/MGk+q
YwUX+pgs5x7DZUQYiBTQp0myMe86FbRV2KImtVaPY9zz/0yGWg5wVEOmuiN1BLF/RK6Wc67RhjbB
o4Q++VRP3myOtI/023CYbR+BR6hH5I3Mc0fHU49RBbWvO9InHIU+q81m9HKrQEjwC6dZgBHKUBlb
zK72qmqWh7FJdic4b3EbbFDD7cekDKpEHVDSjExkKluMOE/M8E4g4ovRO8lGF759YG8DCCmUPe73
gdYb2z8WaBj6x6RDxKonUQANehcGgWrmtETACcfdMK+96tWAxieDNnJ184YZseNmfXI5yzgBVsiz
VgAM5gm16GxrhbDW6wadI54RWCDvZqJrgEJ6LxzAXOjb1boY3oDPyv3+bhDIbeLtZaP12x4JxISb
IyOuWsNVGJchSVKq53hTKZxfWZ5z2jCmhY9rot+En/cVnEZpgq3mO+Mk3uyoKc3lVpbFTTOUixNh
gZgIs3mq2oSUSK56Gk+MAMy+tJdNsIdyr5qa4nrYkcwZT5Orlhl2f+ARKsUEMRkUbsP76FGbtZxl
ugNm4RJy635aeEs9TH7ugkF3K78LgQsTBQEVJOxcuxpzqU62HFd+khJm4u/knJu41NjKiN/J2mSE
JUAFwtPobyHrJ0uL6KBYRc6C40rBhlLT7EH55O1POriOIQz657jF5aW4Ljdr4aN9BzAAjVOkyLjr
9UgT7dAx+uTkxXiesQhSLhPbcWOgPUDLimdNfNBxafmvNlvPzAgIUYF/HieaZyXGX4AN071zTYpl
I1ulP3fxRDXyow4h6pvFWRmNDMkFhjQxrNUCBy3PulzqfZ8BosY0haYcl4mjb+OF9AYeF1++Grj8
9bNMD08c1avFKkFfjzjYNW6SbJ4Y3xBW8Me27qrV/B3Ea/R3sx1LJJ48HGC+j5mwYi4tBxtk1tiL
5mReURqgicb5tIqKk+sDdYmcdC2had+5CPbUTNAbIE5gzBwd4m60tvMbu9vax8R1Eyzi5xkA1VXY
jwpO06CW8TOempMF466z/NucJ/WyoR+r6SMifKAQmqgf2i8+7ewZz/Kwm5/W3WlppycWRs+r1YKc
g3Oyjn0aw6mDuD75MKqW07oGsbqbJxxHhxTaSufcwA8F4cAQQjnZxDuaCfJbPO01t7Ca/S2D6qdM
Sr/Pq4Y5CfrDTVKgxlp+SFxn8d+ELWz5IoMGilcWyiauzod0hIju5OzTvJCXsuQma7Featd9PyCZ
vtuzaZvCnEJ/LacDLZtbhAGc8aSSqEDckgRtfyxqJNm4+EIZXQnE2OLU86XrZJph4sDQo5AiOQCX
ixgO4WsyZ0XQFmdoe/IwDfa646aDHM2Fszqle8rHzQEVJEF/VTRRvcC6H1ER9d8uYprr4cLGWXWc
jslgb9sjjVZP3lrgpKwHTNLR5ZZwkxDencNwfrvjhdUP6FCG0TxexFsAnT21FdzmA76mbXORVxKy
1U4HswOg0AyeW2bRvIsp/uR0ddx/KXGMVduhCaWeUM8MvGXJlmgcIlq/IpD2hcz7KcAyubGDNrzI
EXsK76D9W01zocKRtLb8WsY9yD8nQ4sYB+qDE0i9hyAtpYcD/OzyZer7H9m3rds8dB7g3w5ga9aB
CQrIhc6jP/p21cE4+ocxX+cc/WobZ9XmjEtkQDaW2ysHZt60yTWhDqH+dwGrSZlrJSGQcLin2KSP
Mxc4x6H0QxPhOia1hBK0hnIzH9HtWmDY7olxja/3CS8zmQXlpLh6UKCsuWVA5xUugudRxO8EIjWY
7A9yk6kcohpkOa0YrHBRKF2mrgrfY4QDzeYCZeQIQ3AER+g1jMsUECYDIcjs4wapO/fCdwOy4NUm
d7OyRK8jsayOK3Np5Naar9zhHbypo3L6cPfOie+2pES9S51tXXZLZ/NFyUsge2dB0DFqumy61uWO
RkrKJzVB30WyQGMfmZsTgOLGk85FGfHZmNRFw/5G+QGI2mxALYZfhiVYzlkSwTDz/CKpTZxEdb3l
R9zaSXiiPh+FMz8lc2LyVfriRBtXLnP4CRBSP8B5rKP+phhqxbUox9HkUv0YmZSlTKRZIxTmQul8
WyyBSs9hbWnzA2sGLmk7kC/yjbVNbPix3S0xXJsU6bndE+LUyy314waDgcE6NoNtOhZhspqndzxm
DxaTMBzShwtddRQdLdMQEteYe4UnWIRVsn3+uxL7xBFKl9HbyUgRveI3DkhHdv6hcTAzgC9vtWYr
VgDvqVm6LQ/eI95D7+n7a+TCdJx3lH+LfMTHbeMbe8CLeEcLwC8HJVGsFdfyfodNkicfVAPGsjmX
Y8jI8xJGUaged2AEfCtU9U3zaZ6Zy5SXI5M3fpctYd2uMGm1KeTjcGKzdPTrnC2rVpCJ8uBD3CRx
dnOTzathnOfgbI+FUPH9Lkt3qG5C0CU8j959cw48b7b5qqohyXxsBeaWOSoQk2l4QeTjB9AHN4ma
01IaVxOirX2KZGk1uReTG4FTOxTfb9dSqYJLc0HAnAPFQJ0sMPRmk29KxP11lrd1TWZtswL1Nzim
PX/g35ufJiuZ9/u1jSOuS6fkudysLCOTGiLpWJhk3hvN034/Ho0MeC/tsuJYcQH43ZPdjbd5qvio
4rWALwo7AFARwpbshTarNDlBffJn3+zdtneT/rZbnQJ/9qJlZr9c8Qs6j6R2HTTvdrFUx2f1+8xX
sEf8imhWOCa1TpCVUA/Mqav5Sc0Av7sUCPsoCS569b0bf3VkgxlO4LLPoFiaIhDUHhUbKEPzQphB
kl5SePKepQ52fe2hYqKvAYPoDeyW603NkyqdjUXJv2c+orAVuYYY4plvy8C2ITH4URFjpZOQGGxF
YVN99cXk8aeCmmU+IiVjbZ89tUz7vW0p22bwBWEhPqhyLoR1hgHjLY/h3nqLlVmrw/qjOGqKbkSX
TBYGS9sU+VEym0S+AGOoHnORF7w12dHQBfAXWzt44FkFKI2CZhlQdSUJIQYgG0/NezmBNFuFqR/Y
TmHAx9Pay3cTKkdicngeo2BD3rWPNrb+GZg7CrO6icmjvh+9XrUmtWqtDrIrIi7wsqaDVEqYjdGv
pn8ECFWbLYl319q/sv0Nl3IWZDcVd5BYkoVcncgccarlYrwNIcUYaaq1LjBE7rflNdTkXVyCJHXa
cyxcagouNgsDYIpAqQidYJEHfk3iy5lYVU+9yUTRFSSKg5x+rhrRFgCEejmBQiZIkfAvYYafMdH5
mBTKVIHfC4s2381DD/u26iLjlGmw+TLeqXh9FddsdIok9J2ztex7XmnlLObRF+TTiu6IuWEu5dHa
eh+ZgpHmCD+4a3YUvAYTsCSv0cKJsxFV1aehVYmdyUDp9c2TN2ymQtffI0eyCZPodk5jduWfu0b/
j54RYnqQERnoREgwvmgux9sAISFp109bLk2dqcDIl8HBwt2zTVKxzHzfv3zky64abSqUzgLkzmCs
xSROv/ZZ9dj3sS2Rcg7C1Uxvvm+NFkcmrq4/f7vfP8oo12MuZgZGjKZedFZd9K12RXfiE0hPE5+G
0PeQStoI1sSuP3/WczfwpyFH5NA6jhwPTDzord+nUsJ2UFxCLPzT5nXIZl0vZeeyEwPpg+DAAKJz
uAv3cCBoLOjHIAS+qHaK2wwkNXU3XQgz2UgoeU3s+R6Zf8w+jEOoSZGiQHAnoDy98qc/P/5vS+XR
FiaxNcqVDmL75u9/mjJsc44I3RphX105G8/BBWXKQi5XSqg/f9Rvew64HOZMCCoZ26/4Zb+bNArf
YhKop6REMlOfc43s2DtnB2XtUqQX61+33MsRCor3ThS6cGGZJri/EezmSXhxQf/+afRLE6Mk2kf7
/VIR2R8KF90XfcgT8n2SCc2fv7a4C86viHZd8Beu38tlZmoaoA5qpqocNwQzf13mtZebWpPC+0hP
gtIRBQO6VDHq70TAf7fKLkRqvi1GTnwazTHTVf/phTYkhrHn1M7HpR+i5laOrSnNq5pK7axKw8P6
y+Dxhf5p5CI+StuZIW/AhI/20a8fKOt4J5jo+ePcMydCONrLTZgjKGreaz5PLVIiZQU2LcmiJkCp
5W9zlN8WN2QTw1sD2gm5/TenParEsnXGqP+Ikp4u+iOzLMA8dD3KpL74nraouTSpMVrGJn7/aIpb
EKMpL7pQovl9uX5fnA5LAtaI1r/mFA+w4KkW9haAvkcesSIAdog9aeEQUDmNJFpHa2AuS4WQohpQ
trY5+OgNMUOvDzJaaB4567ytWPE2tOiOMcm8Ky8rRssxVkiNZXIrgag6wcIyImW0kaE98c5Q1Sa3
iYRnrvhxnEceK/reoBek9kRNyKEmaapjNBe4Xl3HJMt4ztdEEhtwP+sfF/VMZ9JVG7SA67JvaMv+
yw0H1dm3wwAaAPSU37b2QmVRWkgTfRjKCTzquRilKYESQHiE3h8t6z9/pDktP4dcE2qT5xkN3H1U
UV/scQZlWk7AlD4kRWh6jEuVhDhVxZHbWHc2GDo+GObMQhG1AaznRcBSNE/z58d4GdAgSsItRTcj
4WszeH9xifbh1K+8y/JDM9D+vKq6WXZv3WZ15xtXyL9ICLzc5FiU4OVBpyhEjAE2tvvrMQsdGznE
UYiPakLp5l0AqIhtAR/OZFZ//l7uiyPNb0fXF7VdWOzcC5794osV62a3ba/ctz26N/Ehp30pixOk
84pKt6pXboeUgXfHPyIaNuzLzYgJUawFqDCNtHVpwVDymPn9uHoteagDxI0MuyqoUDAO5lRAtixN
W2uzTBsglqhClZcqDk2bGG1+fhpbdI8vZzUBd1FRwHQkrIDn5WxQEDTbdGlZxNH2BIur8G//vAgv
1ps1SCjhbM6pj/75bxPTABoreF+EWrBfMzdzPjCqQIF/Haic//xR3ov9bN4pwSsEcBFyLf5GGF6H
kZ6q4+ePsT88f9YS0Dpt1GRS/YVQTwj6PnsHfGgqwX7rTZf0x59mtZgOgbXaLG7gR6afSS04Eunc
DgnO9dJq6sXabwRHFSRmNXbNeoGIIQXTEb9oyuMK0CZlyY/BH9MiM0SykPbj7OyxvfN3aujMC9+D
mk+xnqfj0ffWBLwS0+O1gtK8ydohawHTChmT9y7nyjSWf4zQOJHs3ZqZB/dentPlgCfqAN0b/nLf
xr++vijCkTrCOgjAUsBd+JuW78Q3QM5qzD+3yove1zNEzZPLePQcNvHo0+Mv5QluanKt46rND6Bn
+3PnNu07hYylSvt46RmaFl6aYFAh0rCU09uc+lVAVhOqzMpY4bqR1K87Rm2fDfMM/u6MolvGLCd8
pYJ8uC6BQN9yI5UY93Wlag6WqL1/dubI6iqf1zpAES+xfbRSg+adtVuS4qDFqCITyXzvcyuhzImC
3G2kgTvLUU9HZuLtO2B0PrpNLlOCekQlnUtkZYQnnfYjqIngGqa2kfPaJxsP03GOHl3u56exHJwg
zeewpIVRCHHh1n3/uEbe8q4CGQsOyrb8/mDRt/vQLHCScQuc34S+EKRF+XKut6U+MSbQI1YlDJcz
vClgii1+p67gGx3lmsBajMu6/mdBJIOueb40B3TMhse9xoiE9NOCLYeZU2aH9mtfavuTq6X4CCXR
f1uCqM/KDaxuE4nq6Fe6+hvF/Zc7gw3BWJlgFpAqGC2bl3CagfZPhKFR/4X3heYfWMfmGLaDrHlt
dvj2zyf61wP9/cMigHLmmieH814E63z/P+ydyXLkVpql36X3kGG8ABa9aAA+0t1J5xAkYwNjkEFM
F/OMp68PUZJKClVKnfs0S1OaTByccDjuP5zzHZPSrnGLDxAtORqhSSXyjvmql+fZeTCNnv4vKvMr
K0JSNP7+d//lzv/xZ6LVYWXDQ/xnHVhvtW5JZlL+gRyaxhXUAXZlUjARvv39L/rxk/7nGP7xV0Kt
QHhAasJKjvjpmJj0PNMHtDIfZHrzmTF0jguvpOFJiDyS9n2h5+GKO1CINZKWWwXGUCVyNySWAMLS
IftCrCduG9G4x0Kp7SfOW3y1zBW7L3lO8aJ3RQ7gsdPMK4SQ4jPvYVcXjGevgz7rzy5y5s7TSk2t
/CiLbg0s/zGa+VwwvcnYxWn45Pdq484faRl1rBL6ZqtFlvqmYqHzF96/f6iFfhLhcUnWMoAyiOsC
WkT/uSTQFLudTCKWPsx+vfhxYsQ7g/Tl/bRMb4XmylcDgXfQ6xFLjxqwyt4sZjKw/v6dsdYr/6d3
xl7FmqseBDsEx/hPBZKWhTnrg9j+ILdYAkEoGrwNDmEAxLzLpQsGM5/2dt6BiUyUKmfbU+b7krnV
GZDz0BEjGCm3C5rtvbHMDM6wCXzNE+bpfpMp52Qu7NNszLvCyI1HZqDytlR40zzBYmz2l25i7ZKW
bejblWvfUzYO5XY0k89ZpMnFsAG74dC29klUVre51ckOvmFLsKKM+ycANNlVKRwOCDFp49bQu7H3
DPygj6N0Y0gPNZTWgaRH1xu6iBWAndYpixDOxAfTUpxTEs/ms8ZUGylyliHj//uLu167n68tucnU
oIJu1v4ZVdMzEuZ9t0PAm6Z1UYB9f6kSY4aVVhfqRRvX/KC//40/gWK4q+xVjEmLo+mQ8pCr/bn2
g7cpm5yj8zsed/PI2IxourCflRsGlemWRUTHkx5q+EcFFuhLEk3dKUlc9aoMrrH9+9ci/nprUWry
+NQd3HJ45tbHzx/6y2bMrdaJiuJ7NLFgoG8vw69ls8RDUOczVG1Vz5hw5CXsQaCC8RyksbD2MXLY
gDmJ60IQVkjiaEphvySdHNbRLyP0QmnjcyaSdl8bxnQRfYxH27Ij08OYro8eQb0YQqJKzfHCaE7p
kzxkVTuFy7JNs045k4I38AWjrZx+0D1mcAF4FuBCbqOR09svyeA95ax5qSgNiFSerGWBpGRM2eGy
9PxiDbSm1CLtQ6dPxSHOpdHAwEQuw53IusgXTP3uDDcpWLmiqMPQNbFX6oSUkQ+/rzqPldvi5U0q
ga7W0UvtsGIQmp0KDPC5a8rkhQS27tP8YR1owc3/0+Drr88f7hS4WNTuP9yMPz+SDZ1NaDaN2Xdi
ZlQca6ObfkPlMbM15C2jp7I/lrbHDFco32ayOPHbiQGP0N/fJP/bDQtCjbLZQLlqMhv4802CUqrN
W4gY30PyAPvgxxsilj6Wp0SKDrzM4D7WTdFvoT+Em8oNp9fYaYaK+wQf/z+8mP/lA7v6PUFgWCDf
/qLYXfJ+HMopS7/jjhQPtdDae10qSmAz2L3hXOwvZL53xwpo10FOhnbuCpuDzJbddJcA7UeQTFbu
KVF64xPlfG15Dszdh394lX8pGWyB3pWgRh3NNE3lT5eMAIQ5d2uz/87Uu46eqCys1meSiMMHdvJF
J4GVnVK7CCdwGqv8jBfVxn8S6tW4M0iF/mK5Mjqp9pg96Y3ZsyHhFNg2aSO53FFq+2bNuve/3+j/
+Cwe5+r7//0/bx95QnRDS5Py3v3JVgwk6w/v71+zVwngLos/Gy1+fMtvRguVAC1TtQy6FIoFc40C
/S1wSyOXlVBWFTGHvpIa9d+dFgY8xvW70JswbFl5jr87LQycFjrYPX7cKprVnH/HaEGR+qczzlKZ
0vK64PgxG+bl/VxD5rXdtjjnRvihFXoc2vORHTCyD0uU6k1ZDY6eU07BSOp3mZ7LXH3uqEQ1uskq
bx/13OyWxltH8/pGcg9WY+rbkJsr5yFBj0Kgo9+nBYsTv4L9WmxNYwQfQrjhDA9jHFmP0K/p+XBo
egY3A76qjqyO6lzIOSXjfEhoyVw8aSeLLO8jB8qgHlLcq+cZbMojklLiqRXxorTlsMNkZUe+CmTb
tdLqlK7775xuRvMsK9MfY5EQYZdAA0Fkkq9kKh5E7mZk2DASrbcQlSok4RZLBpxJrTDnevQ/wzlR
YzZ4erxWJzTgwImwn6pyV0yD3KFlkE5guWVyEHlU2xeXFSAqy1klpklR4MEILFC7rsmGnjabAUqc
m9m+oivcpktjs9JDzgPD21zpO/kQDre6FRavCL/QWwgkNKBrSU+J25aDLKpmnTzLaF6YUEKpSq16
eOkwQn8Jl5IVaxPV1XRg5TMxxmgs/lAzVHv9hWVvfRotTe5aXTQbU8uGDdCRWmOt35xGNONVwHkz
blTaddi22WgdcEfbX9wUSj91GagGBst1t4U7rhICwq0eKIz21Wstso1O8GC+MzoZcuZbEyPStLO9
pE1ThVTZfLDZjZtNGai9SScshnxflyF4xmjona0+juNm7NLSh0Y1IMXVO1JZyOSoLH9duHzaYaK+
LZZGdKHFp3G7Rppu1MKcSd52XX3rNrm167FjP0ASjW/QxMgXZL1E6ajMK/wKWeZeDnGkBnpj3+b5
DBxX5zBqUDHWfsVEmZtGm7RhQ41Zb+chmjZsu93byaorskQbpDW1GR0Bj022Vxp5hmLJgNFhxT0R
pKlSHrow1Q8d0R8B09PwK5+GhskCeoxv6NZxoc9tN2S7qKv1R8hp/WFscnurS1oqzy3C9sExh3cV
dWAwzIyKQ1RUmInlnByoNQyw5BEiVz8SjnbCmG4es9hyXtco3x1qYVJnLM5SLbAGHSKajlkjaMP6
0UJEd6mZ6HyTXR4GfR3NX4Cf5ftwIQ6T2HfVTb1KWRD6QSG8ncupuJDLkRKIW6Zp4iGCDX2rzVYJ
QFg+iajuUIa5xaFwk+i5q2U+McsL5X1mVrqPsq/aDRDMutLhPrRDk9BM7L5XhDq9PyOHcrclmfQM
DixEPTdV5aTIDrvqtslxJrdChR6gZTMhBW1JlgpRDwPEcq8Iu3eCscwA7vnoE76CzFVSW5am/sbW
9tmSjeUXcHAm5AC63WRBTX0cYTKv6rjqxd0IGCni12Z4LufmP6fi96JLuvkfTsUVsMhJ8q/pHOey
6N7+fCz++j2/n4vmL7TPbAjZtMGQ/dO5KDgymcOyZKUBocH+/Vw01zRKII8qlg1GwT9si79BOkwg
HYxybbacbAHFv5dGaf5kQbSYX0ID4SD74Yha5/B/LmyrpSQzIJzjW3wxiOQQPSgpkkzd8i0eefPe
LjOj2LIGjvmsJEZ1jig1fZlE8UcbsijzSF3SK99R43o6xEsNJahsbUTAjQ4EskgcIDt5NZ/YFjfy
OVnMGqDaon6koChcdmoZHTvGNJtsWWUYjF0CmvXJBkmnH8AUDMMRgXUznpuKmOS4w43tzbqcoYWw
HwGdYPoa6gSEMMpJ7ecq8ZC7Aq1Li0VHOt18HXqdM02P5cFExT0TK+Ro34Wl9oCEjMjcuk5IJjFK
WCv2TREnZzmU46GXvb1Xmr45MCNOK4882uk61Aojxl4PSt19HovJwPHHI4fHOY8UgBhL+jxZbeUb
vVEFPedJDCUfC8KiNTy1xkwDMdGXMp1guBmNxZwHMQcsDAit/kK+8IIpBIdIgnek1+7oqKw1y7q9
a6k1xA1yEuudKzLfZMjhwuYRBsZy4ExsFSDMDeLTTdpoSJVHMVW7BmeP3GA2Gs9lasrElHtWTCx9
iq1YHJ7V/mjGcQdwIIEjVHPWZtXQ2zcLseiNu3AgsVrHew3FOoUx50YNPqCDhuDaHW5oeilNOm/S
aB6yQ+QoOEiDSrfM14GV3X3bkgIia1eZPtxidUi4qdZ+ziHKJOPCSM3KtQc4FNpWdAl1vlfB63iB
LdSbTJXd4QRCI0Pk24No40EXxoQ69+khMd3C2GCTuGpaycHIcgp8aDbetrMckHQnHMIgV8tgBlbp
K7qmHZ00Kzns1GULUizbIT2/pfyb7jvRm0kQKlIPErchTJ1uKTo6TmebPoUbcAs9dbDYF+rQbaQx
k+08IcRd3KV9K/VKvutdrRlbN2uFRd76ghjQge/hRR2rSa9oXe3YGh3EOyOSRwwPqcZQrP8ap+ZA
vFRpWneQERLLK80q+ho1pkpGgQnED9rZbgAKEdj8urMURrXTFm26FmWn7VijYGAnm8z2cnKx8Jbq
anajaxHUu1FvB1K2RHEYQGdckvWcJnVEmic0cMuxCBfVW1J1TWKO33iN6dZB0rwF7nwRcctUuzcF
nZbdvsRTFn4Fa8Ypli/DrmKzsSEWszgi2q+e0nYh6Me2ruudfRtqhMDZqlFsRK2dYWjNjAehWTpG
ZW2dpNJBgBiV+llqs3pbwjF9iapkuWlqczyVQyb3rWSqPici2qUpdUPIZNULAQN86GPW7pg5uA+R
CQ+MBaK+xq19WXT1Fgg26FAlFKdsGawTYm9ln6bt+GzVJSgD4hmAKiSG/ppbK98Fo3MZeaNUIcHp
Jol5RBp9KrZDonTH1diuUUyHvpPvwjFdH7Yqqyaln2sXfIIwHyoD9Iuvw9p7ZwoaPVqpGalemTXW
ty4n9aVgPsLPQHYmHan7CBAhHiOHOYyqKI9s9HLUhmmKnhGhs1FEzn6yqGRQnA+O1zOF2XZWpHGj
911yo7lx/9itceOS6/PYTvWV27q8d/T5hEycIjML3b1iYy2GdFHbR6dREtdzTel8TAAy7lzpJHti
2ooPO1HdQKootLwqV1WxwcGjeog5sQml9x1RFYfZWJXV3N0PmlIyMdHGWd+7vRH6Y7c8OWqqBTMz
V3IbiD68pHLgyd6rxtdSRqOXx70Ce08z02Bilf5qkXEZGFq13JeTm4DYa8bnLG6ZtBppedYZ2YMg
tad3VGTDZkB5/gkmhrQUq142IMzb3WTqxguh8jlT2sS9HVDf3s2FVW7XpJk7vWmqVYqsPqBmheCG
FD2rt4i0IySKtfqGR6sJzKkv71PiTDt/HmPDR9FJY6B10SdgKHVfAKN6ZfgK2nLh1tosPHL8uJsH
msEoJi2r5MnvjA2zMGcQZ72Gfson0tia0crGqd0KDroVH0u3qe5qjflgV6swI2Y3nr8nc9M9MG+r
U7/WqflbpOS1F2tt7odru6lpg34AwjP3vqnX3/M8MTbaVLqEqOjleWIM6rMNbk5LUY5XaSsbwuzd
cz3ocKfsGZLfAYpQdo5VrcZ6UqdfZTuQqUa+GZI8Z35QR60lKF3E7r3pkggyON10KKcwYdwYmiNy
uES9ZR6VPeduWT9HTtHcFb0MiUcMk5t+qicvRq70pNFkbcAFpjtWdPMmRJbgqaIA0mny11KxAk/p
DlDwhsqL7P6JqT1YpcRsWbRh1PaFBfOnVmP1rm4xKGxsJyyPxaiYnc+KFsdoSvgp6k1Nx8diGlzH
bnwxJ9vy8OeK3TzlrCLTOlyOmCTFu87PB/AUFskdaMjRF6nqPkMBbPequXDQOwXhrh6hUclWJJk4
2UlVPYb20ERw+huReVFIKR0443Tq67LZthVrjP9eT/1nZPQPxTFDUIeS9V8Xx4fiI/mpOP71e34t
jh2S2N3Vgv+DpPFHgJ3jENRBtAQygt8HQ79leGi/2JS/KscRMk/2gVSsv9bGjJNs/sP6bYQL6wh4
/p2hkbmGxP9hMYKwU0Oewk+jaqcQ/4vartcJol+wcR1CY5kCo5byzUpDaDV9ourswpZBJ4yynUH3
ot4e/SzStZNAIHleSN2dfI1ooE2oJsOH3Ws82MKp+OqSD0ryJ3pq8h57Bd5bGXbbvFiKr7kFMpNq
Xb9tkpH6Kh0a44xfyVl8eD0ocVsXj0sinAfKInnfTP1wqw5vedngDGzj7Es3qM1rmSWAPpZBFgtL
qWp6aylSJ6YUCtMUxUCjH0xUUhhgsclnm0rUGXC1DNKY0eSEns16gx0Jwe6B04taNUR2dCZUNCSj
TWUPHFgNvPiNLB3MVo1BbYc/OzV2Nfjh2JviMD4ZqT2Q6zPbie0pBXWMDwipfK/aqnotO3W59MyN
/N6Q7U3ktuM7BWnxanbEufmDE+FDGzMiv6s0etNjuEVJqpfUPP126PPKF72uEvkIgnSxpvLOwn7n
QiOf6gZA92gTNpVkF8fAxGdKY9muYJ65LQ+2PfaRV2dEhhZ94wkTj7Ke2HdaTY6Jlxr5O4gtKvAp
d+4AWFQHhPDdA914yzi1xQMwzgYjhUqTrPyph6wO7HVKjMGNgxQuPCytVh8HzJwI1SKLCN/EqsmI
VXMdoJAyyy+YiPqH3sTFmfYaJFuCILWXxM7Cl05hmFWNVr1hXqicxkVPPQR8AsH2bPojqaOnJdL6
ZxzCVe1bbs4oCxXiTew4wydLeSxoEZolIpekGd8OZiE3Ve3ipitGt8aNotnDWSoT3YEr+uytBm4P
kGuqrV2ENSX39HRsv6aplNIfw7omT7g2orvCcQttzx4xuY+rzHjWozy5uovFb0O/0zxolY6qto7N
G03HY+PF4Lj3itFFLZGmVaB3Q71nuIculb2TLxhQvipF1BwNNXe/j81oN9hhc9ZhmjE6yQbTgnu/
xsogFumwdLykkSHuYhNrvDc4+GlAqS3Zu4kjAPdprGcb6vqcCWiHHS/Xikfex+yJUzC+s6e0Pbfa
DMas0ddg8HKsTwBqGOWJOcoDbtfykfpJBSGFPTZQav67VkYm563Zl7h+8+qSFnaZ4AHL+ZS/TDAP
TIKcwQSYXB7CRNXq6A6Jyv+VwA8RNU3uMKfifnXOqvKEnW7CRKe3WK72+QiYORwWwNxwgY35GFtx
uq9HcafRoaDUsRcKxyTyoLW5D5Pk07Npp16+hiE4NE1ibQrs3nRbP6v0co1Nth565CVr7azBt0Li
7sdFol7MKp9OnSXinVmjxWnLVkIShxKPOyrbIFHmVuTzch+2E6u0ZBjk0xSORn4SfaemdzZaYukG
ZgXw58Fc2jEHB2fDC7joGkX22DdfTDTdVyVz3CyYGkCZRjMc8fiJc4mcE7JapgcSMsGu6vP5ClRN
x3FKHVQ6VgRisJXXsTGaewC1k29mKdgyw5Ubu+KNZPXm5SFiCa2OL2u+Z593WIG75DSkxwpV4qE3
lBq3WIj3MNFfRRhTM6TKMaXV4WxXGc5rLT9GGf2pbs0vMfrgQ9g2pa9xWXCKOO1topqvINyjYFzg
KqNMV8605+GejJvJn3v1udA6yKNRyJs8kzIA83nhGoadeoPUG3YZciV1q7bx02RA9pRp+cWxIQzm
TvUOSUJu4BffY9l1g7CTXyKjuRVjmt51dfFiwhr38NyQAqluc7V8GFYfTz7ZuDlUxqDqmA2BXmDz
AnIIQc+OtcyHi4n3a2hrG+e6ONeJ1h4bo73pyOzbzq4z7FAimIGGga32EAnRjrlZfCSA0kz486rl
NZ7a9uyyOd6KUfN0bqMbwbt9UqMGpLnSF/fqVJe7Ffe8M2fSj7u5XC6YW9OQ+wcAGmSH6lrPs3tv
LE2GVZ0V9zVTpvEWtOcH6U/qMUsi7WZh17dR2tHJ/cqa2IOwHGGp73D7PaJBjwLUTGBFJkvfADDO
g0hE80XCzPDmQcMqmkW9r1hme9Hd5Go1CokHBsneDbabS95kud+wlHkYZBhewboxVOoJZbNKelqD
twnw1RhkOsJ4OYVvcavWV72yxzt9cqebpGlp/hK3eMC7tQJexbG188JH/8WTX1Gfsf7XnqXwjzid
Qt8VvFI9s9/HaWjvHcW1feYi89aYF3fbj7b8FG1YXJZx0/ZLfxo7coW9pm/NC88YqNlMNQg0j/P6
nnhFchDwnN2w0DR80OHgtac2fjel5LPlli0Qlqy/5yaUFxy1EvBrSL9bCHuTiKUNmNjc2WZrBjDq
m0O+GMadBPmzdqjVrTVqX62hEZtaU7IHgrWBkzM3e+5Ks962o55p3BlxhmxhINdbA0SwhfFHfwOr
aKcRenCjDMLFQjjO+4JIzIPoOCJx64sDoQ1CC34Uf/+pk/+pTnYtuG//ukz+f00GZuGt/fM6dv2e
38pkF5rzOqfldMGYwJ70992qa/6CYsUVjC5sCyiZSzH8a51siBX0zNh5pS9D1Frx0L/VycYvbEH5
agejz7oT/bfqZMhZf66TuQn5H5pUWyMih1f60wwZT77OboR8XUs6jg/eDOt80Q27JYyno4xqa78o
JV7MchznD9Ke7ZOVmTV7SU0b70uGCigCKuWNKAD1nAEFwgQaGo+C7QxgSAa/QdSa9gWecHs/p0Py
yAEodxkO1UOOXP5rSaY1yDo7PQLO2HRzW3/DfZDuIdQR7IG6e2ootavlXa3Ik0nCSODimDL9AQNF
dnQLWdyEtiF3vdFS/3XFubR0aCQyzAMlzeOjNrTjoUhyQhdy8jcDXYnsI/VoRYSmnG7LypG7Sjru
aW6jgehuMelX3KnuBYqIetbmRD2jLSNGZyiNeosISe4wDUcvmpu4Fz66d9ok+jPhWY+LOiMsFxj9
yQR2FU9FTvyJEouUgXwWvgOGV+dB2HR3oH6pnFIbtIJpUaU3rNt2llSrj5FF79ZoDKg6CZHhRV9m
T7WZitqbpJnuOAvTvdt2XTCaYx6o9qwhtNX759JJwtuu53zvymR5x6w8vxRNb1yjDB6WMafNRRjp
dIUzRYyorifbOoQPq06i/pYb/RRAlrG31SCHna0xhtUipm9mVsg9GH+eh6SCfyiuseYLA7phmKIX
0cFczcZ9AowhU8siaK3wTGRXflAcBmqZnQXE3S7P5tDUu7oerM/ITUuv5Ql70wlz3Al4qAdiSvI7
TFcLK1IlzY64dEJlY6DRvakgkHyJ5sR9tWuRb5haV8ewEuNDNYz1oxuayXlBu3seWxWYSd8YyTNE
8vaU9qp8MBnP7nKEc7QX1Bd7C6g4XD9pGNeF1uYcRSY5F7YtpadUDuJQEpfYhna1Q8dgDCeBp/LO
5Sw+ItUUoZ8upnxfAcaXUAi5n6feuBG4mXZ5JZLX3rGTl7oihLeIKuuaA8/YT8RpX7DRGjf6aJX7
Bjz3bWeW7WNK+eJPeSsPudKDkQ6BlLqF5Vz0utJfC1xN5zoys0OCZp7hqDSpNLJWbhn6W7eyGm/0
eDS5Hetmr6jdBmla94afjEnOPGXaRq9C+602xu9WTc5wRICIl0MgAbYemlvE3k4w24X+xTCz93mE
Ye4rkam/2k7xWA4GdJa2mncL0/Mr2ZCwgekJlaOlYApEUeCol3hA2OyPiqjf2rCh7oxAvjIqNqD4
hk68Kwa+CdS4fHISYMGDAbuJbOb8Jo14E0dK5YPopQgATeQPttF239BsDQ1xR9ojnv4Da1BxpObf
4c/E5Q1aFj6xTLMrZh95b4VyL2bY4SJcioOZ5WXQVj1VFw/L1w78OLzkPOSkNOoA1RSE8GJK76sW
SudCqeQbGdrMJZ7JzKms7AVgx/RkI+G9ViTY+LyhqOuamEIYXVZ1pzTTdiQP7KZucNr6rru1ujTf
he2onjGXyl0tr0MYDi/KajHKhKFdUzUyyHF2VNJxRoRSbCGad6ObeSUAg0Z1snelNk6bQWq9wgbf
cF46G3yOV6mLhARvzyUu8jm6Xdoy2ykTWZlspyybWmoSLrTkkflDOG96covQoZQ9aVCuOzyRE7H2
OOQroxKJah5zSGs9t2pYT1R1dZ6LUN1oGp0ZcWaOF0Ws1BPpgu0WMIlcIHtsD5PnzBnVg1RbdYM4
oaa5zMpvUsRARsrYvVq5Iw5AjqfcW3AyX5O1b7XtwsfN3b6J1J52KXqhO7UVOQTI3FAvAxElvgMP
GjaGI8UGz7z7xeXUuCzssJ4bx0xO7Cq+4s8Se07EhSVfO1zayGQ8jxjy1KaioK5V3BP51s0dxXN9
TiF2fFHCRF4QmFQb0l6ireaWUbDocbWx2tp4xoOg7wXpL5smdMptPKX698WO+vOI8vvNZFrL4dIv
5gv9bfIEb2WQHkNIF/SCG+16UFNQXaLRV7QwvtM0RLQjiiqPGfH0oPZc+iK2lmCeu4puT3du2D/A
4CavO74Fhjlyo6HqcBXsj7yzPdSPyOh3RTJ1B2hD1ZMkPz7RqnQDGGa5y9gbbaoBjpQ3M2FJ/V4p
TI8Uga2oy+GiDZF+dHEMfB1rPQtGxl3eAMP0zJRiummpS/cYkGHdZHXjvmZCJEFejOqLDJtwz5MJ
emSnB7MurLulT5V3elb1WHWOsoXI1bJVIzHcMpVwK8yovcp5dJ5wv4ZbTa3Vh5hGmV9nh4o/z4rY
GqhOLs1cfyvaZYYk3vP4R/e+wLKazGg3GaMWLMiG1/b5xipUHf120SQTKtxyhHizsvHUhCdaol5X
CQpnf5pGj71FIcJwpZYERxlud62jWu5Lgr8ToOY2mXVL26APtUOnZmxSZYdBxrpnTqNySnQy/5wi
vyPCLNt3Vv9qNVbk8ayFMu70Y/8t68Qr9Lg3New/QeO8OuV0X2gLApNlxEBi1PmhKex5A6HoUa+j
6ljFtk2AU6YT5z4W7wZplM9gCF6doRAKt3oCAzI7QstP1P5Y1W09dDtkWfUizpRaRSQ8ou1IOUvA
rJmb1UsGK9yyg36ceueu7sisfmlF+Nkns+Eg/Bl54xRSGUBNDQvBNaW662eqnl0eV+U5gYBXvlY8
QKm9Vi7ZFGbbmuYsPzrKmk4IETCgyMtutGhm29ck9qs1W/VXdOFRehdif7ixY0trHnvGfOEOuLxE
ZTa148IGN+qs9MOh11SeLPAj1obtSMi6SEmyEh5DYgSFos47UBLFdhDtM6uBEdRDJAMVAZnXRebz
pOjjXiSV7ZMbQlZbWUxbV9qUk0TUJ415InzOiWhZS8vLSJ77otiDsqcWeSoWVt0xUShHThDlgYiz
6DTZUvMhVc4XBFH1peHdPC5sZLs4Gd/MzJ2PjSsUwBhKv9OKafbAHlBuGYvee0yDm5uE8WcIP0rM
wcCAFqYXhFAwy8BoUA8AvTOv+UIwW1or0WExYTcRRB4em1xPjp0anYTGNE21tYrBk2ACGdn1194Q
wG8ma94l9ZBsgdS5GyVSUWiRjLcZQ7NCgA2D3+tCktGYJzj7Hn0eFiqdxESS2z/NHk6bX0F3JcDI
xRX9QWKecJ5btUfh+96bNkGvT2FtruYQPLekZfxHCfT/pQSC+4x++V83cWDFiu/vXfLed3/s4/77
237t4+CKr8sM4KYIghC3avRRv2pkbeMXbOfsLlh3mJr9Rxq5qf+isorQkQ7+1qz91seZ6i+0cIIN
ikXvRWeo/Xv7jrVP+x8jCL/E5hOC24fFh43B8Gevj6XPtJpAr/ZlEWngRBM+V7BeID90L+htvjl4
lryqXLpN0U8uSwnRetM0Z0dHyypf7ZxHZ3CyI6qY7Mw07DQ4JpttRVCWoouQKkNcO0XhN/cmmjrq
D2SyuRrwtDSAy9butnIVGi/R46t39WsFIzJAlApbynSyjVbbBFho/E4+NIOf4j/zVc6XAOLwyyBd
DoCk9OqqhL1gpd+EUqmBzPnyTON5iGa2OVRD86I5cYUZfjC8FEv8Jg/tL+yV71ND+zawTud7qxdZ
Jp98hAwSScgEA8hw1WDqQV/h7xHV1G3Upn4RcHChBtoFcsFV9hHh75ryQg0GxT40LNijAmxKiLLG
H9xwE3U5XtM0+8TSPXlCcCmB67SBWvND5cAlMLPoiT+By6A6h5ytQxA2fNWg8hrwY1LrhRjumH2X
+9Rsqi2LeBmIWvBfM/M6On23Wb8zNUPHS9w+5QBZC+mZS1BJo9swKl+uUSmvLooZgm74lRIcx41l
1rz80dA3fc0LMiqRBSjsnxAaUXMCFw14Gn/ORV1iZWl0xlgzJUQ2o15Cof8eSkXjOriP6Nm6DeEc
sP+gzSIAhv5odo4DLG2gbU3d9jF0wuxUkzjo4/1nOUNw4350uHpGyy8dLfvgaMrjj5uEUDP6DLNu
g8rmPiC76JoPDtgw1X0c6YR95luDn6vWdSChjtiOzDzQKbhbLSX9pIzy6Wi7hM0M1XoXdXwtWvNL
0mpIJ8tW39gD1isRionLxI2FLBvcsWVduJ8/wR1RfSBP9+SYfIOzzXu/8G9E1k3UTUoRjJ3D6A7S
lZ/nXKVWoynSGWSf1bpFRtI2Lz/e75xFOzxhbqtu5O9FREeKisvksiQ1BP2HI4+qFn3yIeeu5lmO
3ZS707G5Vcr1s4AYdX6SMf+KkOeboa2hGJNLMVUBT+25XKiZH1lCdexP+Jyw5AqPjGCXc0xLAua5
fbEB0YNj5R12em4mh0/jj4tBFOlAD8aXVln+LS9HVHCqXR9BQVsbgndBVmVteJxpJu/zNq18bBkI
Axsy8Qxoalv4k/rmv9g7k+24jWyL/sr7AXgh0GOaSGTHZJJMNiI5waJECX3fBr7+bVBWFcVySeW5
B6VVtpUdEIjm3nP2aeCerXPibtYoIfgOYdReOK0ybSmxQEysg5jon1nzU5uHkqPiMR6TgrWWpote
8B+nsUgvHY0Hla6QuiYkPWM7G2a+ynOiZkN8M0Tm6e3x0iFX7lTRa/6E3AUhncNi2VMNwD/VEsTr
pocwUovtxB7Gh1PHY5hiqnq7t3iqFmRTcbRIAmcKYQgUdMg8feTavI3y2U6Jh64ad8uxgdgc8HAb
JOLZGkYkir5lACwjnEf8hlCnYqtLpjF34Pk2UIXt3m5z15Nq2DUMI2pLnT8kIngBw67szIifCiGJ
bWIviIJydWYvM/7Mxo1bIFKkMHw/yEbMK2QIeLneuZ5WiOCgNn2BpkGdTuZkbp0x+Qw5cwlRGosj
eUIpgZ48EZA5lV1o8pyWyMePZEG5G9tikBFYVhyVFj3ODC+VuTenEMnkIGYOxJNB0mPWsqOaeDMx
Dp7R6pZnd6q+Bt/WrmqtbfajhR7KRqy0nuJc3anw+X2FSArPDgWT28ite2MLBr12E9GVB8JVyG3V
MZmAYhsQkfKzg4GvAPaapwh2446AKv4gOPb73KS5k+a/PbRDbA3UEpQ73ju6NhuGRGMaN5pM5JZM
BIfydrksOyODqZ6qTct+0UvLTF1joSyOk2VMp95Ov3HM4tKQtuu9XWv6++k6pZ103Qvuq1Eg5Tem
jsYf6JUV+HiYe5kSXGts59dgjbKtE9TfyKpe2XlPZlmABp5O6XQwlCzeiKb54sAlwOCHoL6s7Ye8
RPOSKtG1MvYnIoBpkI5OeJDxRDtdyWgrr9Fkqz4gDdpUxaRYS+LD/JyaWT6QfANNwXdpXimreW6S
z1pSTmsOdq4J70+7MwkUW4MGqZJLGbb9AeIet1BX6VLRqSKw1E9UVORRGXfXUWiAHYLrnVGKA1GH
Q0OmHQla0m1an+NyJTyrrhVCpvsXpSvLV8K3vxixWvarUJ/Sb06tKzN6KGWeCaWkb7TriqbcuHkK
0hVefU02dNLwzCNlVNYhS9FaE05wCZBxVjaZDnjtRM6VY6OeN9p8B2qzUx4hHQ9e1IdDdgwiVwfH
1tBf8Gq6VvHJHCDJ+6FWBMq56Nk+gJu9e7cVu/6+g3mfcPGzE+1tX4O11SG+Hj8cZZylfv3O4Zm5
ijYbZUOSZiw5hczRNwDpDlOQcwfcGDo2QZyeEf+WpPWzT+/PzzWo1HCcVu3/oI640tAAX1b9Toxv
kx3PoB6nr8ihMC9X6bdf/0rq+R93bwbGaGySZD9gePpgXp/HUDFw/vS7TDJAlp2ASyihH1J4W799
0j+dnN90cuhBL2SZ/34K+CRL/HXh+xPAn695bwdATWTTzVmcaAsz7l82OcFGn2MGe/A/0zx/KJ5M
2jX0cDgBYNEmFIfx/cMNwAnAdW0iEih0qPZypPg7kZ0/j6DFT4rHXqdfha4ODtQywt49J0E/CsLd
6vHU568h0VZR9vnd1fiLB/GDoOo/PmB5YN59QDORYlRNfICDbSkiS653X+LhFLtsFl9//VFv+KB3
hxkA+A7TN/5yLIk0pdQPj4NEwp6ZENsvEzOTKiL+XNEAjUnOzRi6zWeY5qEDsweiswrUmFrT7JWZ
KePiQK+rDvPXEgGDHV6FvRGxddwGTahuKRL1X2PS6eP82H8X36sWQvzsuyjfQWR9YSFBDe4kLrJk
EfG3XSKuk7pE2S8pPZJIpi3Cf+fNA6ANCBaQmQwUrNasB3WU3tYukWmNZxnFYNMyL50c3Jkl2fsX
vXZoRBXfEz/RX2RB3dOaHuAGb3JiivX8wqYQszYnaz5xJDPHZ6VUrVWqIN3BwwT4WSULUL8yFHaq
F0nnRsotiJ3YKHwwpoGrwCJPk24KtnbWxO32n1njfzERYW79Zf93/TV7GV+ar+9nje+v+VE34Pkn
KxPqowGg4Htx4EfdwKSkYFMBgNgFsmzxz/5o/7p/sOBRUyAGiMICD8K/Jg3dIfmMVq1qWSYBQZqq
/51JAzjkz9MG/WUTKJljqIgll+70hyctTThJidmtd9KS0SOyuaJaWwjne4K1aYlMxDt2m6qW11kJ
ytzLIo5iqu0SOqCCOhjigpOqPovHIO5zgDpFanmwHsavU2cpy5kgofpPO3PRgRfANZFaZM+G0rCA
4/PbFEgIQT+pod9MLo83FzHeBZzkbpOObfJE/+OUJWQBcwDitGkTE2IsSLnmYAkV50PJkUCxMzwc
UVOvKNM2F2gJgejkqDqUyUy2I19OQx1pVXt7RupHfEZ3LtzQONBAfk7sWnmMs5xda11YK4NIyC21
ytCvlrJG5bTV1Tyxtcin9gZ146uppPxIWPUraOs37BDSjYtoZy1NXVkl1Ay2kMW/VfQix5XqdoCu
gVX5Js6JjVZ3BCHMfDophjeWPqmr2O4uOxAQq17jaCKcu2DoL4lAJq0HeshYz+I4sXWkrVMMtE/G
5Q8ikWR+NJzqEVQm2H7RTQdOXc8cy/dLt2C1tDhTmT7XJidGuyxvp0SZn4gIU9cVYKU1wKkeMShH
QYCvHkPwbtIDP7CZ1NPAWr4C2TImb+3WuKTge6tXeqooG8yh5W2IivWhpAT0ICadk9RSL6hD1KWA
8SbapwjOIzX/1s7VtWoZM6kyymGRuL2UxHTcVdiOcZkEGlGvVeaPHB6vs5FQC2fGE2F29ZUENfxo
pM6d1cbltpwa+OetpCIbpLY/gyrYubXlYCRy7jN8G+im9PE+JJr5YBDtRhp12OY3mhv0XxQVooNn
16p+02mZfsrjOsLIpUUTJY0I40IWFbe6QkYlULcmWmulfkZsi8vTCYq1rkfQlHlyVgmRN6ylykDA
0FS726bWaT6ElRAcKxADJ8J0cBANVonQbuovAMN1RBA0inlvA+a9MHJLfTb44etWdhwP0cPGuGDT
EnOE0wQNogWpXpCgYXb7ku4ZNvCkk9+UwpyVLXG1ZfBNuvZ4mWkNDJoQjC/nxhgUCMcEWmyJuP1n
ov9fJnqqugs35L9vD09l00X/5700ZRZ/MI1+f+m/J3wDsgdYHGzUGk21fwt+kMzr5CHiqviufV/2
gj9mfAQ/BErqjgkIWeNlvOrfgh+2lEzPGpu77y7Uv7FNtNWPRw0WG/ZVpIQtnFRq1suK8G4fZy++
JsLekNh0VFNXqCIjez23WNHW2tCQ99sNlVoCYLMjax9onP/2hVa4RMrAaik8+vOLG2qeclqkZhnW
OyWjpd2sqqHI1ZUa6S0cC9M5yiAy9hXut1PJVm7fGT0TsdSS+imrLH1PkhRQnjEBN4AuY8KVRGz5
0cXG/VS0TvVEQxyiAfkugKtGOupHZlzjpWgGccrdXCko6oeWRVdRc6qtRkhe47epsrxEDxD7IFCV
18y57kOPckDDtMVeadW1znQOJ9N9yGMxnZtE0/dBmgMj0yuWuitOsml5KM2mdA7kSbavraOKu6zI
ATGIiFgAUYQZqRIGJkkJnaX3gNPxMyrXaCyKjmFDmUsXdypw8hdbmybCKZR+pw+Rfj+jc78u9LLZ
tbpK383KWwF1HwTuqiLz7iGB3EPJrY4rqj1uAhOvwrP4mjQxV4CAdu0uxjH0pAeU61aT3vDXjElA
tixN80WGvI70Zb6AKRZsBGT86VrFMXCXBGiiEezTxl9Z7sSvNlI+00n16ilLVH67m5kzCppR1U+W
EecXBUjME5N+cnSGQKyaMZ4ukyAe9jTvU8RU+D/pDCzXk0DIJFzlE9KqNeOaf/P9hmYsgw1y08B9
0PrlDsOjJUNNRbTwSKo7/tqxCqRYU2xL0DG1WRrfKLTfqlUpE96lGugErpyWHGzPzHquy8gqxuIx
KRkGPImxEBuhHcKv6HLSyyiDRuqnxmoNfUMQq1KuhnH+FsH8o+tITNcD2+wzTWpzI4vIMrwsiAMM
iW1yYw/s3uhd10Q+iFy7KwwGINTDZdQie9+kE327jaTVGy54G/60UcTEfBMGEeU2MpCtkX+2u4HR
oDXotqkGdmi7XDYFexpGvXGZkfkBxQHd/jlUNDKjggGlwsoeq+4VCSCRxGpXiVM0LpQPGxE6GSUV
lYmVQ3Y363JSFfJQJMS1eambZbk/METxpfFYHsvKJTDBTrCfKAnmvKVUy/eO5wUCkpM5f2Z7BXys
GHNGTCD69nWaDD6yACEfUt9mnEh3qp5oOE/XcDf1fY48/YmaFm/W1TBCXBM7uG0UJMsNSPIrQ1RP
TZUED29DOFZsrm/alhfl8rAvtranwBqm84iZuvdGLZTXE3qy63zWygsjSgBJggp0H6Aoc+E6sp0o
TJHODvLCVsuLjBY7I2B5JAjHgpJMs732ZNRzs0F/oIuK66fZbppdbZIgRHnOEnfGWAYPSqIOyqpq
k4h1mUOgl8F4QNdRSgyDGu1foPJsosY45+fAayBpCwo/kDDJ33JUlQGm6DzkLXkboR80hrgbCKXc
SnXZQxJJpe9tFAmwSDL3ONcWt7CLJe9QVgLRe4ZkkZa33UY6R8YBi4nS4Kb2u3B210R32zvLbFCg
Z4l7RLmhrClhKw1tqpTfq09NOG7mVvbQ13kogpXWIIxhc82MlWu4Y8+ynarLMAHyHMs6pozNs0we
mbF3ilTBr0/eRrwyCB7Zpyk136RjyiByD12VSW4MrXljOnOA5y9p5HQ/pWpQ71y0M1uyxbU7G+XG
yUqzMdiAzWzm29blaL6beqZIHWvBcUpTRpTiIiBaZ5oi7gJ1nisySUlkoHOU0+onZjFGAjTH294g
XsBD19DsSOs0XtpYY2oWgWRMBZxGsF5ZM7e1aTM4NqPLE45PQ9zVvRR3CdEY2J0bKuAr1PaMF9F2
SP4LRilcT56I3KrFiW6buMsJJIAxk1dh4A/IAngSBREjuO8b3l4Lg/Y1TPH6xpHJ6AadfIdP331o
YlMkFwbO0x3maLXevI150NK8SO34zZ5WL+O/p2Z36uPBfQCobvM71WXaG0ZRdzAFTFiWUFWZ35qW
wIYs0pfx6MrW8aracR8UfeZGfp/SklbEOe2wkaFkQk/p94nT1hiOB2Ns/Eoo4tqweLoyRFwogEYu
r55NkF74d/TOjIeF2i6wR5hNtHmbWcsyEtZ2pPn6IGK9KB7GMJTpJ5PM9djLUGfixxjGeGtEnfni
Yvz30dfkdEP7BcQNejSa3H1T0cxbOdBZWZyDkBnYzWZxGmekvquM/UPvOaVTCYSAUSGiK0i2ZOrR
SchHVKI9W4hVWBYlpelydi9ymJsRjQICq7kksZvdzEn2FTbKIgbJOiV8YCklfKgzc25RofLUpP3E
XMsz2awjppgSprFmJh4KLeu1LPKHMhTNAapNr47kqo1LtJ3e3NEG35fushC12CzuYhlWF6wxzrUA
qMpxphn0DVv1eFUL0Z1MVS8vWhzzi0Utuo/t2sxWSOKea3qMilbWxxZyr9d0NkWWhGcAA4vIFQro
ndy3UV9d2AkEn+BajYwSHWD3iZy6TVW19UbhzH9Nt2SV5DZpudSyPkkrg+fD2SvnTAbvIGdWpX4E
ZthCGgXqaF2pVb7WLA0RDipFtEoWIl+P5ne+E6IOYSIbleMpRqpv0kIbaDtygCRZbzyYCeEeHj0k
yWGwqCIJs46E4J3LsCQarO0Xowo9pItON+YrZ1pCxRKXZQ4F1i6elKpbkWNzb4ihvFTwBl/Fc+oc
bC1g9IqlQR45UBecpMK+U004LFK7v2imQb204UnBnFfM6SUjiPVe2vm9wfk5O2Y4dm7qNCp8pcND
4hkzjVxn0IdvLW4acmA7XL4jRr2ZQebXph3DjJPNRiqJu1OHesCq3uU+Phzc+iDxkXPqbXLpNFEi
kVP11mvSOcVm7seAdTxW/TAe7103IXMwtputHYzPtAY9M07sz+jz5DkyyV4UGQnreorqV+vM5qZV
uayWW1g+8sXpS9Jrd0piBxjn2/bSiaMZSZA0vdLu800pFWMbuIN9rNzY8MO6vauJtUxW4Ipt6NF5
XV52ZD+v0zRnf0Ij0udgFhz6vBEHGm90DXGHoPTrjWOpzyremKnwyUsybycL2tZU146vuDMq1EXI
xAhJrzF9rW12nQqZ4VcsAqiajKHYwOew9lmjS3r/nJoLvdgh7Wy2zrJC6Ih711Po9jsz5Ya1oCuf
Whzr64RmKEwH86aPc23dFYV6TpvEoXSQdfeARZSjzCusXYpj87qRvevnDhEG+xJNmw8deTjbJO7K
x4TtO9u7ngIl41tL77CX4m4adbj2i26UldemoGBsetuUm6RM8/2I9fdFSfPHSalxrwg7QwTcNO2G
Mo1RrqQ9QjKYu36rBjiETCetEevHSDdJtdsGYdTth8J8rWiGQexCQykqFd0VarA9Inb9JWjUql4H
ZTs9siP22V2DVqLJWqxlqqZ+VxuUMGpmFGb+hjxZMJsrJdbsndpSzcijTK5bTZJ0RmLYeISDYINd
0fvE7ZlInIZr15nqeRjTTPgE7TWSvXg9oyGOA073iPbzhcYywzl7ZfIPN1Gi1SDJQZMFykDPMowC
UHNlqAfbzooUJqYmtnaE140PStpqDsteoBFp3Augo1XHCSSqffq9iPxanotY78aHCmXBfqYct3Ib
Ckzz3M2ovBcBdmJjldcy9Z4wJYchrtO9VA60qdn4MZHmsfuFkJ3wGNY5Qu2u/UQ+U3+RN86llRat
x+IV3OZYcB/dsbWaVc/ZpTukdS3jT61V9eo+Ty23Oyi1QEu3Y9ZCD+vqfT36iVDYOYUc3IKroHNH
drMDxaYJyYvzFNQZk3oAlquivz1KhP0rE9QD5aMkoa3taZmhqKuwVdQxJL9Q7fUnGB6sulqfLNaI
mEjLDfIHM7+oVcLFNkgTZrFWzbxzGD2a2/hmzx40QpsdspNt2YhYA+BqdHJVJg+qmKez1EZxx140
8/J6ZFvu0rRfvTvx/0ULRP+PaqngPG8QMQLGDCbixzgTtCwVDo462pG+xoIZlmwFER2OY4MKhbJM
W9zC7nGMvYTLz/FGL9v0MBjacO6NwW1X0TC6D0AX2Lwbb8u0wCu8Vcjl9DEksJuIqbD5WVAuW4rl
6Fm4ataslTzg8JbauMYvJXWK1+975Dgfp3OP0pRrIqvpjFSBpvWQzNP1sqy8YL91jwjFHeSzpl2x
Ifv15VjK0D91LV1ByAn/W4Rn6CGXhtj7UsLgEgWqExW6K4IBog+BZASTR1ZK6mljumbtwV8EMENy
1AtAQXmuOw7ddcShNKa2d86L+nff6K9ukIphykLWoWNt+vCNFHII554FcNckCvsfS4GV2FFbeWip
VbT0xpdz3Khp7StKPh1NGRvlYizx2oiGtcXD/rAcJtih//pSfexiU3QxKQlplF7wCBmYtn66Un0E
Uq/q4mQXlC43FMK1Pn2ajblvH3FuzvXGwALYrMvCzFJrNaZs2379Bf7iXhn0MohWInFB51ss+sF3
ZZ8xskQ5a12IFcZFixsUCwO5d0WgYWNqo5BjSlBtYz2Owouuwl4BXaANyNPuxB3ZhOJEph/nkV9/
q7+4LHRE4cxy4KNB+nEAFXqPsQAqz65QODTUE/tGbLglpxlUd5nXAdLK130+s61WhrB6+vWnvz2u
79qMy8Xg4+ECOzR0uTgfmh+FxL9ZDDPXRGYcohNRS3xhbe3kZP/lkTRRdSAH0e9S9O97sRzcCgMj
1sVg4NW5Miw5pMT4pl0Y7YB/E4JeE4T7rUVpdh7Bkf+Ocf8hCgX33KI/pY9Mw4YSImDln29iJJQ6
JrZU2eqRyRyolXMRHRz09zxqE9MFEz9ONs0ZlNtCQ6aCpjFiHpBYHW5psDA9hbrgdEJxOfOwFvF/
mZ34E801VvO38pCuweBCLLZQNRHPh/GuDKmAeWSzD6EfEpq8m2XOp5saZIs1nLmBB4sDwfcm8D9C
hd8IFQRzKQ/nf69Eb7+WTRi/vG85/vmaP0vQjvrH0tAjKkbVgLYYS535z56jY/6BCIFSBdkABKDR
Zv93CZpC8Y+Ss/oHCTAMMGypzO94Rv9GxRnsL6Pyp8dsaXvyZqoFvVczraUi/W7qcbWygCTEMqE7
4dOYRhN1WOBuCH4eC8W6bfACgAKqH51cPELQhG1myw0CqEMnbceflVrb63go923mzqtCwH11+zTb
NlKFCKvU+IMGt4FRN1jrMrJR0jmtelTCrHqm+ameFU1qW/JM+rVONLNXOTHsAqXAuxjaZ1qYzvU4
x2xjOyqfYzzybmCJdGpxfqtoGGfYHx/UrvHqIb8iRAw6bGcAeMmmfdPa843J474u7dH2hBz7Oy12
U29BruwjEpJWhiJuABaYW8AYnywjp/gyjtnWplxy2amxuEh0vpOqAklCHc0+B2cd50Wb0JHsAeM6
ZyFYtbKGWp/bw0vZk1PB0WpcNzgOPsd0Mi/S0ZjpfYJzZE9vbbGEq35jNPZ2LGQLKzCb4ODpr6Q1
g8PqQcgAWzIWbfCLNkgsTt1woLQIwi6m+pjMbEjmroA7YeOdRIp6zut2071B25WrYOGP9Eo97Srd
HVeTXYqzW2nZYzeY1SdajpvcHW/oSubnlIYHgHUqHavEwcHjBX122VR6OPpMUKpXF3X62M9lfJPq
EfJfcBtgA4itXFUoKG4RswW3qKXMC3YOMyya3CTNq7NqZGhVfKJNMz6SfdC+uqblPky5TooqduQR
EaDtHKPBBbkzIiuu+8y5sUcyk4pMZ2LLtMHcdTodBpsDo+UB7MgeirRASp1F7pZwA5a6Apz5Cl9/
mW5CtnxHu9acNbkKgovnasCao57co1arCtrIQUAPvFSLw7L3qFc1QXo1nkUQacvRLkayW5YXksV5
o4128mxrA9XyKSAaDqsydX8tK28dmhb+lMflLfZbcdKtiVLpsg2hcJo8V0RF4hkRdhxu4nQWmzzB
evtWfZbmgJi4S8OC6r8x+W0MUHqG/rHjKEFZ04wHuW5qx3ihFZo9SAgWn5uerY+ic+yhYtBxVRuy
mZpoWLoVRLvCtGV2RxBO+bM0iwNqy3hra9SH1yTx0lUJGZpmj5B8Z7YDP76WoTzj/+Y75qVKUdLq
KbeUppV6uuQ+4LHmDelUc9ZBm1L4csjlmjN/9RTx/EFFIgkAMwIi2GCKKe/ZEQSOShTxSSKwf41r
aIYCMudXc2qm66AnqOPtmyVBUjmQhQRvn2mafRPOgPZiszGJEw4i58aYGIOG0uXfsjwyDoVZ9Hdt
AlKttKSFUmH54Z2ey7Psze7ennL+YrZwks2BSWTt6KX0VbcdtsloJM9vIw01Ap82hy6sbCE1Esgm
Kmv4/8qrsVoSXyJKtCywdfZAZV8DNqrE5BHlhn2DK83Yl0tJXkwYRpuGLrsW9raxqwZuat8bxQFR
N3dNQ5y7yca8e+3sKD4VamldcSKRF3UgtHOgJs55hNDhR4xIrHGuGTy7GgoIHHZRjEBh4o0Gh0+0
JdXTLEQrVM41pn4rKW+x1rnbkl63/3a38jEvbwlEZBfQpgEKJ9ENjlcmXDlpG+ZRUN4JkLAj/Vhb
IW/fL0G0djYx6jkZr2IHzjPkOSqmJRvoZD61RXQakIz0Sns31CDLB7N8hia7Cslf8FznUuv6K46C
19GgIg3poh0B6d/M0b0g3hDihYK8RLPPU6tv6JxxkJ4fwqa11qY6OUfL4g2rwPRTNLdaJcne0Iry
3LGO9StNL/GExcI6G1Vy3xI8ebIG5vBUOOHasivdE3ZheHEuT8TLrMcpAUNdHvTCDq5Fp0xXYgKM
5JShRC7vwOKxyhTdvTsYPmTSnGRxdj+gd9BaUblgU9qI1yKcvKHWvtYFoa41EM2LhG29X2g5gRua
+aURHYQO8wb4PkSfodevsBgGT0qoPbaK84WgRuy0RZtvSB+hOidhLCq5TlIJQB9Cg6EgeZVllbe9
bhigAJP5NR84Us8wbExcbJuqm26LpIdpZKdbPemoqpgzNzi2xGaq+2CVjDI9ppa4tyQtJdutgYPJ
fK86mr4bmYTXqtNX/lSk5CO62BnDGRtiWT7VKlDXiTS7I7UV+9Aw8Lcc11XkC8GTKvLaQ5u/6oWE
clCdq9ixv1JpiXfGWKvPtqWAEUjTu060yQvWUd3nWW+hENeOh+ONVlRLqcHAx0+U+DwzH+hDtgtx
x4PCd1QD1uoaJcdtnbevkewCaOqOPE1RM1a+Hg5xR/CXhumdzO3enwetOJbCOmXM+TcMK0znViCu
dWzR/qgRPurlFPB2aZFWa6MF59AKrfrasoX1MUPsZV6mtICrlx6Z07p2WpfIuuERZBpyp5LV3tVq
c4v2+4tqqE91pG9VWQf3o6DgAepmgMoypvC+TeWyMTDxyUL1LB5D5CNF+EhkeeuBLl13BG0c8fqE
PpsE5xUsyHC2zVjcp+g/2EOgB/NaThWHkdBK3MaUZScPLMV9YmNyByWTf21R6nzt0GAfKEjbi3Ep
WJeDMmxY08dN2vLaMNd9SmzqyQ6S8obD8oTYu2ZnpYNjHavGOVVDNT4XqsyeR03Q9IVLQEUslxQ4
45nmjl4yk3cxAsWo4BRPh9xx6fUm4XGYMOofWo1qGNi6GXeYSyXc4dyh8kiED501KVeWoA+W6tpU
cxPxfyO+VCh/Jv3RNhuDEVOgcy/p3tFUm0eWQdifpxJf28HAve8HtZljvaqDB7eOu/OYznHizwSo
FqvOLZRTFzrmnp1CuhVqWfvxBNIfGVFpUB+avhV4W64EsYz3IyS+HU7e+pNVd+UqYy5c04qLvNEG
DKcYFSgMe96nSAEu8mFQDmrJBFYJrd6VAXEnVdMlXhLIYFMizuJrZfVWGtlnu82cVdsE41VqKepl
ExQN6vmy2dYa6rh+TAOPPcPlVHKIVJRtqIWY6535KWka2GoJCeV4Z+oG7VYqVjH5eZvcUDuvbFJj
O5fz5URk1LZZSkBaj7TKhBZ6Pafs8dKhbFm5BudKjnV2WyftSJEuVZ70DhYJHvyvo42LurZkt3Gp
UG1ghFa0NKG1NKgI1n0DsYmETQ0oG0VOKiJX5Kj3qBd6uWph+z+ggthO4xSuW32+lZZun6ZYwyDm
ODBFC7EFiwHYQDQ+4bLhV2rtW71jyRuIWfeHOOn9SZ2mQzyI1uuTNthjbDrGYX0GoGWu8W4nezlb
00WQOBGS2USJAFZY+nx2U2ZXcWH3WGgGn+4DCbrbNCdx/Ya81BrdVt+O4YofbJAw4SpKyJIQ1iro
EVcNZe7ZYyan/cT+dz6abFVSLwnz1PRlm1Aid8Ddrcw+nRKYCENP/l+O2V+DPToQHx+lSOsMQMVB
qcF7yz9NuXFD8sAA2dHtvdDox9vAnmdfyLk9hQlc22QwjcvOnB/rWY+B0Vrn2C0VKCEd8j63AKQG
DuCKMHvzczuV0kuA435G1NxdjrmtbGIxfG1CqfmjqQ2XzjDoa5SixgE7+8jsF7XX7phpx9G26nPI
VsUn8lBfS8V+JmopWNU4W17GLpRerDQG9j/My7kCczBMVBWjc1t4hJJMXlDRnasCKCVTB09Bddw7
4u2nFQCfi1lno51lyautUdg1kASdLKBlWWl8ibCRwUCL3YMMZ8jtiXiDDgLJ/awaI4qF1EyO41i0
7ONbMtms2NxjELxVh95V8XAOQHrToUv38xzgmphnQx6NuAGygTTjU0Y2x2Ub5V84gILFLDVYPCug
xeYFDblyHRfRlzrPWfWVOn+1UVgzZxFhvyHBbtg0Qm2e2L5YPol3VPYCgBHsgc56nJhXuMzCFlFE
ph+Q5AIAkTNPGhlXDxZ1jAtwPMVxzgYHyaLssqu0qG3TI2k0+lzUtIdWNK+JJhQRS4HqLtZQjoYl
+4DMdV6dUGXiGEJTnOM+dD5hHa2eZj0vPs9RCbdhCHRDYcq33cLr1bG4K9j0+6aYHdAZXblpmRh9
R8z7WGL1q4hlY4Ge01Mc9uOTIPh5bdU2OlmziHBJUkkv0XqWDKGQTUlSOpR/i9jt7hAEN3S6UY0W
s47KgXVwlhA1x5lAT2gqhJLU7fAtavN8Z+tdvGvqsdpNSvE1nUCJtBIC+aC3x7Tpc85ZjXO2cnW4
pu9SnSn3z+sU2SlOVwPQWFiitAz0eJ0A2j/wxe45+AXoU6JyA1vJ2WeWEv6TVvF//5NHfamBUqz+
71Wfh69NTmDF+6rPn6/5ITwUf1DzRuOsU/am2rII138ozfU/DAriKjHKtC0Eyr9/VX2MxZ9iam/5
eUup6B1pDPM6OX/kLhmUgQQ+dvvvlIGW+vK7IpBGLYmkG5tvyIdAfl7++7sikCOGfqZZZO4chziz
PIpw5IZon99dk7/o0HwsKDuEYfAbyZrUEbOjuv/5U4KenbhehsGOQKdCYL/Gb+tMAcePjuNtbnHw
zWbSLHBbdr8rJy/36/1PRPEpSEvGKEM4oqDA9uEnRgj4Jh2+5i7kNJhu7KYd18Mk+FxTTc+J0MqX
0M0rd9UWUDXaWcZfJ4XurG81kMmyRlDo6VHQcP7KEEAo9aFfYg9aJ0GUlGSBCQinATgDveeyb+3g
TNDOuP71BfzLH2Eb/AATawAD6cMVVKkr6Xk3uzvanotft5w3uYKmKEZzcF/rmPcDkSJvU3Ik5EJ9
k+RwcEcJSvucRWO6tgqNSkKL5VodqOq7sIU3oAWyPZjVFGEAbbo87jukeDN2S4Wckd/0Oj4qXJf7
gLHCpbqJYYDS/s+DABFg39NodndEnlAog6y0moZGbu0y+Y1tb/E8vRvUb3ecnDMdu+AC8Fuqqe8H
tclGJ68EnzSgjtihU+PmWU59aDq9vlFNJGi/vjsfHqK3z6MW4hiLQE77DzOkJtqiyJWMzwvj5oYZ
heW1D3/XrPqL60f52KAE7BDOoH9si7gN00U2Ks6u0ehDsQx9o9gX79LWufv1z3lre324fqaGAc7m
weP4+nFSSGiiUiOxnJ1GsW0/21j7I5cxIyU3Tub6/7N3JstxI9m2/Zc3Rxrc0T+zN4k+ggz2FElN
YCQloW8drX/9W2Bm3Uoxbykt5zWpSssqKQIIwN3POXuvDWdTxC4hllWX3c0DquI6hzVgY8++i2FQ
XGAVaW7bedF9uQO+51osedmDsPSB/m94qnIczQnP5iN6vBJ2nTbZ2qJ0ZEpvR3zIVNsYmH2ZHJQE
bjO6Ojn8+iKhoH1+StAOCpYGRjcMmwJncdb9aekLZZgD3mmnwwioYkXkzHhE3aiOBkEIuwpZAGfP
6seUt8bGyXLm8rOXHvIiBZot6m6X1W17BTNgRCxZWpvGLc0nIWEIOJhUv3pjUTw5jbttxSjvRVCA
Y2tRN6xbN8wfiBkJdrEmV7AjpPYxjjiblhgX9hnIrHSIvrKcZYCyHAerHHnkQ0Kvkt2FlkwdSgpt
NzkYBOGtKyeh3UQ/dq+syn9oQyc9ppwCNiXM325FR+M9ZuNZFyqDDAif4LpGYbGU9p59Wfj4sofQ
dbb1IG3McXUPCtytmPCJqDpkbQX/nFNr3oDMLYvZuIbSNX+bZ+QX9J26bZR11t4J7VStUjfG9pLV
Lt51bRPdZZkPda+KJy+Ksd5wfJvgEQZoPJZ0GMTCFbKlCq3bM4w7cGWFRCIdBPkxndMJFWfgXrs5
AWKdTzN9ZRXJeN13JXyrdFEmNmprTOjx4jD7bmSGfwaJbmzsKIm2hteeigI6We6KZpvJ4DgNRnlV
hTXazYlk1VXUwms1vBKHYnq53M8NCUIQCQIfelGFc1AU1ouDfnhlT7F5jBCiX9phPT8aedZJ/ldo
62Di6Afii5F0NMASpcVo7WUV+EfoZdZrG7rqJuU+lUcS6YJ14ymmlfaujGueiIEGUk+C7SuwwGqX
xRLNaT1h3axk2T4yHejXVTaN/DT08ShUIqDf/S6OrVsZFj1Cp3o4dqgpV2Tidj5kPPnNavnNW1fU
t3Obn5OQ6CWUIdlmiPJ+04cAkOKi6wF9gBiT6IvNyLaROU0RParoDL7za4zh5RB3nXkXCj1v09Z9
mrvsVRYlZI5WkaWR0tDv0EhCwmzFJRXqSOc2C1bVoIkfRNS+6lOUk5Bx0aEj82CJ6lEKFWW6tvHf
Xxh+FOwzNZXr2fDptCGT48tM4Q7yuL2OMwsNFioTulFsRt6GbShDeOHDKk3HpUyOXLlv1cIvo31x
2eHDXLeQn15TUJNIqpTno7dgarYyZYpBrDL5hSjumot5FvYxLqf8IKzEJH6L18U15oouZ9BInfVb
iQNphYisIUMyDteTmZbv7WBHzynK7G+up+Zna2jHUwEe/pgNQQdyrrYvW9OokbrTWXBCczj2gvfL
mDMU//kMWm5lpp4SKPMDTxMxsuAyCzMqVpOhp0d7IDjKMmV8NLOo3tqUeOt0pi+Isgd7lduUl8mE
NqI0sao6FBaXadnTJkvgmZ2CGpudW/UzzS9qOeqkbBemw/xj6NqxujLhfWzCmkOBHmbQiRV8OlCK
QDQjdg5B/beSJs1FcwBRwhW3J89FcjmiawJRhN2WNpV60sFoX0te1Ctwq02/yUK0U+gPq+G7SNtx
E+R4/+Y0bd9jD80VlCPvS0z+92XpeEh+TM4XeVXH11kGCANeBQ6vCpmZC3CUb4e2f+lSkv1J2E12
l0d285ymFlQJU4+bxOBcaDj1vM8zYR1Hu8l2NZK6L1UHobNJHPVNG7F5yFPUkSkjRwpcjl9uXoUn
HWBxm2ervrJiHZ48hV2NLpuHGNaCWpFWZb0N2oErz5L4OjCRzDo9cI0PrIrt2FAevTqEcWRr/owM
cvWEpcVZwzLlm+AsMffD0HFJhiuiVWd5hNrg8XW2VhA714KFATYIs5m6k+BV8I8AjenDE2cVZ12H
MNk5R7anAUgFnP54/sEZePiSoKfaWpTdpxSSEINOx5Y00opmH5aGc0EutHE38wE0t3N2Xh16TAWd
OXa+os8imiV04+7O9JD4hGC/71oTAVwL8PzZ9J0LlYl079EO2qsUu+iK86J14UzmvmtYFETbW1eD
1di7Om4mxGbSXQ95Gu8qhjXIu/sHERqSBKMuoUcxOluEfTe014JhlcXRsG/rYY733H4ve29tv4kv
W1U08FhmAtlQLdLF6goAF62FTvEywEfK/HUC7LsqUebEV9Mop0IfP7b3/8oU/k6mYH1Y2/5zwXrA
GJ0kf65Xxe9/5I96VTj2b5jIFgcaSdO/F6X/wim45m8SQZCAv/G7Afp/6lUpf5OgkignSV38IGr/
j2pB+L+BzmA2AArAE/+UqOYsZ/d/n02XCtJHcEOtzBHIt3lpfj61ASPNkdBG8h5NWE2TVBdq5mSJ
oW+tc2Q2tR21t2DW2nf4lCT3xplxRzd83sORnyEwJb6zzhXRXiv2h5H4CljNuPTpdg/1izJN/h76
J8AEjKFKbtIWqAgsYjxDFTluOwwUUHiglF1Kw1zUjCVrVZrNe9JdsjudcsANoHeSUmX037HycJ6N
bZZRg+7x9VTm0F9j1Y2vQVTPrx5vf8IQgNu25kXisNxmrd4xsm1OpC/Wb2TNpq9dNM43RoYtSzKx
eJlb3a4DjE8eU1zdfSeXiRCCGitfBB3jNordW0ZmSbKqciUfF5lC9je1qPVzQf3xE6C09PhVTQp1
MiB+/gkKjRrcCJV7r1srODpWzwFSTogng2oCw2Lh7yMKQxbBDRm08hJUNZeGfLaCvpOZjDvjdN4S
RVQdA90PZ81p5Ur2dvVNJJmBht9RdzFHmy3S8fTMBFjAC11Gz8yA/X0Ug2nrOe1e+3772OWWc3Dq
8RL6pXyQsdyjsv+WNgC0f10uBEs18NNzZy+4mUWagw6IXeBTTVn7rh9hri9hWBfhi1h+/Yjw42e4
H+xUxDEc+9Rqj0U6ArCKGXcAx+j0TtH+BNw3mW91JrgNgTNO14tf+DRWlnMfzvxTg/X0u6wrcYEN
bbyO0W9fWkjmbxw//IJ6QO6DhNl+RsD8GiuQeUjKsdxjUjL2MGrdzaI93WqTQy8BROZwYWrrW+mS
otBKcej60DnMPk4YAp2tTQKLbTs57PsmY/Gdk2D7DNKTbVfjexID7sk7a3yvaTAevTlvD20nBjIh
maAQZrnrEqStvJTZFaRQXiaVUX9a30z80+T/hDj9NhkIwAufHjJUeH/qN0mimlWFUWNvaphyMqEr
4ZXldIecHYA6Qtv0XMRWczn7ueTIWdbf/Zy+N3pihsv4roEgTGzEnJ2VOuCISy5yTqnnEJD3jV+K
4ezQWicXxupx4DWxTg8zFoVgDUFU3hlJN12rTnBD5aLS0D5wPGd5N40Mb8Ewqic7Bm4fIEC9tMmK
WZtIO65+/ex8WrPgpPgygHxgWQJdtqRB8PMLA3qEhCv0gXcxHOHbLujLvUE+9Zd5Gn12aQoEBJE8
O22l30dJNpXq4H2vyUeKvyH2n65qV4anpjObJ6+xYUnHublvgA1MwcKJ693iEXY+GK+hxUGTDjAA
cn77yyoMl7yXSG8V2GIQbJW8m0wGWuTfcalzb8xneyGpsVzNuwED9bKgVhlD5boTW6cz5BaULqVr
Og3TFWg6ffvx2NYpqLckIUu9bcCjiRo/fJX75rNvFOqJ/Cr1hHS0AQ2YgH0o6hilKKPB5K00sz2h
cQbO1yno4xUtIXeP1BaOQObH/rVvNmg7fn37PxpL/351l9sPqsP3TJ9Mh0U696nQHxs4YJFuwzvZ
1uAvOuGJ1dw2xn2qA65ApKRfuY0yHtI5GeKVM9VBfZ5aitO9j4+MWTLvICqGvAlPfjbUr8RYtkBv
6OFj9hdt+ILOgotZREqcTXtj988vAIUyX2vRw3pyCTz+c6ei1JlqRYwsLsedt51SMV1x3I12Db0E
chhK1hkQQ6wXcum4wMA2toAPa8DKpnMhRojGvHsAIeVcvVqTR6DaOAEFkzUe2ib3w4fca1DFxrio
/b/r/H7qWi03H8SSh5lbAhi1P393JE9Jq+3Ruat6x4HrqVT4g6cZw0qr2vyL0Ik+p5OarnNvKPdd
4XMFsizdo18nw6kqgPFhUmqPuTO2ZJo3xkPnFsGe2gRuQ9v05bX2VXLJvGy6GYsgh+2rRvUDYgUi
AHxCbyoc+yOeSH9gBocGv7fHrOQ07LVw1xy9miQKna7vwycZi/RATIJ/UsRvbEOambtc4YGo83h6
aV3S39pxCBkW4WrXpVf6607K6buIFOuVLGxwFKqWYqutGotGlb0JBF/4TksgKFldH3MbiUbp8apz
JphuPl49EEHRtzY04mHrZvzLHsHHSU+tvGPeh7arSCEaonOIv5m10rsUeOsLT97wHVL/soIstwbH
1KlPSn22Tc3tswtWvjppsfTIInswa6nhbgM1ffaK9N2qCgDSUTwds1GqdbsoWQybuWY8MX93UBBd
gZ5hL/n1Q8wh8acdlNcQbA5nBkJSMBlwHPx0bGCtBiuZDc0dY2QsfbPJC7b6WJvzcWKGHzbx+g8X
t46jHUex+tUlWxTdImvSNirUMTYaD+xHmp+aBE0J6XRmkq0HI00K4PnlrmuQWqx4k8y3eTTzR5b/
7k0ynf7eJ55tbAD/Ft5G4aZL9iXHsfOA53FbeObMc2CX0GlyKw/zXS5gfa8CXWC3YdS3mXXtHSe7
eEQgJiy+JQHJa0PSRW9c45bR/TxuVG/23/CeskRmJTYiUFeHSWi1t3lriYpOliPn8rvWY9I9YXE+
gK1BBTjJRG8Da34SdQ3ipALSzveJCzI5eCEwEvOwplLRn/N9750hDo2eYchOlUjNgw7y2aBPqZu9
RudQnemnkLlL+EL8hX0g+aIMQuhW5LJalN9JkT4pNHHI8rLGjQ4x5xZaNxarwUrFdfyNXCZxR+zi
csBpp+pk+pB3DFW4m5ZJJnGGMVhUBINQJIk4ZsnLK8WNUmPLP4cdTrvVHEsdrn08//YGs035EEWd
Ooamza6jRWq9xVaYzOtIuHV2YXTdcvwJ8NF1+Au2GvHAW0HXgIq6oV+xyDPx6ZUgdyJnzE4ED2fo
1Ua6oYY9x8hjhGU946BIfJ6nXt+mJZQZ7G0pPAXOloeOLmm0UkrrH9LN/KPfa2Ob9xiqVj5KJBph
LZlTNm7etQ/6Ml67LaNYODG8RknDKXM1Re2mg3bJ5LUOTaxgOv8BE/aOWS/GFIdjK83MjLSFfMyK
K88r4htZeOOazSDgzgSzvv14kf5b2f5NZYtCXbLx/efK9uZ7WS7B5K/lzyr8P/7gv+ax9m8gB1Et
LRXMktPEMvQvFb75G8NQIQI8vh+TWgof6sYu/n//h6Er/wrkJFUstC7LQUz/L1V+8BsiRtAyFEKM
eZnW/pN5LGXsz8skxHDbJqKVzteyaxKR/fNmnxeW0kVtzgeHkLN50wtkTmDslpz3kHTjBUPAElQU
SVvsRoTXwUqqlh3Fr4S500070hZH9EvTWXW5s4mppelr0xTatMF7PXTh9egiWS1mYW7sBJv3She+
wwDEIJITUYm90W5OFKthKWFsPT1jTpYxAtctrkjNwVVWXwAotKc5JVaQToG59WCbPobSwNhtg3zZ
tgGt9SXzsbkHODKVB7MJiPARk+m9UiPTnM8EBqNVhRkCIldN9GHRT+Gmj8tDAg/suyFE9D6yl50n
/syzM1dpvwmMwL4kGARps/CU2a8wwCmy/GgGbCtjdG4wUOUXUP/S66SKuzOHe2MvwlSvQzO081XF
rHnrj2G2S70ohaPLTVlPE0w1g8JllX9QpwNecugbjvXot9xmAYmXj6ApeirdqN+WjJcPEqXolp5C
sLITW5xGHRQ3nWG5OySxxS1zzeom7f32OgapgKjLXKJNPVmvU5+VMUO8v5M497p16xfn0hORuZ09
l5z1NqtJGSnxqjPG7i77yn7m3N7dC6VKH+pUGOQkyKQR3EWgrvslSerLlGdyl/aWv4e1kCJ51WF4
xhOWbOC3ZWu0C/rsOKR8eW7lp1vXDZ2TBZz9hzLQENmFuPOGG45NBEXRZN2TxH5j931SrVUlrcWC
1r8IMCuPUB+mayLAnHVQuFtD+d3aKVgU0YQXAMcmhI/50t2r0/LWMTv7nNnyKRltd4NpNNvMbj/v
SsZR90i6my3yoeIwEkRkVqRtZlma3oU94aG9oTzE5vZ4jNxqn6WWvy3scVzHvVltQo1sH6FYFR7S
IHR2lD1wicfxHTabsatsEDEr2gTijoecNX+amqPSAhVvHhAM7jukGeK/2xC+eVvxtKE5Di4YEsQr
5mCMrWL1rCEkrfSEFCyWQMac2edbqthZRz1kYIGg/ZSDwHnGMhcdORQuaYQ1KT5YU08e2IhFOkdc
iZgGQA8tsJ6h4bnhscWSAWxyX89xuOqR7GxSEx44AmJaJ77AljaP3RJjk5AysceOMkfi0adFnuxU
IEarxrerbRDH6RhHMSJzd8rdmjFK4Pf3UkKlvHcUxljSaTD8iy/C5lnYmk6aXLit6d2Cgwjjp8nW
jBJwquTWrkQXl6xyIC58PlaFwJ/lU2DVbOZ5KtphTQOAQ64tKsOhyrTK9DhWCxwnr3TK1UAT4VxC
U7od7ockscf7Lkt6GruA1lLrKkOQkL5kWdfqcsPJofT0KnaA+c+1i5ppUHJiZeuTKHopRBIxP4tF
wu9jVAWP51hBdp5mLWADiGTi8v1x9qJNnpa+v21geWcRU33ffukrBnrvXhaIjCgZgIk9pL2+q06M
ISyYC2XIhJL/AlR3TAFtk5YQm30XPpRZj+bdpPPirmXX4r4BnTL9Xnj+d6f+m52aDdT/5U59WTGO
+0uO+e9/6o9tmrRynBOSeEZrEYt8aKP+2KYJaDRxy5roIFCUsIH/e5u2SGFEM2WyU7tLubl08f7Y
piV/Ic5MqLI0YEzT+mfBHtYnyYdAOEBJjs/Jc7DuOp99uwAExp6NuT06ZYi3LU0NcWfGjUY2CkCz
alKfqR25ZW/K8MIHmpItavYyPBltEp7UUnN5OYU4LNlyz6CJ6AWyo8h29TPjwa8LtfHi2iFw1oRb
L4hQvRYlXat06epMcYSJhSbrtl6qY7Kgw3Nl2vG0wZ4x4Cqy2jWbSjtSTRv6UDWFe9+TLvI3Xa1P
IhvuwNLopxMKAI/0lQWo9+emREpPEdYAVS0p2KiL8A3so5kmlOy65br43n86zN383q/5M3H8UyPh
4/MCBlPoUTi6Icn/+fN4P80pyrL6OBr0MqYof4s0DVG6jMnffNLPrV5n+SQPIiDoZ8RD0I4/XZmm
/6oVsrEj0d1qI9OURgKm4z1usOR+gJqwn+M0vPvHlwdTzCPKhoeJc+Zy+X9So6SmJBy6ZLjZuzFB
eMaSxatM6TmbfnLoNv3zT3NQ5GFYBoXvfVZIRYE/JmWR5keBvjw7l0CtdpOLVuW6J/Xl158lPp1o
l/sJ15APoYEeMD369MsB8yJuIzOTYxNPObiUOASE3TSkBHLGYmOY4+m6b3txOdIeOOjcI74Nv5n6
x9e8tAI9j0Y+gkcWlZ/vcC6UNxe9leI9hEu3mdSscE6F4UPgLvvery/6r88QUMgPBSd+Suy1n8Ru
bRMQD9O66bEWWt9W9N83ncEbXBP8Hh9nlQCV9krsJn/zuX99S5jAwczEkg4J0f0s3crQUCWRW6fH
cmwGBND8mqPVjyM6ZdJrfn2Nnz5rmcKh2A4QivHzCqYiP99QOzFGMcSkOybQkTbYDrwMRn47X0SM
2x9//Vmf1tuPz0L3uEz8PNP+C+IjLQAXtwbPkJ41WXZV6BWnPLGGPxKV36f/G32v/pdV5i+maK7J
sUg0WCZcPK7y52vq3Vy1bjUldCywzW6mMeWi7LmUpM0zr4mThDPURMZ9stILbG9rFlF8/vW1fnp2
lmtF3stCt2AFXPPzszPMIksabF3HcFDRphaIZ8nuNNDpWHNB8qnvbJRrzX+znv8Vu8AmyxLkuqAf
2EM/F55D5A4VuoLkGMOGfmpTtzjB85ivONLH+9aqMYchupno4c5T5K1pq84DYSbl9E24ecO8FXPv
CatieIhMozjBcuQ/dGr83v/4j7/Q//Y9nUXLi9M5oKH4Fza2Y4Wj9gzjQK/cfZvn3m7XQ5NDsgpz
d3SBVqS1Bxfe8LytUY3Z2RzkjKICP8YR5a59EXRE3E6Jb10Fhqu8nTvEVYpHPfCG/a9/yb8+tahQ
iRHgDM+JxP38Vc0Av4Ei7+hYBCbmlyzypwzLmeq2v/6cv76JWO/4yTxP+vzn570xMZgZhGSLHiHf
6NsgWbrAIFOdi1zZzv2vP+vzcs7j6cMp8OVHIxc8+aelbfaVo+wpZTnHG7WJ/HBYMIr9mjY0KiS5
zESmcb4Q/eS9ICMmfbJyur+5sejclzfxT1Od5WtYDGSRFnAo4Ot82lXytjYkb0Z48HqES0cvlyym
XUC5cIzIaLylIDffPnKCEiDoNCbrOI0YWmUEreKuQBXDWO4UoEm+AVTAfEc1aQ1OIO/6hCCsQp/z
mLSmmFHAnc6t8MdA/toXf871WectNp2gad17r2GSgrTKuRhakwVXFaO8w9Pk3sOhNA8dTaPLuGQ8
tDHrxACENOrbGTR3v8rLeLhGF9O95iHubw1N6KyMmk50MJXhDwYhTn0qi6bAYzLU4UErSHC0LuJl
bOYh1VoZVWYTftMA4I2DULyXfWE9jpZVk0sN+QdiJs3gH/nQ2eOm6CYLRpqfxufI4s22HZYWCr3k
rY9ZvCsVkQRdGb5clwXHxgUk70frMQmifmfCZt2PNqrLDcY09c33iIwq08Z78ZsRrwqdaJ433v4o
AxEV8PF1ja/Il4q101S996JxmkGVDaKzt/xZ5VR8jdkhX7VJRvr4XpIbD0FlzWf2mfxL08zj9cft
DV3G6bKMzdvaIsfhVGmw8kcat651kmYRnzOk+/22QVJQb72P1Qrn6wXJp6xQvpiMr2UF92iN/51G
cp4LfQBwz72bHR/PHHrI+MGeEvupx/9kYPs2yxsrkx6aQ5u/ZwQWcSZ/GOdd4yVvrRkQdhq27Rzt
A1rvesW8Cyh+ZNEuKlFwrQzJvS2YNb/lUSF3oq3s1xT6EfgaRzGrC5MCNMWIbhPJGKZ5c2im62S2
h3jj2SL5mrsdSxOq6y9iNu18ay3PYQFFFZxMCqVrBtuXbPQkOMCIAhMAtkWeJQ9rwBmdCBTekNIL
wZUaGG87BsYzXXDO6eNloEzMELQrJAr0oRQP2Nak6/8aj4jkq8nn6cWCNiHtiqfq0MdUDK5TGQ9u
nHHDUIzO58jI01Pm59tAkzE8tTZR7Ube7LrUE4eI3NItUQAOjYmqpaMfJ7iZ2/JijMbF3J0nG1cq
0tutUp/o9rgHbC/hQ9R528rus1cU1Nl55tPWYeh414X29qBNsYXh2N2bSQqdzOe1q+1ib1ZztzIy
3HdEbem1pOZbCxfDZzABVbbbMs/W3FX5JUiG6yQC05sKBNdxY+3GPq5OdHjrVWxgccPNGODc47JQ
G7eoUEmGmgcMW0xcwlXn2C8t2t0zaR/X7SK2xRRILPvsAyuGDL4jH/eRwDuSbhn8XRCOgok6Q+bX
leM+C3DfgoVAWUoi+iao8YomQXyn4vkNOMdrTbdrm2Iqpztml6ThDfJomP5zA+AJl5tV5+t58tnV
+lp+LSz7pC0f74xMrmJ3aZbY7sMwhBdV6UXPHTO+bWzP0ynOCxZgezkjFXK+chPLgoqomlvBxAz8
AApIrd3LzGtmHx1egUQ1AMLRyEh9b8ysPsyCZiudkyFsVohY05Mgi0usQiPyLnsn5wtVOcEaq2GW
+tFB7bybxjzst90g4VsCyrzmoGTHm5GR+ibzmMIxiY0e4duN93MFcnFVqRrUFYbE+Zx5ZEGHGIB2
dtb531K62thF3ekYN0HBh3KKPpMRc0f3brzzxnkmhL5HAs3+44DoBUi9Joa3uFGdp9ceb1p+tA08
GiuZVeG6nTmLZD4NoKx01dol9ZGlqBxXZBOwI3hR4B3qlNKn5/nbFBzzdoE27X2P8bRet0hmr5XZ
fSGbGPnuSKqO3WgSx6OcVuqmY1yb7pxUFhdGrbJdmWbODTRQtXO9Pnrq0mi8sPpp0yXheErH3qSN
7o/BVzDQChBfKdUSQdkaxxJF/MlqOLev5Oirgx4KHsyUswMlQm4Q/dx622Jun0t8WjvkwMMLSAr/
R2dP2bxyS4HwqXC8p4lGtN6bTkImNInGq7DqOY+VEEZrrYMryI/uLYR53BYVGYtG13gHKugATY2Q
HRaNvv1eSxpshBLOiE2ss4cB+hyE2BbQp4hLupw07qPS2/deHtwSlUPvNLRCi+I/jW3aFC2yX7yv
a9HlwYkfNbifnF5v2IRBKJTGYL9P2lS3XmfQNWhKSB5VIze+yyPgpiUx22Hk7EfPyHeu3w0kUSQ2
HnxV3TBCtFZFKNJjmDZy0QskG6sYYP+EYj84Dg92UJ4hiuFqLwJ5Q0o1sjCsm5dBhPm0rTVSK6cR
m8Ifqz26ZTAeWvmvPc71NQtNsx7UmFhrv6tIIM9Cx9/HQylxPYwk7GHmh5BrTtZVb/rVNQR8jv0w
MVyg1kYKN4W+pb1K0iFHrVx6Lw4G9AcuLbqYDMencc304Uizdv7eUY5fIrDqbzvbIPICncCg1kZW
sqeDJWnXZTU4V1Tsi83a8ygARHXKxczQdejq85gW+U1NDMi1T3v7YDUqRoYT+Idi0uQK+qWBEjL0
LyqQbee0Z2hgR0Pxtlhq3W1WB82THTnNznWJggycIiEylPDAo9GX9JLSvP3iqfprwV+9bZvKRrfs
aJmvFbiFV7O26ftyxjRI2ViM3FgTu3UDiADbj+4vYEjj269StGV9ss0K+T4apN4nfQ0JxQksyBtg
kM9e0FdvnigHJA4pSTQBeyDcBpLYnTncICzrboQ5qLe0zVizf09bDoM2I3t5+D2JGT/FksvsAvOz
V6ZdTvGP2JgbPG6KwJnI7krKpM740bhxeZ6cWl4lo9M/GlE4vNlt4r9EfdASmFkGRr6ZTO3TtHYI
p/QQrJVFeTBcez5JSd78tnAHBGkCVFBWNCQbDjnBIw35mMmYiTWnqOhqlrO36XIy/FA9hkenwmrI
t+qmg12m5pmokXwDcog9A4EohvgcvRMdZ/yDC7UUXpMIx+4kSLjsN50tK5azWUf3MD4l/mH0WEcn
mNhGBN0hnsscz0ukNABThsu7IKv43dgU9pZZd6daJ/17TW1EhUHMZmkU3IXWT76GhGORu8MRhwzT
WpJpKnE9uaYFuNeR1qsha4PxeD9ehv4cPTglUygB+GE/2VPwCO8HqHHvtF/D2k44TprLaDF55GCM
4zl0zRXY8jvXwvlPBuasWV7DPOShKr6QuU70hG8wY0JhkHolSC3P39nacFdt2aFwy0zsEBxONp4H
sECUKNl9auxVaS1E5yl5y3IZl5CVobP2Mck9M7IFSbA505/xe6etYE8tb6+bVgY7cDLeOivck1SF
sxbwDlbww8FgBBFIW1w2XsjjbKaTuJidYt9r8apr/uK46v29nJtsVRRzvkdYNN03rozXsvejM2SI
H0aNW6nRRYmdbZCnhMbuVtHNIkV9zqE80x6Q04DypG77fY3Kj2x7Eayo8dl1OAidbIZ5W1JDIZqP
nbo0uym9zMS0z0D3rJDZT2uKanfTIQ4dsQojGp7cg9OiiDGLAaxFg+ivBxuAHSO8mYQySTCHtOx3
CuqIUW1ro9KYRuB0F03wtZ2NYtcyawEZSe9AR+YRk8xtbxmviWvvKrSTnFOCq7JQEAqal7HQ1z2y
o65yH5F+nllyaRjlScf4SP+A2f8FD/GdJ8t9zWl6jQfrNTCTca/BFxOxELwJx1Rr3TJjDgzhPJLV
Aumlkm9TIDhYIafe+LHEmN52GyafzCvriyn24HlH7nsxBDXiKbraK8egIojGvn8ivOp9GpKjCxF6
1yCeGddzMEdPaKAiDTbDz052W4Orn+dVUiUWppbt0CTPyBTVoe9iSP6Ppj/0D43fAKhVyT2g7BhG
cpAhGhv6Z0O2/nYah+4wUMNc9j146HaCaWH4s3lyrMR7RsJS7pOicX0UQ4jPksalPTqmSzmB237a
VyMDcjNZ9JRaQLgAtma0u7iY7pALBN9M15uNk1HnNHQAYpBZspeDHK2Lzi+Ugs8V43EhQGj5+2ST
geOh6YymCRdld4yIkSJydsRluKKraacdbqJc7AgGIEYh4zwESKD3wK70HYRiZVQp4GhYkitXjZSc
GfGwLVS5Fz/KQtCXLi8gn8qIAQcXhQh6SQIvgBlQFkU89v0GAhbiuWiZacxVH77AUzC2odFQY1Tw
tNJEozpkj/viN+F8NmyHKjnxjG0HBc+8Sg2QZttukbsUvceyNKrUWpdiqU6Y4Q3fU420OXVncWkK
goFF1KJAzFAaRYVBkztCDHEnlNNtXaelEon0YL7hF3KdcxcPS8lLbte8jp1aPYF04uiQG665rwVi
Os72/NXMs4nzrijQ8cVEyOgJBrgxR7f76ubgtpOW49+KuNYbp9XoD4byWDIlXWu2/KMksXidKCs8
QfCkKaAo8v3eo0ewTGo+Pm9Y0sLnym2PoYu+ljph2OOFKJ4//i+BX8g7fEzu/YfU2YP1dJBo/l5V
0VGDIfuiS+Bb4/WINQg+lbnMenTp3pMnOp+TNnaI6Oma3UejuM5JgpdTRSRzRt84L5KaVLIEDJ4R
8BWLGCUUQtBy7xaOeiKklgtIUv5G1hF9q2i83DhJLp6L3uRXLzO06eE4tcfWKaebDK/N7sM7hfEN
aXo9zx2GN67LLuiF1/+fvTPbjtvIsuiv9A/AC0MEhtecMzmJpESJfMGiKBHzPAXw9b0jZVdJlEta
7n6tF7tcNpVMABG4ce85+0iOfc0Y12irEHjsKdU42w9D7rWkP4fw+pKFrgjNSzaDAdhyaLbBphKj
hF8VmkXB848I8TKoohqthwHfJEvpKPrLRdC2eGqJC0a4ybuDRIIyWqpdn02TgFYPGUlak7yoUkxb
3SJpXoVLdjo/dwbixt0I/oLyXxsB2ny5jfsORd2otFRriOuQcC66a3g1xHLLDJhrkg9M2Sz+kXul
risP0ZxLk3JNUMpyRRh0ua90K474pOXKmwEHLTl6bGhDy84VPAG90Ow8KGP8gXnq3kcko2yDGDZx
je5t03sElCuCDT6hQlyIBBDt8RzrDJ6dq2UBC5zXluPNVyN/EOynNpCbZjLMT1hyRbrJ+izYY1u0
7mKD8hrRGrLBc+PJMuzwdYFdfDGmCOedhY9MlVE900rEaszrfPzQ28q6RBwQnkbCmZ7DGEMC2U4s
HSNmCWO2ZzYJsOoU1lb1nHldfwxIN3FWczfm5rhq89C643DANyzRQw0EH0cZFXCItSAoE/uSc0v7
EWsM/0Fh5tmJWftyNSILAf0EIOC8YO0ui7/AAa6fGz/howFNj6e8n8NjT8uVLFLf6J4XuHSRSUcO
t1m6Ctoku2Dz/TzIjgRjK+Ho0dcvJRicdcAwb9+NbQjYk7vT9yGLXbECw2EO6FiUwb5vCUXX8J0r
hxb4VV2gqG0nCeRgcRfrIo9s66Z03PAkc4ffvOfkIzcl2+HeRNRFNHfLLZb6KZhqWnOylrQUpCBM
WZNG29UEw/Tkeov5OSLg9JlRpFGh96wDMAWtBOrF6XSH0hMRruBKRS7R2gB1wlcPoE+xCnr9DLY6
x89DL3hKIhthtY9T52B42vngexz7QNiNX32Xc/KaA4b61FWJelKjr6WUFOQtrdQ62saUFbwZ0dpf
Wt1YkkPUD+8Tc/K/1KMIX5NKBadRws5HEMmbSSRTs5ulN0NiKnkCxqAJH1NXi6671mkhxJDMMW7I
7vlLYf9focPvhA6upVXM/1mSeEH4+3P3g9nu24/8qXJAyiB9hpESFybpwLbFOOovs51pk11MU58Z
rc+oXQvn/xIj0nH/S3zoElbMeAE5NUMrCCvWPxEfAqv+sanOqZUzMnwJptDMgH4aWLAr+3kaKfei
sFkea616BN1qTTPRAgPd6b7h8LCEA4eRwqnC66qcLRJapGnwFlh6BBP3edXo8U/HiKpVW6zOrQgP
fjiQTj44GgZBOMlSX2exYAK3K9oRhdd1b+LFVejVPVqFAm1aH+1w+hbuJUzv7iWLJk7MiYdoyza8
tYhpGOWMJuER07ym9zXfG/6CShgzM/n1TWCVZrNCZZcue9tq4Q6XiujiddqZeP8hwCTdIW/8oXmH
kS27b5sweOSd78TrtmsGIA3tmNYXNBTjcEtM1SdmCaLiI0hH2io8Bph7Pc/EbjWXBa7dxL/JCCp9
bBAGb4ygmp6SUaTvFtl7O0za2N7auIVNPNqqX1VObDCoqLCOZ0sB8GDI4ye3k80nu3PsCjgteRGQ
BF5yNV/7ZktGzZiBWeYv4dU4uM5NInGxMx6ztn3qBGvl4L+iXxg0t+B1YqTH82xylIDGuBK1F8AV
GKp2RfQQUa6TJUcmZEvxbrCG7gEpd3i025lafvHm26CzZ1opacO4JOGYtQpDIzkguE++8DzI2zSj
/7kdK9u4iQvaC0q6GBwq3kTAwMr38eJBufUHBrGL8NajolZdC1KSr4Qc7Y8GlkSAbqCAbiqhzwq8
Rte0OTydOrhg65LzSMdADFsi1IYtlggCAo2QWEPiYg8A3lW1xiWwPBnkpOx8Zgb7BgjtUSA5fzEL
2zvGnVXfLwSHXcPEqi4rIxqKPcfN+UYNiztaoDdH0aMEhzzz7e99ZtN8vzKkjZt0nZjFGdU3BqJs
TymHjakkPqub8mrj9WFD8obdGne+YfkTHdAJD8KyxZFhmS/nbeK/O+pvdlTU1dpu+p931Ouv0/9c
fVXJS/X9rvrnj/1lYTaRgZmCLYzNzHXRC323qwbsqkz+hGVL9BFatfTnrup4/BDCa7LKkdcyK2KY
+9cua/1B6h1qGbTfHsYVFCz/gLwu30yFTXZshGPs+LC30JmLNwPUJqW4nEgkuGztIZmfBYBSOA/C
6wXPUoBjYeVMyLhnQElVVxhHLbyUmH4RhB+I5DKBV3Tzl9bh4V4bZi3XKp3H5UKVrve1aXMPRoTH
wb0h0CtyM0yUWU42473RxaxNsgUH2667L7lXwvEBFeF7UHuXJY2DGzMxeu92rAZQPdva7enc3ztl
G/Zrl6Oy+Zg7U57Mq0UYNjCRGLp2cUp8Y1or3wP7OxYSKx9nN0J44kt3LJvav49tb6kQpWMUA/Zg
FaJf2hXd3qJ73/lkuG79VDi5+TFpvH4Z9mU9+nax7syiNC8IFYTOsZjNS2x07c5r6vmdtPOSiPZ5
SvlRdzaWp7qksf9Ng/HfBfi7BWgisPnVArx6pqX1XH75Yfl9+6G/HBY6W53XH9WDYEWh0PjX8vOC
P1BssC4lKiWfJfjv1YeLAn6VT7OOdQsvkXLnr9Xn/aGlYzg2pKdpefyrf7D63lQ4fDwVFR0TzOsB
Ro+3oiUSDdK2iDMcWZGF+y8cRQnNHRJVoWXbUQSk47vL8zeKojerXX+ghz4BAQO/Oa37NzoFRiFx
byzufAAZDxzMGDFxA2z9jSDiJ90SX0nLMCkUKQLtt5qhXnaMkmWsvtHOIGo0t1mFjhvbG5wXY9Io
HJgt5JkZd93kqd/Is9BF/lg58jVhGNpatgS0g2v7Vjg1zJwAZ68/VLlLQKKaNP7FA9GCrdi/VDaQ
GZWqllx5pFukezE40oOZxABOztHsntkWdqyKDvRVx9idDpCFZ8Nfpmw32xn/LcAjAoSdXAfOqjrl
7C/DTsPt/Hl+bXrwC07qM9xUWLxj6o116LkNUygKqzCB/6AVEWAIImumIGoc6DPIoQC0NMp67zp2
fd3S1X9PG1e96wnAOU1uVz/7+GxMvBCgdWK2z91Y5uNDPkAv61JVXoYWgS1tmFAqI48vL+PQrJ7i
ZK4fEeDyg5NKgsuOI+wWuV54R3Zd0aN+J8j5yKUivSVC52rp6E0BPgo9CgdUTVvDA2O/n6uZA6MC
NSibBY62CNivOeDqYGIwc1UO3W41elO/TntYMh1JwlfwY5MDbZhpg1a1PWWD3dzSgsJROnhq7zbg
3M6YG8vpxwdShseHJl3ce+4OOBzkpvDRmWEPMIZe5gp1beRZPENTOX+I+7B6HAgRrUHtlObBnQLW
0MRZ3enJu3WBGxyaBpzNNIDKMlt+ZDbb7iO2E/+SACEiHyIyiwbmbh/TfiovVUVma1H4XBEKTpEy
i56MYuUOC/jgPAeoWEPSmUpAPUwJs7vajQPcC1CbU7tqX0TIP0YZOu11BNQmOjBP02/RoXlRHcvZ
N/p57yZDfqx8bu7saarckNL07HijlWC70NrWGocI5BYAGfM4vE1hdhdNVsb8MW6uEZLCCgmi8Wtm
QhgqMSvuitw02TSs6ilRzfgQBpChg2bkjwLmsa8L0EqW4hsHk1Ffh5TL0EQaeWNEwJhEwHdxRRog
U4rJ38syHsUxLuEpZcm8p+IWN5HgTpxhSaKs501BR7zgzD5wXcFEPTN45XU/Eeq26RVdMVRrYXjn
khn7AjhyuSqneP5gTwX21orFkLdwkxgv9l/gEFnvE3oEG9TjtF81paiLuI8cP7jU+hHNS9q0c8u3
X7IZAEqzcCeEW817YfH8tzjfH/MIqzHYh8cJZxDaqLa4ifxXZgl0lBKjgA/VhYDb404+mUxUPmH0
Hh4im2dzZRtZsrdNuppC5E8i9EbGoV6NvFDyUOouj4q5Ua5n9LjZRX1To3m4CfpJ3gxzSOZa0pGG
LN3qyWBStoU2tOwwblRPDlUHeS2GvFe+1jQYKa0kn/iwZ0ob8HWJg0U2aDGZnb+cH7MIuqoz7tRc
l/1GJRA6Jn/uPjLNze5m0pKReURcH6u3wpPK04Lqx0wOfWUDaiEMK9lLlaB3zEHU8NRmANnR5TSf
KFaCy9ScwXBiZWyue9eOfPuj/82eMp69Kkk7iMfE0tHlh9FZSnEAFWyUW8c0J1LkGmhOoOKdQdw5
GbONBlDSB8unRVu5uONWeIVapNMLxnQk5EyBbDtAUKEgAIxDeT1USB96nrCTMLJ3vdkZt5WZ3xly
uBZFXez82JO3C31ggucYZ5N8wVg8vGYGhJIGjtUhIsDgSKTkhw71+BZQ+bAdxPw58RFZiXH4Aqyu
OBpl9ILqMj7GiwvEyRrqy6oYp20uR8W0OOoBuXQNeaDdheqbkMSM1jrBoQk2FlKGde7JaBPVUXIt
YFBfMSYe5zUM9JOb+icjI0gygTi4rOogbI40SLTpTTHiMyO5KhJo66siz1+jekGO40gtR+gEWEFR
3s2ll2ztwggu0jiqrzo3nXZuzIJtUjDmMJ4JF8IkiIZYg72s0TyaqBJI8KFRW/eYzaoJ0BUTVZZl
CTIrBqi1to3CvJhkEhyGyLonPSzYucLrLq0ycPKtzbV/6eppcteyCQyyvRfu4SrK+/Fg1wniUgum
fxUyYuoYPpZw147RFFgMjQOOoTJ0m80cdrjyp2EfkURC0EaTkJ4S85qL6Rds09Jt7rBfWCurz7pd
xDAEyD8x8KvAV08+KuUVmYXqolTRCJYxyx4DI6y8tYvlDHDMyOjMc+lUo6fEXz8KhwrRaW6pzpjE
DtLxjjX7q7mZ2UTiVZPV0Etr1tWVyLv6AqnYsq1s0z7aqu42ThyzqrotveJmVVY8gQzI5al2W/Vh
IeEcSDayDL8rD1O+cUajYrbtLs91bsqjPRfL+xqeSbS2ugCoiwyOBXk175LMwROGAfCUFTU+d5tw
0solviGfogytjyNuvU5kFAezNYBvnAo8o/6uMcaCvFZUeJMkmAOESvrJcyMC6s152olwHldDMBq7
Js4rJo3FbQ61Z93RQT0micOcHtv3JjKi4CH3I2uf4+XcQvyMj/6owm0wheKqCiqBHmQy7tBP+tdW
s8wn7XvJEf4FMepFty2+iqi5Jl/UuwwUrQWoLRNT7FzaEkVRnF1BbbCOEFAQmSSx217kS+g8Dqk3
Q2GRJA8x0827i3hGqLRO8fR/rYuiyDfCK121MclOPy4NtJW6MNr9QBPrccoHcIjA69JL0UfdS+Gk
Lqq6ThCZxwjdiuRjMJrmYYqzLlkR1M2s0SBHZOfFcvxcpVa17vNJ1wV1c6tUn2/cZiyrrT8WyYWh
SLpehaBOPR6/Ij62ztheBk0HnrBVDBBXE8zRgyI6rFunSSVvZjtMDsSe1J9pERloKpFX6ntDL1uX
SGem31l4mcquvAxs9IGwSfovProoklknGyazCW0VRRi78GuZ58xXZiO8qxGHsQZQlF56oVmHm0jq
DnqcFOhOanmzJIlxZ1R1zddNnHg3ZAnA0IhW67qgyIs3wlX1Z1UPS72NJTfpDD6cB6rCb8VXQ4jC
exzP3Zc69VJ/Y0tSH1ZWgXxhpWZyAChD3XuVNZRlumAst/YIbyeN7fyI9Ly8zNtlOQgTnnRR0Q/q
25Sgz6JGCbKJZcfLPSjA9pWaW5jYTnQTFVQapXTrawj++rcImk+OoZktYdPoTRmt5mtPxA86QeIs
GNg01ju2wfKLU7vVuDGQ6PPWRrbsRjrGsGj5dVAeznvNGwO+yJxmZTWGX67Nop33OtjnAicm338g
myyKeJdXFFuPNLY4Ys+6/A3c6tHrVX5EYWKunEiQK1mo+dWf62SvlrBC6ZsEzHAnZKUznEv0f7WT
HzMM0L9R9uO0+ukQgfHK59DIYYYcvLc6djkYqB7nqT2ohr1k9hJs5GQnzrsKJSRJX9DWgtjxXhH0
jwcE/NHOsOxnP60/TmXkbBPJa8qQU7QZ6qK6GltbPI5QNa6SxckuTLNwnmxB0N1VHdXleNFCO2ea
axG1IxjgJcxC9wW38BAFibwxLQKkW1VQJ2iuHC9uJuHKmS9ETBXVNmSaVfrO2mIw7sYILbjB8AXd
dmRKCDYCoLHT8Wy7AidZRyLtcRh4cBjWUStxSKEejDL+Izql3PoWuTD6P10jqXJpbsuc9N6VFehy
iRiaTwGj3pUwE/deMFbegvmghe6gJksHJvSjtuySmjE+aJ8IkcQ0SZ5aBxn6qc8Xb7xswiniIiVo
DA3V9bDVoiwmKbp2wtw4OA4O8nYt7d7oxIYvVNoPVSgsdCdOnR09d8mjY8arBA+2/j9CCqlwY3YM
JNYhgUY+STtUOhf0vbovXu6oml2QWqo147RE/hbzjSMsx6QZSSrBXFFCeQiyV8ZMcXWGdHPq4dH2
RffRTCnxmc7KdSfREa+LgGmtaimY/VjUn+d0yHZtQujRMPJWM7NpOYQMw/tNDPPsoU/yJ6/VCRLK
qh/9KScooQXrRDHPtQsyNIWnZdF+Sxkb5DzbztFiwRJ2R+IZ2deAPHzZ58ce4d6zQsj8LGaLd7JN
kNmqVNxPp/fbd5wA/Mu5MWEDTBy23LyEeIXQ+qNS4EpN1VdPva6py5jgY9C747QWS64QrOTTsLOW
qCClEIpgCg0IImri3RZOOzyYFup4xrvVs9TUUoxQ80VtcWrZtGTfUdpVVvfRTjnIN01eX6P88JBg
ClU992Hpbxy/pyINhQCvU8mFNdKhlrNWyuJfgh5rXqpScVUK0OsdVTkxdKBSy5i9qKkbuiGAxYOV
CvTWFRfpspMzLEPUE80nDNj+pTVxvO3qmPw7q25PyeyVly5jhn3LxrUvTZukdr8cH3wYgqt+mqGU
65N3QJ75dZFxLvfI0PngT+XyioAFLFniL/Vj5hbvRuXVn5GycMyBz47ZFaxrQTju2hL8oSVhObfn
31oJLQv2wWG36yrX94CO5NHSS1VxkuVFkk0bhHD1k2zUsFNtkbqr1AR3N4wJJ1J9aEiUycEpVqK5
NcuWO1MRBPXlvAfWZQSbmjP2fJE5TGl1scF52kFWQ0OLb0da0cUSMX1Wmnp+fgxtxdGXx7sxD+oM
VNP8cqebm9vzSbt0eHyKiZAx1+LE2hScPvLSSphn8CLLwQpeDiC4AUByLDMiqI+9aDhR0Ojh0usG
CnCbGdo4B/Epjl9bH9n0wnIr12qOeAlMih6EH9E1MGuV3TW1UAU6F8DM4E+g1lbIYJphpCkC62hh
VmyC/F/4RqA0bQ7PC0uwCqD/2zBkabtkJvr1AU1ZkPIIopGxpm1ZsGIiVcgbO3O1C8404Y65Y4fM
GS4We1jWfFocQYNC9lPzAl4Dl4fZzx9KbLur0G7zo6EJwCjD2dY4SSGy0SdkrbZa+R2t6HW5aEJS
YXPIbgCJbx2Ljz+fmz0UpldKhy+XFZGUhml8NaFsUKZ4BrcvL3hJNRqB/O3RRJ25qwVH8rKCR29a
eXlZawJyA9TxEsVc86my6F2gpKKXMegaZSqc+GYUVLgIFXo2d4MAyyoPqifoPxD6wJeQ+sM+W00x
lzCWuN3MEi7XlGWDte0oW7edS1nUI9cg061417R6GybErsOCldMJChKYyGnW8uNB38wXCaPS97Hu
Nk7MA3gLUBg/WT6PhE6f/jI0aDpiK4xuPLxM+Ej085MJCi92IrgNfJ1Qdx3OZYWvoxwiQtTuCpjf
O61wJ1UPWfj53WBpvjNCxvjGY8vnvE/zajSkuPEiQ/KqmAL/sgm4ws0MLxUrFbixAj2Ei3ON0Ro3
PnZT633tOsTEDdxI4puRM+cmsT3OUJLrRPFQ6HsQUy89dsCg6l1Ly39TTEBjbCTID/NEeVJn9EXM
Krffn8MlQvaxT1Xnkzbp5ih+gJCvz60Y6B3i6NuoJyKmmQhfaGTATAXeSnlJ8icKi11TKZw8PUVm
wcLe945D9wkCIWxxc6yectugMTjRq3OSkBKtp2BxXIjJNk09MlzPEX56m1UeV4MTO5YhRpIfOU3N
yNDtQtdxuKdOqnUwxHBY/sDAFw3HApsCrfjIxTTZ3uKRdZShbv5oumNNbU2WUW2Y4Z2a6FPYuSqS
Yylkc5rqnOaN3ip1TMy2zZwMbp1NzCIxTXQbcII4TcD7Ieaoypps6QqWPdIhD17Re6fxhq+etsEQ
cokovclYuIlmPzJBrT93RUvJ0RBMeIR/RfFYA5vFw/Q0jpKrhlfSOdp+zFIZM65BnwNkKcep+URV
khL8ptANrXKzCqhbBplcI1Fik53QJz5UVeisgxlM2Thww2c/W64ym1bm+R/PC3MuUl4xBvaBFznx
TgVbII7A29U7ZUOVLOKUUKWpYkEnojlFnmSTGSVPNrPpBdwKidlXtbtQCU/kC6suex3EUrmINoGB
nxt0WpUubE4Ek64CZtVQCjPzH/Yc4PjGxDbk6XQY4IEgQY2RIei8Dw6y20Gi3FllyHtPfUjW3K8b
+5bu3P/gQKTlTXgEM0MwY6QA6lHDd5b9oQKlhzqnP4iE5vDaXQZ542mQekTG62kWbG1xQPHdR2iz
vKgqtmknnQOKw6cIqvedUTrNqXPGmYDjuvk0DELcjIzdP7AlLLvf/LLMT376ZQFUaZmIJPX57S/r
e37mjTCdDkaizTsd2sOZvM61aaXxjTFwMKFbQSFqjRyKsr6jtKKVof0j1XNa01o93+xf/1LnqcSP
V1DHbwjGfD6znZ9mI9HAkxwkUXcoCgcNfYC8cdMhy7hcJgOwOFS5Daf3ZTs7Dr2JcKDJltbcXTCB
/grXHPE9UItOjibswbmtvtRJ7t36LkB9dlkKQwMM36rppbH59W/+NycVy/1297HCIrF/M+5obcT3
sG76A8je5hQG9G3o3FM9NognbjEIMYkgU3Mzsic+QcvyNzB7ORcOvfxz9vLfUeVvR5VS8JT/Z63A
1XPXPb/EAxr4vvtxXnn+yT/nlW7wR2D7MBNQ5TqeBaLi3/NK5w9puo6Uts9YDQ0WB9a/RFj2eSqJ
Ngv1ltAguX8NLIUFDN1nys+T4fI2ZAD6DwaWb73dPp8AYMGBxc6H/TRYgwzp0hQ16gOCl9eYI+fe
8GEOJr45/WZD+7tPshFOoABj4HUWYny/n+WlKIU+Nh18e5kQfdZM1oltmcJ4+M1M9O8+ic9AniFY
/j9B3KPeCJe2xmzYk6eAutO86cYiRRq0PHx3w99920p+AY3hvlisTlsACyJ2jM/6cYsevZwjdLvg
auS9kuXZK3qm15S//18+RkJT8bjjP92jntFbF8MNZsMhdTrwGS5qgMw6U8n/4dLxrEIy8tB7+AAC
f/xGUW0Woor5RiMWxkuF3RSjn81ZpPzHKVpcO5f5AXwf9ICaa/jD680bcQj3ATmFsY5pd4f5bo7U
A6Toh3pEkPzrK/j2XapvFLQ/FxYN3ggIGD9+GK6RirVZ1QdajTT5KGkOKUaDVWUkzzjRMWeJ1llZ
M1KUX3/w3zyKvkuoFhAjT8BMebORu21FV4bu5YH3SnU/QE/CrmZkD0bK//r1R+kL9v3b7vwded+x
K3imyar+8TsuQzrMCSXDwRjIq8bkScyObYb3v/6Uv/1C332K7rF9V5VohcVoMNQ7GIGSKK3Vw1ig
YjureP5/n/Tm0sE7jSsG4jwg+TBvCCJ+XnCDE4n3u+X1E3LCR12AZwbSDEErDCreaCiigYmnoPg/
9C7hRdLoqhUOKvgEjvjUYEI50Ddk+EFndidR2a+jtj/95rueAUw/3j0iF32dFOYFApj1mye0IrfE
L6q6IBXerja1ORJ1ABtTvVvg9W0DJv8bK2itXYP45WBCz90A2gso64mPR5qB7W/iKL71VYR0ilng
y7mT7aWQ9jUWajd42Su+cucYLUDtaw+TML5V1Ft2QA1T1fwn4AOLLR0vmwk9uQeeagryngL7Y+bZ
1VGGafg0FtTqU6HkgWxcRiYzmvkpZUllnnIjer4DM3aKOiqThmNW38fldsjycttzYLjvjVSczGCZ
XpqQF43Vu/zursWnpKK6wJw8Ahf1/Ljakrhsfk6z2MA2w+9j2IF4LuCTboiYhX9GvsUNs8Rq06OC
I07GCTW1E7aUopPeY9oLOSQ2JgO5tKGpbwDzIEKKb7cU7J2Y0vs1+ggbDQf7WxwlhDG6vIXAT1i7
HnMKdtDAck6i4ESVcti8wI0KTqqgNvQD8BVkaNgfo3iUFyqy0qfIr/IHd6K5CtO3fmzcwv4Y8t3r
lTfRJqwLMSz8TiOJUTgkg37tODPbjXIFrR2DtsZDN4H44PxZ3GKI6J9CLs1FnDb1jTukr6bFPR1S
1/4IkO1VdVN4Dwq0Ok56d467rrqYcz3maDl58fgScxa/SxNX3aWgJ468VHrykZjZk9blrKhEEo5j
pKPjHgAusxIDo9IIqzD2qah8dTGLXOPR5yIOuSwZjk4MDM4rL+8iKAFm6F9CCCi3WcJFCIcYk5PA
8VfAjH/vL7buVnlJ9hQsWB+KZsKgLGPiwxhZVsu6Wlo33ycMKusrixZrsHHjcPwUh7URbJmZdj4m
ZbgMK5fm2aWBWeajb5TyPQOm4tX2gCvwHedtyeB3hWapOZAKGDxULO73Du7mdC05rOJNQ6FD/BbB
EtVuUPTXW1U7KxRb3II+VBnufkgy1cqIMgPLJtFjHWFpm1oTzrEC85Zd5sDn4F+Pwwo6bh0/9KVB
GtHgl+kz6YXGDhfEeOV6FbKiJMCb3ZGnxhEyGD8t7ZLtZT30+Q6YnJ3s0tqRy3ZBP9SsWkS/wwq/
nPV5CdBJ2gtrSxjMHjfEmXcfRvBkj1GKOecckFHQE5arlsnFCT1cwhxywoBvZdwJGUfZUxPZ5UmF
UcksAQAmjslXzuIB0iEQJvwiWPqiYt4Yc8fRPEZBcR1lAXPqKA/2qcEdGsiw5y9srLHPMUKCerlP
xxZgQVyr+GtZB/JQZi6tZTfGhCis4VPdzePeKSr8LAFc+O2CNfw0Yd7tUEKtGqNnDGrl+6CNvvZD
C1G9U/cQIFA4jOBg5uRUlC4d0xADKW9j7zYeWJTMu9WWbtp4NfZtoLP/6h3ablL1ai/76OOpujAD
tcNNn9PAUHW/Lqasy1bMKRNySXIeanZFMnNydC3lkAY3DnUtk0JWfUZg2maEcsPIhGyYpWV3wyg7
7i396q8F39su0uekM4iImFL5nKvOv3XG3rqu0Ou8T4k2OamBJypjQ30aAtQbZj5Xm7Hk68uOOGlN
eQ1u+nKYXjqjxQEZdew5scj8W8slAUCY+TMgAbp9LfuHCxr9dknw8tjQXjakbdEXJunGvw2rrKUR
PrCTnYs93OQNRIECOCvIqXVhE2PuTnx0S4/6kHSAcm3Lml5iWR7rMi9XUdCZPMFordokv3FqYqjj
yfG5CUV90zW6tK/s6oKodR4mmjAD/itLrDMyyVZJGNBWc+k5nndddHKPfeZbX82J3WrUz4g0F+ua
pLbkOpWEspHMhUN3ophZGUYvr9NI7jraqeuxIoxFOoR6Nn2lscFu9QFFU0D2WVjiiycdgRfutB64
wynNobY9RLwN3o91pOnuZQnaayhuu4G9x4jYPaaARZ+NQP3GoBp2TiobmuKgZZ3QNj8H1tBf0HWk
JK6GGz/r8kPnEgWUxlWwL4LIuOrb5MYB6PbJSNPuZlYAnEE3f0xMZ0JBgxLOn4H2i8WSQO8h5pdx
U9zURhu+y7NHr2kL0OzxKxnD0RoD9wfW80M7mpjFfbjycVRACDCd+kbMyDB4LUKlcsVnQ1aQXjxe
erCJ6CwnMfChkp23LdlxzMJHM2WSboK5jP7jt03WFV29W7gHO45/+GBchfzHF4S7z7kaDoUtRbtn
7rOymUpMq74LUmzxec5mlnLObHhE0qDQhM5MQ/pMbOLo+bBptkULeqZBHZ3XTlIwi8UTiUJkasgE
L+wPXWEXp6lxQMB5vVkzakEx4eQdAY9WMdtk6jWq8tyLeTrnqdHnb9n/YNGHdw2DnYlZWRobe5GM
RXya0sAZFb7rcPRPKHsquEbu4HjOmuNAO7irJWi9125OY5KasZ58rSVaH1i95CAwzkHvOAetblpK
k967Yl+ffS+DAdG3ff8OJXq0alMxBANDPVjEfR23gMWdwRoZPFvdk5+ZGaImld+TvqqQNFouPVfq
e/QWtTePpzJPsw3G18/CH4C0pGgYZofBhjTine2yvtg4xlspU0MDhQz0cF6heFfb8551ahMumjKw
HnK/P9gNqQWqCZ+zWGZbb7Kzra11aKSJYJLtbXU98I5mTBaRUlcKezDWcGeWa5Zr9BKBaR1WGREy
TGPw5aa5YRwThaNr50XEqqKQY/sWEdUJBzZIz5MIwK7XfOFDxnCQseUsf8eVc34q8nVBDJpUulpo
/dMpsFYJrC6gNYe4KMRpGLvitXIaruDUT0jnNeBGbXNcq+kqTq3+enSpLKwsRlVnUVah23vmxVWe
fJse1Wxz1OmSGj1qDp77QtioVss2bRlldAHokYZByTlHKgpZg47ipLQVXhHeO8IUz3ij0GkQujju
McZ4t4j12G7DWeUPZpKkT+c9sCyJEltPS0bQ5q8r83Or7YfCHIU1AnHTDCTtTeucO/LdgYdsh0gM
nZkfaFiz99rTeNVHA2Zvv6Vm6imzr2fHAC9hL9RYWdBWF2x+8qJ3CsRCVvC7czNy+R+Pefr3oWFj
eTSM6D28PTcTHsd+wO/TFtbDYDJayHi/TB5A5Hy4C2de+b++Avrk8eYCWCYndSGwp2g74I8nPoQ/
soiYMIAyoCAtQ0JErZLsrrKMzzkZ1fHXn2f93dPHuJP5IYZBx/HfHGRLkP7Qp7KczRU/84ods9ok
HZS6Ddr6ZyCRwTaDLHbjSn96d34FgyW03H1sT9YO+aWxDjNifKulGfeqo8b59e/30zkbF6Pr4+9h
lOJwXd5cj36GAlljHTkEnLf30oiqC4BYv1uDP3Us+BQaFbbreML2vLeNmCEZiE4uq+TgEs3ODJ9d
o8Qys25oDUcrNyNLbU6p3JnEjp9+/QVtfYF/vOPUB7TOfR1X4Yi3Z1EAoWJs8yk+iG6KQkbJaKSM
MAyeioG6FHqHnG8CQwYPkAcfsmBuIJjICVTDKElWIXY50ZsdlsQGqojDvKKmlhMZcW8dseUkpHZf
mlBjKHTMX/St4/LffvVv+tV6a+Ih+s/96vsKMsn/bJ7B9jx/367+8wf/bFcH7h90TDHoIpGSkpkJ
f+a/PMOg0enUOagPaax+724T8g9Q6tqfQY61YGL17261/QcNWJy89GOxcEAq/SfdakI9f3w28dXQ
qqG9xXwElou09Pb43XYcmOSRhWFjXLBdjbe44DjUi1Yei3zh5fu/7J3JctxItm1/pezNkQbA0Q7e
BNEyyAgGqSBF5gTGpCT0fefA19/lkZm31OSTXs2rzG5ZXZMoMAKAu59z9l6bTPC1DunukZkN+0Vl
LRvE5f4N7cF4HWXVdJmZn9+KDg+Y0fTeniJ2tAME7yV1p5GiZS3jTdZHj1Et9lbWk05IfY5conye
huw8mVaPYDPyoGqx1RgOmRhhZyGGKAgxR0WqI2wn7eoDYeJxUNcmVjIRFSfWh+5SErCLA7+31jOD
7k+6NgSzJ57SKv3COb0J3HB4AEPTP6aVY++ayQbbh3SqeERCPhyq2iNr2o1HAMFNke2QdxP0gKr+
bp4c96ZAP7FJ06WHXIOGuO8GsUpJ1HPWEV/nqXU0k167BQZrlLIuAro7Ig5IyZr3i97qqDsseF12
Y9/prbfPc/ORlpBLZeUbxyIzbhkPFwzLfRSyOG43GdTGoGm8cMtZsVjxwKDwhAtAJnw2QbBqVuAe
2hU3q7hdegt1qK25hyJNkXTR6woGtPlbaUakt0g0LPbK7mS0yfLlA0rFZk004bM/G+bTVNgO0Vju
+FoalUm3o/HX+qy84XU7m/omr3AJQIyCSqHfjmUolg9lK9BNbJKp8rT3LJcG6RBVPmhw+JwubUnI
qDpIUXZljRzooEbAYUznx0aU3smPfFgak9cQ64BUoZl2hdm1e9O15c4lq7wMEuju97Io+0eNY3KP
kVkr4h4nEZPWoI8S+87NWh2prUyyDSmQtPHgvxZkHA5WdtLmRNTaWiukjJZdVbdL2x6rNE+0OGeS
zDnEDviHOhdF7ohSrzxQL/VO+4qkxSZzinAv2hoAHbQUDgRsmXR6CPus2JVN5bnRPWnR4zhtfTRx
tJyspW77R/RW5uw80S3q9A/aOJM0iq4ZoAsUmKgYpLnVaYlKsmMzB8m1PEIBmetmC2uzJL45142P
lVfLh0mCqGLToZTfmomRVqtMi+Q6MWw/XGmccf1NMo/ac5zZCUHfi1sACnUKecxovHpB6TefbBK4
ljV68PCxzGMiPllJGmCEGf2V0KbFc9LS2TRWRT3r98s4OeM2h2kbroYmpoQwegpDAEbxvipzbZMs
UJdWkzfMH4CKUhIIUsU+ZsDLUL43jvi9iS1zDSk1usc51Nw7KN85btY19bcBQZNfQD8uekdEW9QQ
CVLmyz6Zy/rsdG357EskXtAEILwE1pwq6a4P9wJefwhwxglJEHQ14B6wIfGk9tJeG5rRL4FulC63
fMkKCjLRz4y8Y7S+etc/DqNbngnWjHbkbBLiO9r3fjpGlzCv5S0SDhOZBVGSr9dV/r8b4i82RBMs
GDOD//eGeEw6SAxUHnXy9X7418/9tR+SFAJ7nr2VA5Eakjr8k3/th77x259TW5Pt7m+b9793PqH/
RsaPC7sMxyIbILmt/8Gc9vvzINUdya40a11oHIrE/e2+B9/Ti/sxjvAyAcq56q9FOtFstXIWyrVO
cPE7LarmXSWG/mI6AUz8213XYqgAiZ/CymGDZ9z53dUTsAV2BoaUAGIcaW6EzhERGy5t4Dw0DXuU
X32jHJam0atCG7GXFQByUL7Can4C6UGLr0JFiAczc9Dx+QaxwqssNNE/JSiNYJnVr0tNQLWJsD8Z
ltswcWcSsQDfotWDP+y7cIRVczskBBA26elqbUNYL4ZVkyCwbmMCuwLc3s5jo80uXhEUTd40MUJR
usyrgw6DSniAEsv3Blm+vOPXRJQClKh+Ez4QKCoSxEt0W2/mgYUmcGJLY3iXk1E1tB8MmlLawZPx
RMIrLF330xiJyNlOvquZz/oYRsmmGCIJto7Rhf0a6z5dJaWB6+PbqhcZhetEn3w6N6YLdMyNvCk6
Lb4We9sqm43oEVays0VmX7A+JFFBF8DscMYTH6UL+8aw1N+MEHq6L5I4LxBdcI6DCFm3HTjEhsI2
JoYC8vbkQfOlTewYEet64YTM5Cmkoj8KcEn3oztXZL8secJxZGYBNqLGe1kG2Wub0pjkBi0Jvidn
Wff8fwGKcsRXaTOeXC+FxMchR+xzRxi0MJlVTSEN/DZ/8D0/3xVtocwiXs6gZFu3IzzbMXea27aY
to3V1OA4M5MHBsQhNT9BYNrshw+jM8unrLazF12lk7jAy1fCHnCSJJn9WStl+ughKw/QsDVr0JrA
ltG43vScYV/xfWQB0lVqRLctbxLAtgcrpHg0jJws0DR7GCX7RuBCGIaH1GDDnJxDV5U30p8vSEPH
FrKd3/1hKz1ngUZ7LdH73WSRwzRs4vzi6nmHXdQqVvGS5E/ViJC00Yx4F8nKf3fwKuVBG7bpedSc
5i0aaa2sEPvrJ3/2ljjoU0M7oILmpzhu6Q+tclRMuOyehZlfUq02Xx0kRdEK88B7wiTj2fF4qSym
j1u8IiSvZ8WIeEEi6hbT5zCELLswP9j45IoQTh9H/Vu7wHpeknZvxJMVZPV0O1qxfZ/TCd2KcaGz
RRRJtW8jK7upOKcfsXAZr8QO4zpySxxl5gTAK81QtVqwsIid7C7dUHGgmOyKDO5CACuf5Sn32COL
qLYf6EAZJwY46UtTxukrdzTfSTmI26Fa8v1QlhgIFit/r+nrhquwjVxolmI5kzwx3hU9fSG4cwbH
69pzH+e054SkaYJlBYvx0WM89gAr2aHjpPDhuSTCNqi9JFE5eeJ+8IbubmxF8lF2OrJGMU/6sc7G
BJpf1lzIDp0+kB9dHwRA4Y2GTfq1Yg+nZev0t71dAVqTg5se9MVdwKgXcXG2dVIbamZWu37Ro7We
+t62bUb7iz3SgadGnj/KFF1s5INUzuoCCX94RNWIAWGIdcBettwYZXRj+jX4T31ehb4I6swaPg0k
1AciK/O9Cv8OSrtmlGt0CNCSkqy+WJe4yp3mD+Ryw60OqBn2EJ1Op7Smh7SycX9l3ryv2kE8hPM0
vxAMtbzbIdUPX0h4D6YaoKU7G2puVax5T3rY3DLFImelO7i6xKAXQ5U9Edmb77jtvC0aLC/fzepP
2IP63YIjp4Ppr4uNdKSFiLztzziz6eSNxawM0WOMito2vywmABGU3YSgzjpNUh8xH6rw8cjk+Ewu
nn8yKzN6AcSQ7/DfNVsMLdoYoGXVj06SgXsGSncihs18mOVIYozRzf4dOfdMi3Iympuh5pjFi3oY
hoiGLnL8giSQXt4kmREd6gq/R+Q5ij0pyuPA0Z1GGUsNg49bzbHTg9lYxgdnLmxzpaMCWnWNM7/H
KXhCPrQHfHno0nRPNE/zR+a4G6mnkD5l5m/CpjJ/TxH73uSdne8aK0kuRpt2j5Hbuyezn2n+YoXB
kDFnzVNXDhCvbVcR62rtra4G4nwZwzzmCVzmgLfHvSunaf6EwyOdoVo3DNFKezpoUTHuws4YT0y5
xAHbRwlpqGmeJ4ZDZ6koxegOl51IZPzAzla/Ogpp7PWl+2VOsj4PnL6DwOZHn6ZMpkpr7JOMW28p
dobbWXb2Gglav9IqBVH2FU/ZMzLQynpHsimBXka+GoGEIvdeNNipsdU8h4rPXClSs3eFNtuK31xa
RrPt/LH56EWl42ysKir+EFHkUWlAfx4UB3r0SrrWEjZ0DCQash2jj9lkfwMG1een3tKZKXtFRwEA
YnrwuurQVBqDl15zCEDI7NNEKnegjeXw0WOOz6hP8ao7vPLwBhTGuo46725RaGtdDPmgxo1s1wgW
ott86rVLHNtgsZKKpecKycZ2DTCbRbtmwqA42hhWKoTppTgleliyLCFfIGBghrSsKNwuFZR6JhSc
G/oiwxMDpBRjDu8tUxRvPRFvNH+roxaV9gdPwb4NXYq7qfctlsHZPM/NAuE0LI/qBh6aXBi7pR8Y
1pSJ4g6YRyZc6U1k0q5r4xJyVWSKJ1fhx6UCkTdNZe+0K53ch1PuOWyOeZbA8KwIGpkpTh6wM1vv
iOxhnBt9vayhx/sfDBs8b9l01G4Ki442A0J6AZzynF256eYoQagrmDpDvGo16eLOu5LWHQVdb3QD
+qQjD35vehsj0ZrPzAGhtGszwPawB93uknKz6hTOvQzn7lwveX3OqAr3iGDMvcQYvUJara2mKxU+
xEHwkbOAeZHkozIXQQn5xSu04bVQUPkwq19g55OXk/oPwsSaxOfTe84daD6Ynyg2fdqnjI1qgPXO
lV2PmqoN2bSb5T2p2wLFmwLdmxDv7Yrtbc489PQRkSWFAuOHnE23wB6L2+HKzZ+81k3X4srTlyzC
J2hGzZoZP6B1oALjNELgDxWMn/2u3I4K0J/36Mm1xHD3JlL/+yvgFVsOTH+V47PC988BBOT/QC4T
sXgZXnjXgGdwY+eRseLJzs/o0IkMILeC+ABXrzi+jt28ybRsenTaNg6mRUw3jj6X9z1Sed4TARg1
ImfwEwffeEOP1NxlOOWPnmtymCbZhjyDXkUbjHoePelZlT9ZJmdAC0y3tbLxdd7XWe/fLpnDaSWy
wxs85QMDGj1Fhg2ipUG3pDLlh7Fd1lLlLaS97zdBMhrJwBHTr/bFNZxB/BXVkPWz4dUB4uK7cES2
LfGjQbuMmwewUOJoWe18IjvFWPtZQrM3asiEKMGURRz8XxbHu00t5xKpBImBKIkyIfo3J1yiyFzj
d2gxJm2VPF81oQNYwC2cF4NuHfR6F9bqFIt1o1IrarG8tTFcAJeYF5VrARXVUXHftM8a3C5VT/Wu
C42xNSNfqbIxANIWG9iCT9wWsYUWY638zh/WIudwo+UJ/ptEHMEOvBoqeUOqDA7i/vJ1pnI5apXQ
kaqsjrxgEEuXsw4qF2VVFJPpUQ7eNo5I+QBBcx/PlvksrhEgniQNhITFdmsAH1otKiskzEgNWVR+
SEWQiKsSRZYkFa8z7bcdsNkaw6G3I1+WJpLKIqlVKglYkeyNbNoNfabwUkCe3dcoQg62SZ4JkcTJ
eowAFy4q7QTMFoloNZzzueuXVX0NRLEgJtZVH51KFZfiZ+l8b+t8uJQslWQhQtdp6AStnBq/3VcV
8/nPocDXCtgfy1LHBKiEfFMQeU19+G1ZGofWnCeDl9ykRUdZp0kAHi3Ue9zG2EM/WHpJRcpZqmTL
xhfy84t/PyhCx2lCBYLm5AFdM743HSxJ2TrzUic3hgTZsqQt9pgkjxEA+Nnjzy/1/dCHS2F35f9U
9UsX7rvPmTRJ6kAz5FK1iVObd4TMr3KOqs8/v84P40Z1Icu1fBoOsHmc73lOWTXPVpsRAEy0wbxF
k2PdOPTowKckPb6vDAbI6Md6spqt4q12mQayquC+0sJYFddhzG93/ZX+2z/6Vf/IBe731d1bv/Vv
//pc9kk/n96Kz//3/zzG1afP/7rpfuCV/fmDfzWQXOM3bqWJ3srxHROpKY/OXw0k/gi5LMcg+kTQ
SHm8/63+5ycAAV6hqwxf+aO/cGWo/yEz6wbTaAU4+w86SjBevuvqwEPz0MjT0bH4vcT3PaUGon5b
+GwBGiCbIJ3jCguz2SebCJXjJjHtl6kYx2Ou1Qnt6/olj2ztRp84D1cDEUjFEisLlVU8+GNRnvNB
f8bAz9C7zpuUxGxQyPRLxE1roNmyWOO36cx6iB/zBLUe7ZM0zqmc2jdfFEdnyo8kh+84zIbrvrUp
Qun9B/k4gMtpky9AkZNTwfe4aty6VE38JtChsgbEWDBw0JfbytfPjkGSi99Ob5WkcWFnLUpSGgpt
jzhNKT4KgXjQrbyTK+RuSuCv1Gge/YzzmzE+hhLHIqH1W8vMjsO8nK0UwEHE32pTLZBx8oYit6J/
Tf3VZ4R1G+8oYl6audtWOZowyG/iI3ChfdJ6TjDpdMQr4k3IpqHM7sVLNuZvLgqqrR5Nj3qbHdU3
0BcoVK0s/5LWJZlqUZ9uhdKWCfRtcEVwYHNauURievRK6azQt0c3be6/kzSPhDa29gSf3ELiqm6W
PE9W2tTxxQCFh6B/MOPBXMlMErI1P0619RKL7BDJ/K1tUubj9smNResEaI42Fh9Iafiqfj5bNN23
s+i3jU/ammZlh8Vi6i/7uIDmTX/PrPiioHqRB2Yz5mVQF2+gE/WrQRsrUiHI/b66P624eBuMmfJD
gRt75W5U16oRMm442Z0Rk5x7c9oN8XJ71eLB9bit3QoNZhZ/EcAgN7aRHDP4MyY3Z+9VPn5r6D/s
rvPzEiIPzHsnXye+0NZZx4XGhOykGLXIXUs5WM3ItCykorEtL4VOSNxcTqsSWu4aqckbLkV/k5vy
3auW29GMEoLC2+SUNe4LLu4/mALd+1NiwGdCHG32+8Ue2n0jx8tCPZckdc+DKvZRwT3SdA/xWc9w
bqB3CdUq3kwT9xPvgzj4Lk+CXHoG4mZBV6DTn8vIePfF1AeFJC6mj/KD4Y6Xph0ulsy/FDpVo+5U
/Xoo5EWEHHyyhCoPmS/KVEeLV4aRJKvr926Uzokky5eqKVNoEPapti1326uf43MGsaTzNwnnhe7Y
vHckj6NmyFNtavXvaaj5xFrFM5Zk1E5C6Z5yiQJvbixi1nwgQ40SS1GkjDdd4Xg3ctS0+yye802z
1MV9qdUzFUg+khrQdCtTy8V7j/xqHlvnzvCIxuOpqZLGWreIg9K1X0CCohk7vYXwzrUgqs3c2aVW
Uz5nZfhcSI0U+sUiyQSndgKxKzxZZQZqAtdwJvONjIlVX2Au1P3cbqBXxca6xfWRBolso4NXQYB3
3OaUa/G5pPO8mTTrudIMlOmDbW/GwX6T5dy+l6VJBpmWxht6k4HnzmlQL76zLRKEluZMCIrR2z0C
Qx7/JTXfK6wjHD0LUt1GHfSRaWyFy0CK3yIMhoXHED2Dvpam5d1bujvsJJCWYM7cF1dzTgMVDllL
7Rdtam8RtvyqO//DKu6bru8xmFdDhh+UIhxMLML7smqPMSMLBF0RiH/ylNjNcUEG/IsDHzvPt9oQ
j2xUNjSs9IxFvO8zR8HSD6UDmQFnInKo0iB4ImeQ7AgW9K820/+PoyVWEiE4a3ExyI8IsPhNvpr0
Ty4MsTSsqz2e/TdfZUOo5TiFFr4SXdBVN/wvffvza37Pubxe08N9gecSUu/3ypdIlH7sMfeEc2nH
KHvHC8mF+QpM3n5S8lL1efN8uW07FsCfX1qIH79ZhisOJaVLh9j9Pse6hkK+EHte7nEniXVaFR6J
C0AiWC5u0QhkwHTk+4QYcptN43hIKS3XrV+qxgI9LgcqWLncDhHeqQV9s698CunQbkiFu50clm/c
WPUqo/hpqvRYOu22sMdHWUTkKMXFmsbfaSD1hO4HmlmbIvs1svFWWB7Lw88/6T88QgyywHWg4WCU
dJUffXVjzTwBXGRa5T42u61V6WcsIediQcX2i+v80zdqGbh/mb3hwfre1wN1wpP8Ic+qn1s3BI+d
ZyOBgpyzCJeOn2IGzhDzYUAhROfMOL94gJORwEiIvjQj67I6qqQqntIw5S0u+pBZznAhB+ck2nEX
eyz3dg1UIYpiZ9dIU75ENgrRIjIBhiRzcjvAqHwsM/kslRSfitg69NDuNuTGVLdWmXwJE/peZYZ8
spVetZNa+iWslmePXNSlR9CPbWEfz/Y+jsuEJJ0FCTuz4oze0cocljPTGxGYJv+272m/t3Y2r1zj
l4o3Vdx8owfjTbRcRIfgQl2TfN5v30Qc/lVjaaLcLxOTDY4TkpWN7DMn0Cax//lN+77QUm8gplio
rQw50b+pP//q4WjNOXHpf5d7OxsfrQ6zQPWrBfP6Jn33eQgxR9Co/htz7nfXSOKGTqqug7v2x3rb
JdJcWeFCAWm+g3Kadz0T1My09r5mnqbQjzdumR80GX6kefyH54ykaRZMjbw8FfsxZROPfVanei6O
hhF9QcwtNm6YZHvaO4sSAeCy0JfuLk+czejVTx7uncBBuHxDn39e5TbnFnR4aPv8pt6aLcIiaPvm
bsDlEOhm8sUueQSbJDuOMjtkdjQjkU85oBoTp1+DxCwUd6tR7x+r0qSLJJbbX9yTf3hjuRe4QnEK
6xiVzW9vCkEhPWkzxNcZOYXCSB28SnrMRwCl+MwkhwQJx611Pnsn9Dp01rpWDxajuO9TnuUwYwbj
lMN2CjH+9o5RERirvxB1JdYe3a4gG51TOLgkOIT2KSZWYW23rEQ1XIe1m87Pujm9Lx0hRW7yQQpO
h37DB25BqoIceZ45iAH8jesdzZ6dX0+Pke0MQdryfFo1Cx8kGeKUNTJxYK/5OxPtvs9o8hex6v/w
krBnqP8YQKnNa2H/1YM7RY2b99MImtAr1xxxJMYIfh1LJ/umjn5xR4wfCAG8J6SoC5Y1w8A+/v07
2VhiFiYorX1rdiX83w5/WpgeQnYq3+D+QEjJgoUBZDCaLFMIr16SKD86GQfAoQqdoCr9mtjcsdn4
Droe4lsJ0Zy9P7rMuNNG7z73i24V+5z2ZVmJtahBAaYLtLL5FtE/mzGPWSSyN8YznFIx6aULneWB
aGNZYURK+s0Ia27bc0uv5eViSbFObP4igYsHR+v5iXoat3U49EFOsgbKf3m+FkEhVIj11GfVAT/N
JekpJL0MD9yC0QCK3XRpYV4AaEB2J8aLmRnnRksO12Rqwx3WSZnNa/U/NBCE0HTVA1kP49awsBSo
16iTNnlN04XsPAoIGwuY5+DWyRtOS3qYHmUD6c+t+dutZr80qc0rRjzDHTO+d/wH62ngC0a0dUzQ
9qkcQbaM3HpJ4/GRoa1DAqq9H2HXa2N6uDoO24gXuO/zA0XxrgjZWRIwewgdFmyD/TE37N/jDhdt
Ztgn8C9reuTzShVGDFcSZsVoyhmQnPLeejFbfDs/f72df3i9Oesg8dBV8wk63revdz4LJhWWXexR
A7yX3fjY6ex7I2VWiANirc5f11K7Qgy47X1Oetd3voz77TyRHNmk/FhD0nDWl+nGh8TqMZx16ahH
zQoBdbnx5TDvc+VyGBPEDRgIkk2j/A9kV/vHuvXhqkTsi/2Cd61kLQcrI06mxhqT9vPzKDhu6a1A
uaVjeZdRD9rG42QdURiyH8aEpKzSiGO2mw4XooLjoDX7x9ajJPWH/DgOw6NlD5BiCP/dEKlHo3la
bok6u6RhwSjaAK1qV/O70zH1aev+0aU6QBzqnEY2EYrM4SIceVan+d79e3/9b4ftVx02E7/zV8/q
Dx220+c/2rcu+0auzPOifuhvubL9G/pltiQkSo6OXpk/+lqubFM3EKxBBOzX7TUV4IGZw8Pe4ruQ
31nL/26v6f9JS8301E741dGCqEQbUTItNVcXjs0v9t2rJAaNfJh4vBPF4pP8QoalqQJhBGj8ubwb
3cSaEQ8kYxgzc9O8hsI+my621zo3HYXkh7zwVMeIX//YGqlzz7TMuZMpGjMyOVFMmuTQEpgqWm0L
0mx4sbqiOLWe26Tr0fSHrd97ycmUnmA20kZsjONibmoj7gjcs8WpBxKK7VlvtvroFecsI5G+n6bh
0ceTSRkNJ/aZvJ7pYGmtNwQS/NoLmoTwedBjzQwaOjCPeewVj7xf6FSy5QZMI9pYw43ODow/BURr
Hxk0hVsmgc49PRpSmibRH7LaX2CLi2yF5VturNhiGJGgnbkMSSrfXLdo8DNWIePzhVcNr0l3RlUe
f0TsPNANqdJ6LaLR3Pqxa3xANxo/2tJJN6NujWAndYTQbTSZd17TPTEy6bGTGabbguEViAFEvVxK
jiwAieQfmSQpIKBi7fYEJiR3TUK6dlDWdvc7SYATmGLu4VOepcXJm8Z4q/XxcmgLWvZBPItonY8k
waYlwDHGyFpyNv0u3Wt5dD9labp1UwmdJ7bTVYfbf69P1XQn43K4A1aHX8OgjxL0xTR/mPtm2GaS
zFDCvs17DwfvHrNUeXQbfbqzOqTZTAjEG5K26pD6Rv8BW0ouVwUDRUj6NYtgG5veDVTj4bgYjb5t
DFdbl2FePmDCFR/62epfhW/mX2YmSRdzHJK1k8nyvoB9eSKEdBvZev/Cd1XPK3SF/hk/bvEi2oTN
0qvLdcnsETFYtuzgJmobTbTyUzN13T2T6Ooulb2kwTVi+k15cJAloKN6V7TPdsWEEAG8toiSAV0e
ZxsLYf0De4sO68Nv+s0cFtCs9WrceiQfBPTJ3zioeLelAq5x6qlPVkvfZih1Umigca3iLiL3wQA7
sRmRL9/Vi2Xt86j29jr2s89pGaVnvWaqmGTRcp8xIEdYbIcazT1F3A6jjsjcZiI9goYPSpuSGBvW
rzg+JBmTK4C36TrVcvslMQr9I2Gt8s7xM53Y+2440im2EcLVzfgAem95BY+JWFe76nbtJLoAS7Pv
PUR7rVL3jkrnmyjFL8oZtPJXGTCMRCTBhlIH21UzwPlTmmHnKh9m70dKnChVsVD6YjowxCteRcfe
VYAcXsXITMSLZ5aR+jwrrXKpVMvjUNibRCmZ3auoGUlWvXKV0pm2QHNfKPVzq3TQjlJE51dxNO+2
/NhdJdNSqacdJ0NIjR9Rw6SOutp2wuIwLCOqOdJTkV+PhAyMWxID9HuAEoax0v4UazOEfyZuG8WH
61QhWNamIYaiTJApLEX1Kb8KvwelARdXOThqPqThxAlpz9GoBOPpVTxOhK9ci6ukfLnKy+VVal4r
1bmp9OftVYpOt7BFl57/qVI3/hKtcwRTGnZSXSMU7dE0K3074BrE7gR4KOV75Bbs6L2AUryvGiAO
5WGpzU5bVr2XFrJeW6OZTR/aVEbeO9TcMC7BUOT6ZD8VlHeNu/FqWyPpYBj69NPs1rWRIW802paN
C/nxf88BvzoHCOrKn58Dpn/t34qa2Xb7+Rut9p8/+feoTf8NsyprovXnyOzvMZv5m416GvIz4y7a
GGoC9/egjeMDBldkwxgq/yJw/X0SMH8jPYu/DoCPZ4la6z85Gah9/6tzATwll3/IAfGC18HjSPLt
ucDSHInGFsZjVtpoWxfadQxynr/6Uv6hY/rDOV5dhE4wam0+5w+wIfgKWu37gHCRYjWBdLtlHbuj
u0KG2G9+fqkfGqVcyuJrcWkDuzrO2G8/TwWMpUkjcvOI0ab6z1XqqilwhoKwgXCb9PvCaDXqF9sC
FIvc+OeX/+Hr9Bh+MrR0KYwZhH4/jjdzJAaTYyJHKqeLWbgfPTRTP7/Ej/U8l7BVa52THK3175pe
bavNgx4azd42pou0xXPng7YfTExRoI55Sv/XePAPd06oFKxvHxBSOJn4c4Kl06bijr79QnHjI8jy
u26P7heOZVbQ10GnWtDvYTHOR+vJulr1iQNQtn1RpQX2Sh87f5Epaz8npyRwzYhNLgY0cjNMRDPC
YSCnlQ1Y4QFYb0EFmI0BNqAAINByqMTOUog/zHTasR73qP48lPFtr5vPc0d7AHH2UKwzSJKnuBl8
8hmonPAcy+c5JXMicaIJ1w2nrJjoJ7+4OEihPsJtrvDDtchVIwD+dg851rEJlBitFuNXhExlIP8i
YLkm8BbKAPBju9mOw7LcsKEch1Qbt6Iovlhu/lgl1ruzeA99i9ZmsrziUOvy9wipK5dIHXDs/JtE
FCzrrF6aXdYo+EtprO0unT63sd9QEcb3NZA7hoRVu7FMGO6cyJyTlBxFUXaFBzMSzy7hPIc0TmjC
kZGLPGr8LEDhwJ3pkvVspCky/Sa69I5FfpHHMdIfIyJv1XxrCkcgynm4SXUZH8sOKHIMnIaoqenW
Rs+fbaZW62e1NUX+DVvOILdJ5fqXxqVXH1OerEwvce9qPU3127I2QgMSfNs6T1bpah/jbGzv8Sby
73hSmpfKyMbbvE2GPTMaTtD4bAvuqh3fhkWDmYwsDBjfBPMgZ+IRKZr03FQMXtOpNDbjTOD9mOT6
s1XR48DhJldanJjD65DoDectnQR1bXGjC01SKBgJ3IIQzeA6bhwls08M/2aBinEHdb19qJeyPRdt
dxf6s3hFbNdfrEFke+XGOxpSOPui5FkgTybZDn0pd2UhXmMoxTNVzxBtU6bwe3q8/oMOnmEHZas9
LpFWnRWvxeyG+YjCvm5WJHnqWyILm1eMkZwzUXZzupd2smt9a7hFGAilbomdc+J22zCEm4om1jUC
34jQ9GbxDT/2UY4RQKewWct6eqjn7CkF0Yz4NIVZUYDrR3VF+ng8dsE4RNODFk7GzhREoRo63ve5
6K0bu+6wYFY6ECHSYqr7Ymbf4Ik2OdFrYaQ/iLCZ3zq0jaucl+ZujFLtlpBEcyckHQ4n59i0Tguy
MlBpuutGb7gaPsmK9wXx+6qCu78N63g+SM0LXz3aKYzyIGVFYTjdSigVK7cappWDYwTekE5EQ1YQ
jGjhOrXCgcrAhsstnHw6LGZs3ElfeNtQ0Y2qqkqpGwCTO278JkLx0TcWhvR9rz8mctb35ih+d7mv
mpdHH7JKtwIqOt7tZDn0VoWgNcxaONwag3Mg0OvGMxSRNj1qXVM/pE2Yr8tm+ZREXucFsY431Auj
8SYkIXVDLMqDnIctLeRon2qoviuatLsFVAvKWad5ag3NLVieJm1d0+piTFKJN2LE4YvFtbPp5Ba0
lLjYdu2rARwmj9Idu/Og1eKNddu7SYpJ7AhUoNS4eu3igTtkW/VyCvOsR3wfkhlWGV5+x4K0oBbz
kcuZ9mtbTR38M08LJi+sVnkdmutOj+8ir9zFbABBMer0TiPFQc8Lozx1hXeTj+ZTViD5N0OjXEWo
I+EHaetl0cJ1mGneMQqzz6H0wWI13cYdTOtt0EkWIANhvK8p132AUrx7LAnOfTJTZvgO0HaYYe1e
eByPq2mZXtCviIDTEFfWUdQyJXB4gQJlhfniU6Z8NGC7XICwWQ9iSR10jr6BV7NIu6Aim3zn5nG/
cZCf8p448lNRzMzt6bjxNZdQotz02QYZtJ99xNMUazlGT4sUpBT12yb3mnw3LK51R7zB1DBxWkZK
Rk/bY01Df9O47//D3rn1NI5sUfivtOY9UWzHjn2kGekQQgg09AW6oZ+iDKR9t5PyNf7185Wd0Dgw
MN2ONOjo+A2SlMvbddl7115rjRSN3EIOEdLxeq57M9MzR9dBUirTSHfDiVCRTBrlG/dU9RHTUgzL
OQXsAzNGmemneqrrHwxXgV6kZ9toDIG/dDfTYONg/twpvyisXOhEgMDASMG1ZlJfS0kU2IAegrpX
w7UxMaA+uUmBbyFsDqmVgQzQTYJ4PdxhBcVKKyEuM2WVnvihx8hDbwYwN6xMgcEgY/P8HvmJiiyK
QEDDnicz9sdilnsaa0bDcpM2nDeq5L+pt/r/O/mvOvlQ4D7yip5J9hXvzpYiWW7aHn79s52Hr/U5
WzHwPYfUBjRJvZ2Xr+Pls6CNVBzSujbuwclHX9cAOCk5O6DSQMTyId2nmZDzSrpMPqGcAcbtn3Hy
iQz2vDgy6DCXyNoBEuqUR+w5jepasMVluji1coiwx0DRyXTYsfDPYbmDLXAg1vmVrSeAEAeuk6FM
HaWfnBVSU1MfqSBfSoMHqGP4ljuGDgCemwwwISlumzNmyIuotEsGUwlogOhrzRJT9goY3RQqpyE3
ml+XaqTfMu0XgYLDQVPXOfPziqOU6lMirOt4ZXvjICIgOIqhxUd3QiELJ/CfLrJCQiGZyMrnxACu
kK7Swa3lk4MEmOWqn6Oo8M8SkYMVgYawqSWGeKA3GcJffwndTyIB0MrnORSAkzDpWd8TVcQD6pI1
EuY55/szO/fgjANvA9oyV1KI4xIL8kAEpGpD+RWoMDFy/uT9U8gGDSe4KiUnE0J1vDklJLDisRdm
s8r3huORBpbnKNGLRD1WSU1Q+RNaoXWTe9XaHkeBObhFDrO6MFa5NdZVJBnCAaz+EBiJGQym3F0B
HHoUeVT9J25qjQs31jKyMpbQKQJ0Yc8vEgIc4Zn4wLAF9r5lGUqi4DlCqSOpKe+FmViDaaErwdeN
H4wgvbQz5VZAbIuqVwlkhV3DKT+Yq6D3vXIKqaW+5mTZKZ37HosllVqmOa37l8heMbLF5gjOVlDm
qJVHR7UuxsgAoHcyEFk0zTLqoMDiIzKCRvokQbhvElUoth2NUldl21Iy6kWyFJWS94Y6d5zTeaCg
RUuSSWgnjj6CoVKrpLvhzaseBVAcrVfDeJYL1MrBKeYsla6t3q6oZjNOlNXGHEwZKlIKIWQsmCv/
zAPnf8zdKT5LEt2doC6EuCqKL19FTwuunJXY3K5XTvLehO3i2qtySuc5zTKOcUS1s0jP7HMKJJ0b
D5W4I5DL+jkhqyvPs32EpFO89zzmIb2KdKNecbQ5BZgHolFfpwWJw9Q4Kr1V9a2Kis3UpFBsClOF
9r0wNMS+5iIMEbjXqhKuD9Vz/RPLG6TOpR/EtMU50OrEiCFw4rRfAw6AqL2IR5CH2X7yeY4MFDpO
hc/hnY/8WTqYX4RG6MJdZxfmVJEnXyJwNNRZTX8ammUvPvKRDA0ASLihOYXjILlK4+Et6j7Z+1Af
3ERmuYG2LF+TT/ayqldNcj+4CG3UhKAoM4wT1GnmY3hWVmMq44EaINOqIoFhig9VFcQfE05lPyU9
DXjxZgM+0R0qZxkyR9SirO1JODKGp9XISCdQo1Zn4Lh8+BvUQhsXga59KRWDIDHcAFmZC0QkihLS
yWHiMzHUyM3HJPX8kyjNSxQGU0kuDxkeBbcJkvcrLbnIyN1/4AzBPycvqX9MdVudIP8E/GwwQvOH
0C2Ats/sWbgI1trNjgso/W7zqudezCmBuNsIz6OSOp6JDa++WklQNfXRxZGnxDAGbjzNQEOM3ywq
ah7whTw4n06RMFhfra0BqlxFrjiTzMk1+FH9qPoCMm5AbnLtXOYECZCQruKvAP42U3WNovoElGGc
InK1grwjggELCQjOSo9VJ4JDLovAoBQsFAp8bcXgODeMzXlBYdknp6ySG4vn12bUf5TeDFmvUXJs
VLY4y4BUEf+iF3vkF3jiRyGeDc+/zjiHdkaxMh5FKzEWgepcQ0c34GwjAH+tIgl0zsE3hThULXNo
6akG/JTGCuU6Ky/RfLSjcbEJqb4drKFo3KizmFjgMoY59xo8Cot/pqK3YhWlp3GLIEVhw6zER2H6
/tkoImKkKqL6pBokfo8T6rq+1SsLFS3z71YZUp4WM0NVpVIgIZGzaAWX71VZsUaJgqNOozdgWYVj
GEwnAHvqjmIjmsJGIiR/pDpkOhTqZ0WXNwJ1Vh6DxqIn1GsjYzoockogi54VXZIF3lwmArzCcRxX
6STJoCVAV0RvKh3+Z9yl7YNIbwbWWbABn7Kl2HxeJlmQJrvqfPnpx5i9/Bo9u1/50ssNbVEJrzpg
JAT2HLC6U3WPX2ojWNDn7B7Ig2b1IQWUiVLkzeVFHjOII/J59cfs70bfIPtojkhyyos01o8M+Etm
ePkJG3u+/J3WE9zFWZTK92C7cdTyJ6X395Cae+jRUxvstdCygY4lRyCe6kckMdyygWX1BwpIKGAV
jY2aGz4aKH83FF5+vp+2weI+JKB32dzdu/SxDfCTyef+EyPsNfHICKM+CVgI7RXoCOXFi24PBItc
PPI1MKc0VviXBsLeE7DrMEdn97//Bpej0YzOu/I/9jJ+YSjstfHDCkO1T8JdJRahRllee0NhpPcN
PtENZTsUSDL/K9Nh7wl+WAGMkSz36TQWhhDdqEOFw43GCJJ15/FYMC0gSybbDNJAb3MswNml8Oq6
WWHY1zhbQgRkO+CfLI1DlkZCVlNy/7+tUUC9ezMyf30qyEjaMnV9wClGfe0vCAPic442WBff2tMz
MIedV4JRf0iNLueFUKTKi8zA4zkAiIH0BBgNmWWQV3PDN7QpKAo1RR3ngGr20c+gnmo7BeQ289gK
piSDJAGjAjusrzc3Fihz7L4rkKSitowVj/qe+mpboRkLiOtIvae3tRBoGrCMjoNA0/tEqpIouHEB
n2wHRp8iU5WDTuONDgJqdNXO6yGesopsH9jd5in3NkUOrvsGKUmq/96cU4BQksREdN0O8YAtcPnb
SGF/KbD6iHFLXrmfXwr+war5EHqNHTe4r4Mud5k8F5v93Rd2zvjTz7eBRu1EEk20vihjsObejY8l
//6j5X3V5UCPPtyVB9X32f58+4BPb9261+6pdv88dZdiIe4cKX+Ck7vtZoNV/2+w+HMRLh5HAexD
LL8/evL7b61+Pnr/rzS8V6ALXSJp787tCreKo3aHrSFrU/eG/UWULJJdS/I1gqZnKe7a8ngRgI8W
kdvqdRNsdW47DmKxuI93vZS9bry27i1H0fIude+yVoxIfQ8ObNfGj5fBoli0a7YowjqAsXdx7bv4
+zuEsbPwz7bZQeEcYBSeYHX3vvU+t35SV8tMl7Gw213GLxiw7HZt+RSLu+6unXp4U4rOJtO14dn9
wmkNwG3Y1LldeAlgsm/PyCYu7dx0dA+Mv/3+pJrmAYwRF3vNojPfvdnzp2sTGMUDzJdzTJnd+Ztd
F+txIeOR3T+ezR4+uAAvbQHv48xNnpgZXOUBtpeLhRstd11slmrSDLt//HqfLxbwTC2i+11LsmlO
gA/xCl/Vha135w5dd+8c1160s5pKzX7UdbpcuOwFyZ4+gCrJj3d26tLtF9mWOxsFDZ1MtJY9iJwP
0vE4SvfWEIo8TfzZruZ+Cd7U0R6Xy3zR3reQUpDp/+59fqUUu3PHX6oCOUDjF8vSvWttY2SCZebj
EJb5RinHrqV6SWmSzJ2bjgXSHeOFiNkpW9uOSmXLAXaHy/oGT7VBaF4i8Lv2/wMkk7tWarMMa2GP
zs36AR5JO6pRST0cYN/5IJb2/sFRnRnq2uePyyhKNpCt7oUJKlx2B+j3a5xkHSfQVa0h89xAlCoy
B9iXmxs8HYiy+QPEI9dYf5kky5ZLsU16dX2z18uyHVVqdPoAK+6XdOE8njzb7FTX7n5dipCdrdUy
ggkHWAi/ukQ2e8Mb8QRJpte10zeLxHEjGw2pXVtyOdkm8Ds3vkzSd892nkO8Awy+Gze5Q9vKbfe9
ybV17vsm5rDXblkFANCrEclzmaYHxNrT/NPuDPq5n7WTa/Ibd8FyIf74CwAA//8=</cx:binary>
              </cx:geoCache>
            </cx:geography>
          </cx:layoutPr>
          <cx:valueColors>
            <cx:minColor>
              <a:schemeClr val="accent5">
                <a:lumMod val="20000"/>
                <a:lumOff val="80000"/>
              </a:schemeClr>
            </cx:minColor>
            <cx:maxColor>
              <a:schemeClr val="accent5">
                <a:lumMod val="50000"/>
              </a:schemeClr>
            </cx:maxColor>
          </cx:valueColors>
        </cx:series>
      </cx:plotAreaRegion>
    </cx:plotArea>
    <cx:legend pos="r" align="ctr" overlay="0">
      <cx:txPr>
        <a:bodyPr spcFirstLastPara="1" vertOverflow="ellipsis" horzOverflow="overflow" wrap="square" lIns="0" tIns="0" rIns="0" bIns="0" anchor="ctr" anchorCtr="1"/>
        <a:lstStyle/>
        <a:p>
          <a:pPr algn="ctr" rtl="0">
            <a:defRPr sz="1200">
              <a:solidFill>
                <a:srgbClr val="002060"/>
              </a:solidFill>
              <a:latin typeface="Arial" panose="020B0604020202020204" pitchFamily="34" charset="0"/>
              <a:ea typeface="Arial" panose="020B0604020202020204" pitchFamily="34" charset="0"/>
              <a:cs typeface="Arial" panose="020B0604020202020204" pitchFamily="34" charset="0"/>
            </a:defRPr>
          </a:pPr>
          <a:endParaRPr lang="en-US" sz="1200" b="0" i="0" u="none" strike="noStrike" baseline="0">
            <a:solidFill>
              <a:srgbClr val="002060"/>
            </a:solidFill>
            <a:latin typeface="Arial" panose="020B0604020202020204" pitchFamily="34" charset="0"/>
            <a:cs typeface="Arial" panose="020B0604020202020204" pitchFamily="34" charset="0"/>
          </a:endParaRPr>
        </a:p>
      </cx:txPr>
    </cx:legend>
  </cx:chart>
  <cx:spPr>
    <a:ln cap="flat">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plotArea>
      <cx:plotAreaRegion>
        <cx:series layoutId="regionMap" uniqueId="{F596E3F3-62F3-47F5-8F3B-47E26A388A56}">
          <cx:tx>
            <cx:txData>
              <cx:f>_xlchart.v5.10</cx:f>
              <cx:v>REVENUE</cx:v>
            </cx:txData>
          </cx:tx>
          <cx:dataLabels>
            <cx:numFmt formatCode="_($* #,##0.00_);_($* (#,##0.00);_($* &quot;-&quot;??_);_(@_)" sourceLinked="0"/>
            <cx:visibility seriesName="0" categoryName="1" value="1"/>
            <cx:separator>, </cx:separator>
          </cx:dataLabels>
          <cx:dataId val="0"/>
          <cx:layoutPr>
            <cx:regionLabelLayout val="showAll"/>
            <cx:geography viewedRegionType="countryRegionList" cultureLanguage="en-US" cultureRegion="US" attribution="Powered by Bing">
              <cx:geoCache provider="{E9337A44-BEBE-4D9F-B70C-5C5E7DAFC167}">
                <cx:binary>1Hxpb9y40u5fCfL5ykOK+8GZA7ySutttO96zfhGc2JaojZJILdSvv9VxkrE7HufM4MW9GANZuiWK
rL3qqZL//WX+15fq7qZ/NddVY//1Zf79de5c+6/ffrNf8rv6xh7U+ktvrLl3B19M/Zu5v9df7n67
7W8m3WS/hQjT377kN727m1//59/wtOzOnJgvN06b5mK46/3lnR0qZ1+49uylVze3tW4SbV2vvzj8
++v4f16/umucdv7at3e/v35y/fWr3/af8tOOryo4lBtuYS0RByGjnCus0Ncf/PpVZZrs2+UAY3XA
sQgFplh9/fm+9+lNDevjm0rfm77RN9+/f+5MX090c3vb31kL5Hz99+naJzQ8kPjFDI3bcS0DBv7+
+m2j3d3tqyt34+7s61famvjhhtjsCHl79ZXy357y/T//3vsCeLH3zSPR7DPuV5d+kszpx5e48Nck
Q8MDRVRICQkfJEOeSkawAw5XGMf0QTD8+94Pkjm9m159NH35/dv/Xi5/rNyTyo68f6BU4rOXePDX
pELkgVKSMUS/SWXfXhA7YFRIwkFcD0b6zVBMZfqbW/P92/9eHPGPlXvi2NH1DxTH6buXePAXxaEO
COOUMoIejEA+NRKM+QFnjEgh5Xf39lgqp3fjze3fcF3f1+1JZEfaP1Ai65P/PYmE8oApxjD/Fi6U
eioRGR5QKQgNJfnh1h5LZA1mov+OSH4s3JPJjrh/oEy2/4syoegAhxRzSR9YjsI9magDTCUnTLIH
KwKZPZbJtqp0YzRE3Ydv/3vf9cfKPansyPsnSiV5iQd/zXdRekCkQgIk8ye+i4LvUkRIxL7v+hBL
trc3+d8IJN+W7UsCSPoHSuLs8jtPntPGvygJAqmW5GAB/If+P0mCQ3TAmMSYQLR/bBhn/V1mmu/f
PXeQ5zPf7+v2RLGj6R8oiuvTlzjw10RB2IGkoVLoW7z+yVXxA0JJSDnlz4aP67umgSLj7u6lIz0v
lEdL9+SyI/AfKJe31y8x4S/KBRKtkAjBQ/bA970QgjE+4EKGYcj36pC37iZ/6RzPC+Nh1Z4cdgT9
A+Xw/n9eov+vyYGKAwp+iAkpHlyVeBrK8VdXxalEFH8V1J7Hen9jc0Ar3N/xWo/X7klmR+I/UTLb
/0XJQLQmSjHCv5Ui+4mvOhAkhNRYPZ/4vtf2i2ms/hvh5NHSfbkAgf8Aubx8xMdJ55M7/yrWpQ4Y
AtOhRPyIHY/DvFIHCO8qd/UNUaHfteMh7dpDoP78WH/i0p4CWE8o+X8Eb/059PUDI0xu3M3qK7j4
CP16+epXcgHs3Fv6pFh4Qu13tm5vf38dCkhuf0CWu0c8ybCudONerQYLqJ8efhQgPxbe3Vj3++uA
A1ZGGeTSTIUCiksCMMB093CJHCBEEBY0BBxAYARm2Zje5b+/xuKAwZehkoChMYQVnMSa4dslyneR
DsMdAB4o/APSPTeVh6TvB0u+fX7VDPW5gdNaoAlCYPtw2+6kkDpy8MgSimIwfkl5CNhQ++XmEhwx
3I3/T60DXxYNxknbpSL2Io3pfJPNmTts1DDGlhWJPvKk1++rqWZxFfCrkGVJSGuUFMVcx91EP+BJ
Fut0EZ+zKqs3fWXP8YQiN5ggkcJchSlBG1JMF2ZaYlcUPn4MmD6h6otpfa+z/BtW/ePjf87au+bK
9Xd37s1N+xVI/ePaDvH+49PZeNe7ob97BTfaV+uhuf2Kg++v2Snkj0V/YLM7NfgB1O4+/KSRf6Jz
DxD7n1x8opBPHOVjhcQYEUhu/lwlfwANDw5gJ+Fva75po0QH8AjEMJIctE5IiMHftFEKCBIhqIHC
Iagi2Sn/N20kGBQVg+shcAAUghb/0MaQgqJCbQI5MYcMjIOififxidzABp/RRrCFx8pIFRT6lFAM
5gD/RRiIfayM2TSjRbZmOAzDIXNxVaq6jmmYqxM6EGUjwfrmpOQD9CRUPsrkEa+e2R0IfLw7QyGV
ocTAHykYD8Pd6R6ZQtdlixqX2W2mIRxXwtd8hXVYJV7o+vBvbAVgLUKCQkLE97bqSTFiXDO3objX
myrEU0Rs3q6IxN3foApYqQgXGIROdg7gEVULnsvWU+o21TzrzUyWLumdK2M3iwFC9A9le4aB4K9+
YiABmiiEshAgmz2q5tENZcWAgUqnKhp9eNH0A7+fR55kTVrEwpAg6tK0jFtEzYMTeGiaPLM56OAz
mxMqdloMDnOPTjfnaUpa5zaBoTzCxZyvGkw7AHteIvFnHWHQTQsBs935Sin2drGZJHbs0mHTK8p7
0M3GuojNnRhXRVs39S+IgpR5jygWYrCtkOAQ1ITuiH4kPNaNIcmxGzaZ5y7Ky/4OErl7mZk6wlV9
zNOijV4m8Gc2MqiUFHTeJPTVEEdPd0zzspgkMcOmQIzFTaoqEJYyq5d32Y86KIRddsW0FAjCI9mx
+RFddEhxU3blsCF69BEJgpMssGceh2E8o5r9gqbnuPh4tz2hcYqyLmPVsJHjhKPU6Cgbaxe1RdlG
RikX9WX5+WUCQ3CkP0kOojMHgJ8rUMg9V+bzkstpArPDOadn1NDqXYaGdMvNIg8Hk5XJ0F2K0cu4
q6i95Q7Jo5aRwyHrzWYc1Lga5nCK+km0X+aZBFvPqYrC1HVXS++jSuRZjMtu+YVjws/InyAqECQE
UoQ/aZy0GQ+NAzPS00DLiAZTKaJ5ZuMqCAiKtMVd3EozJQS4twqrmX5Ci5jPByzbU+EWEmdtps4g
mc1+YQvs2aOBf95ZOIM/e8ZQqIqXC6vcZnb5Kkxzlug+n+NOcreyXWbfzpoUMZq4qhJTLc3R3BT9
iU3rsUzq2Y3RiJqopLaIOt+giOA2TdJGoqgJM3+cDWF/GvIl2C7lZJJudC6ZBGvjzvXq3TDp4J0b
ZRororu4p4FYQ3tURyPp5Wow85ErextNQTXELmUqmit2nNPy7TBJe1pSTyJPlnLdk0EnU+DOjBLL
YafFEnlakWhOq/QE5R69D/pu3BRNGcQp8/elJ5dOujJSIisPHc/dGTy5Wb+srT8byK5vSEKweojB
Quwp62wzNrBpJ3SbnwblkMdaoi3W8/WwpO1qGGr8l00SdoRuJGSyTOz8zVMHoPp5lGop3aZP0y22
dFXh7Itq6ElPGhqXin94mcKf/bZkArwNhmkCBanPnluzmRobkI3bFL5qo3Ck0zYzE1nJsPfJy1v9
rKaSyRAa4IDYIkL4nppmAxuLaTQQBeXIjk3Q4a2ZBvELBj67C+UAa0lCoHLcY2CN0qB2EzAw4D3q
o06o4HDoMnn+MjH4Zz8G1AC+LCFbhGELtrdPqYMF81bZzTxjkxhsizWf6yzhtjERTa2AlAIUHwmS
HfXyfR9mG0NL/Su3RH5yp9AAIhwD1M0IxnRPfl1n6KJHYTd0rsRq6lS1TqfCrenktIwJXegWN7Na
9cjcVWYSl6Urpk3G0PimXhZyxEqT/kICX0ujx6UTCuFMUNNJJYmCnHUvrGQ0CII0J3bTZEOzRT1b
KTRM0dK47jS17RDnYmg/VgxMueoCfza02sdcozBRsjGJaKq7Cs/jaSnnZFmmT0MRhHGnXXvlm0FH
rdPskGX5dNT46jRA7lfJxfMEKMDsCKT0YP872T+KwinuVe3lBEzN/WXWi3Y9TDR7m4MXi9tOFElq
MYprwR1ErL4+8vlyI7W4tj1X26FN03iW/bjKkVEXZhHmWtLlbmFpc0RkrtZTm/lkKosAYoWr1r3u
2l+EBLwT+08ieETBnnZOroIDG283Piiyo3RRzZFjc5MUAUqc7sHJD9xHRYG2xHioZlta/0ILyLOa
qaCFz8AYsdg3d+nBl3g22E0R5K6Nhkqyz5BWnQtqm6hS6NZU4/xehDj/YvvYDWMWFybMk5LkTTRm
dh0ia5KeUxFNGk91JMKhjXPYcDOzoohpkeE7DxU6uEpxJUi5YqgwCQ/U+1YW/SEeGToJGK4OF2Nu
xIiuuIeNMoqHuJ2UZb/g+c+pm4T+BqbQtGUcQbX0VGlYKEWZFuAQuqJ636QbMRZVEiwoj8zCyC/y
xGfcNodcESpPKuDBaK+isFXJmx6czqbNmnulZQpReywiOi/qFzvtnrSnSbCTVKGilAu0n9h3aTa0
ImWgSX12XWKSvS+qJa2i2kM1wXxZVRHigTxKOc5/oULPRF8OQztcEJg9QJB4P+Woy3QXpgWym0H4
j6mT57PoLhFN7yvhPkPJy38RoL7mnj/RugOXcAgFN9/36WoM7KwB09pAGd5cDgTyHp+SxDf5GJNx
uUNpfW10NSeZbyG5oVLHo836BEG28nJ4eVaZYEoGIgsRFO2HZT24keUj2O8kjUtQK3hE8zSPAm2y
mOXF/cvbPRM0OYLMEUAzqL2hyH/Kaa6KMquHGYTs+3mTtTiNl0Hmv6gRn+UvNEIoaNJuBEjuZQCF
xZnBtLUbqJH7WI5znoxNoWKeymA7WQLWOdIhCXxXraY0q2NAA6rVPAbHy8J/5SN/LsoBQ4SqEIpy
GP5i+/Y6+YEtuS3hMKNDqzwT2dr2yxs/+izOahzEra2bTS5cGJlyQL8wK/ycBUM2BMyGvF3SfV1z
2ZiGpEH9xmOaf25FH7Bo6jN3ZjVmdTRxw3lsBnhAFHgVQELNu4olqGjLMKo7kZfxFPjpzZiTLI1C
5wYcs4zZ25c145ljSsU5Bx8jIM/Be5qRB1J71vBuw+e0Xw90GVfUdmoFubz+BUue2UqB/xSACQMM
B739p0qoC2zbrhfdxi1pfU+JFxdLk9d9FHD0N8iCHJRRtJs0gw33yGqbdnGtpN2Ghbq/UAADrw1g
vMdF725eZuAzTgx2AlgEUkQBoNaezodLmhVmgJ00QVmSuqa9qrMuXEF0WyI01zSiJve/cB/PshLq
a8phqAtQ9j3ysgw1TuWs2/gQj3HN5inSRR0mPQrtL7aCbtnPEQIyDeigCQVDlOCxnspNltQM2YJB
RWiPujX33vWxzum0JKxOmyrmvQ0TDjl5FXdknII1VI7DvFpmQeqLWjIwLk0AY9ym1lfvwnas8qRv
SjkkbVVxHbm0y2/MxII3JZHMrrO8yorINljnUQMkkVhwI2WiRjbh9UQQ8ccsyNVG+14sK0P7vIiy
MsfXfAgXnFR0ZuG6wPXMV0S1efhBTVjXd7wAsCSLWqhg8uM570ma9Lrs87e2MthvqwbQtU2ucU1X
AWrxUb3Mc7CxQznaU1Y3g3xD3eDTC25x1azhczCt66m35RwNVJVN0pQjzd5I0TCRDIyYYj2wrroa
A8XTo74JzCHuyyaNfNaHfaRy/a62nNBoHqgptiKbsjaWgzHl2pfaZ6u69U1/UoxQTuqYq3aqNtZO
qkzmkfk5MaNP0XEd2BQB7lC3YdLWbJdcaSnDG2FTwEtE6uZ4kdT0Vy3TgdgYZwt/PqVivGo07d3K
B50Sl8jUMlsNfsyGLSSx87qTs9Jr2mS8jWibLUtsbaE2TQ8halWlO/gPBaEqo84y+bbIuyqeq9qQ
2NJ8xFHRtuywlsMF4LzrYWTt+7QNqw9VINGla/gUpXUxHwa+qFakU2dD5ddNZ9dzLprLVACISvNs
VS6N3oS0nJJSlfU6G8YjMvopDlt7U5ScRmwI02QoZrKuCbmlJJhWY+MtnKEXG24ntFJU8w1Vi4kg
Y16iolHZsaXt/Fm4bkro4IuoEePN0nF2OJJ5icbZR0xX7xDiKx7w7pypul9h1OjzkkAbZ0AaH8u6
yt+QCeQB1YKOrE7fzQthGxbgC63zNsr9nG5TRct4LsoBkgor4gqiRGKtWC7Kat52jrpIL57BX+VZ
CejSPNH+qJznMFlQ2a1m11dRkadjXIqyPp5InmiQ7Hkq6WUd5PMKmk/5eln6JfaBG5I09OFmgdT1
Ms2q9lMjLTppciET7zqezMj19zzomjhwY5tIAKw3whi27Su1RKJJ5y1BOtxaL+QKQIqjEM9rzVq8
Lpn/UKOh+9Do9FAweqUH/4HNabOakAKgbkg/1DzIerDAWm7HQTTrMejSZGHBdalkemRTohOeGblC
BQ1ADt0S0UItSQ51w6Xug/G8y3p5aYcZ4iKxJ86nIqrmRUc+gMmibmoPJXH6UNu6PmxqOd5T64bI
62kBhKsctVt8PJiuWQiU5iHqs3RltHLXpZH5EoWgPO/rEJE5ER3UERBMwUkU2TB9bIH3p90EWlb4
tIlkibdoyPwqMM6sOV7kMfzHrGYwiFUKbUlvT6Sfssl+9HkvbBf5MKVTmSw27D8GmKxRkcksCkI4
80YEofkyi6VsD0lZhUNSy16MkTdYyJMg4K6ISiH7LKr8yIIjgGeRBZC204d9D5yKXNlUySLr8ToH
VP88rIrwOq2bUm+ngvcrpnR3iqdQro0epyWaOwDjcm3RZ45SyCcB321XYkHVcQtB9ouzMuOrXR81
Liamyck8W35FxzK9VwDuDzFkATUU3+mIksXL+S30mer7vu15E/na4k/NLPoESjR2ppqw/ahVMyU2
t37jIGO5lp4WH0cLz/FBNa+MC7ujxUA9reeGbuGVCvseUDhogxQ2X9ZuHEATcqK6D3kmuy9dS8t1
OQfdB9GF+rDoU1dtyezKtfbIvmem81AfmmlKeMpqlwyLBeOowoDFJaJlknHO4gISru3QsTIRACGv
oCpV/bqEuqk+rFsD9zudje+6dMqWlWQay0hlU6pjg2in4hpag9u2yaudDgbTUaaK/ArVeRUZ0Q/h
2gI7g3eNokCiaEuVH2fhAkfl5fhuDOdhepOlaXamZScTg9rljXFSntCcwlNJqzcUaX41upAtEWQi
3RFv8/ysmGz7CaC7cAXAGTvLejDVVWPqZb0Mc7mezEzrjRAiO6uqdhRxy3J2BkbUgVGBdAGE747K
WtEzkeft537M+gu69PjaauC3Lkq/WXzjNzIHpgY99ccBqOZFy/r2M9tVmHHDl3ZMyq7QG+CsPmRz
DY8Nhvkc97Q7anGhTpbRtp+db/sPYw58XYTovhic9V20DDmwtWvq9CgDNGIzKGdv1WTZGV26YIpG
o7KzWTPdQr5b1/52KQiVM0TgidAqIhNO/QmGsNwmkyqyOMhl10VZkxcNeKghtVFnEL5usWdnmpn0
bcvz7JSzwXziGS8TN+RLHoXBkuJolJBEsoGEq8zJ7sj3KE2yYBiP+xqIp0rMb2VQgF/MUn1IWljd
oiA7G1THlyiXDDLwBknoWJCu2vZlWqeRUwDiJLqc0qO8dnBDOioZZdlUuaRYWjNEC9g5wFiNfe89
gNZSjPZWZJTFaeqrLe7dTsuHvB2g5xKyK13n4ztq3CDiycAhK4bKS+n69oYUOb8K1NJVUdtM+Znn
dYMjS5v+Q9Ut87nkdniH2rm81Dtxh30qT1iB08uOjrBRGfg1IHYojCDJyM+oBa7JIvfnKAv8PVqM
3gQzZU0EoH16GdYF3XYob044meCJZikvIWWf3yoEHZllGmlwtPQAia+COvf3ogWYL06HPDUR4C22
jxoeTE3MAyMa8ORLHcQ64OklzaHkitrBdn5bjyPPgXbQpCXoenC9nIKmgc/Kz6qyMDiu8WLOA1IA
iDv6CmSNrMzHLSdGNrGy7t7IAGqmEdVF3NVTdx+YAr+jWTsl42TxHR+LYYjB9LoL8BbLvQmLto95
2Pgy7gs23IVyWBjITIDuty2whUMktxs0lbiP4O07fL2EVXCpHAJvJvh4N7eyu3BpA8B/F7anbvTt
x7lIuwvsZHaW8k5vnBokvBYoyRb8mOpXXoJ9N0Hm3ndaN+iiD6QFH2/Kmm2NN8A8ScQbqInTdTuk
PTgxHgrATR0ZoCFM5KfFSnea1m22GatqPKS8BtFA2DwhPS2HiIlMn3Nq23XbUPu2b8c06pf83mUG
vrJt2ybp2JLPTGVsTdtqiVvqTRKSuYnZSPgGA78i6GjSpIR3GdvIkdpf4rqfzyEJmaKGFum7sMoo
DLiYK6fom1GAS5wR0lDL9H0yDao47QD/QUM+HhV128O2JT9DU41Pc1GD3yALtNeRDt7MPGjPGs/S
K56GZqtmPWTgdOslwg00GzvM0JZpdzR6XyUabPMNyqb+pMlEc5TljY8g1YcUUEH7DyDUG8XybluK
Zr4szUhux4oedRphcGkS/iK2WzUct/Hs6PE8F/Q95Nso8mg2n9W06zMZt84BWd52qRHQLcshIR0L
49/LecouUZNPazG3h9xUXaKmQGeR7syhnJYbwP/qj2UtFgExB5gUBjQDRw8VTiy8p3lclKXdlgEi
0ZgG6Kysabu2wwCNLzy0CWSo0zmV5W70p7BXQxdwcHUquxwsbDKwVJwPSDURANM+gqKU3iit+Dtu
XXWotXg3F6jeAFyaQx4IqVxUa28io6f8jZYA3BgcblOy4M85Sqf1KAO0cSFeEqkHkkwjGKNtcxdN
JUCFmff8GJIL+r6gbNOw2azBnMABmwKq04x3aqMqpe7Hcgjfzy3Fp6pWC0wt1PS6zeciniGHXTPw
Xcd1aqt3mAlx4UeQEhvt3K0F5IVR7/pslc1ze7dAqymM28zp064ANdBNlekomJsW3Frr84jWhY3n
tuhjaCBEanFhPAgOCT3NipvCz+VRNjWHruyqImI0ODG+mC8WFL53OqjXYIprTZYCEjXGICETw2lN
Wfq2Kg2kGXRcl+ACi6iVTl9K1C9JWRN5bL0G74XyVc6qMipJz87qlhkT55PC0LSolq33ZnzDWQBh
p5ZBCQbHm6M2m4uzqiC5ibpiqcDu+gbK0ioowIyghza+UakrPtQwGL9hGAB4gNYMRKylBUhj0MF8
rlLSnXgAs6GqE6Muo6EvyiM1aXQJE5FHfSHmw3R08Sht+aYCKR/bZhLg9U0FzdHJRc1k3Qngvj7i
tjjEc6A+KOiZQp1z05tmiOucLXHX8jEuRJPLaBwd/jB72m9NKD7jhd+lvek+QcZafapsbcBp2eCt
qFiwJuOQrZwY6gvPIWOpfI+h6a3cEmdzmreQDs2HY1iP+iggZqLJKJAVh6LEGGIM5eYsmLIyixov
zBnANwZFoSwyA22ACpyQwaz4VNdFcxF2sr7gGnDkSHtwoEU+udvKhuhzY4v8tkvR0sZhAA/sYArg
iPWFufLwptr0oYeMB+Smocipc15BlAg42VathIii5vYjREvAzpYKhwOA/nDJpDq8hvwYKtOyzulR
Vs72ti6Nu7WDBRDB+qG+L2kDqIJdXPoJ2QJ/LvMeIr2hfj633Zx+CsseinCa6kDF7ZLa24C1QR2F
y6jEailZc1V1MzgGm8+TWYvMjWZN1QSIxjDnoB55OECCY5rKXOV8KBnkmCb9xDCDNaqdqz4RhSpZ
QhsEatQQ78pktHDKVcFgXCppYEpLQBEzw6aFpo091gtzUDeiZsR5PLWTztaQvMKTl0DOZksngB+T
nCofbAK/SwEcdEjTCIopdVLkiDYJ72tIWquUg5SCBUJdXM1D+mnsxzyPskGrOUozVt+HwwC7Dh3x
OJkoUZ8emMnGIBsiAu1JHS8WwWSawMtsIqgnzIYolsWk47aMAQsC1hNMmysG82PNptIFwD0wWaCh
wCzn8rDFgAKdhR2b8dqxhR373pkrNsFEBYgQ+q3xlHZAXykY4CF9i8ri2MIUw7ipPQx+vFGjG+9H
DthoNISszd/wAOfXpR/DTTM0zfsaK3FRCtWlcdtKdD3lrfWHM8Dw6RkdgOjDcERwRsjK4dS6SUF4
3M9NAP0/w6oYZAK2C9h/7hPAZYCLY+Dg/qUJ7a2G6kVHcFh14u1o73Rhi2qjhr6DBoaqdbFBpQ7n
uEJgP9EE4lwOG8D/jiZtAxSBHkJGx3LaFlvEewBReuitFOBcNOvB1CkU3BCEIX7F9YDSMmrkAGNV
4TIv1Vk+EhR3uxSyEk3oogpmA9/iAoWrrjLoCHrS/eFUD+SizuR8ArNM+t2y5NPbKaTjQxvs2xjy
+UO75GGS9vEU6OOh0P9cG+iD1PuDo09uefP99zK8eNfmzuzmuO3+Tf//ZlC/PP4NB49nUHdTNz8G
5nbzr99GVx/m0KO7Si93+/d/Hz6FF0R2GDFXHDowCN7X+WP4VB1A2Ss4ZNahAhAernyfhJawCBoX
UPyBaYGDAIzXfpuEhhey4H1dMC0Y6oB3TuRfGT3dh5J3c/USqRCG+uBZSOyh8kOoM8wJNOFckG9l
Dtlt0x9l3bJ+xI5vWvN43nofJv+6DYb3MBigXDDMsAOZH7Xc/dIpFS7Q8BqCAEAVtK7855Tckjk/
r2h5/PJmeL/383U3+IUAMGoDIwrQRX26Wwkk4TRc7AYQl9MMxkNj3U0fAP7sY1HXCsaY2tVcoi6i
4Op6mZ8XY/AJp/VVI/Sbdsm3c39JeV6u08x+BmT82tng3S/OuN94/XpGCdOG0JqCMUex1zjAE0nD
WUFPLoVEOfKYxaQlMmphQi0pquAq/7/EfVlz2zjW9i/iFAESIHjLRZRkyXvsJDesOAsXcAH35de/
D1PzdVu0RqpOX3xV032RTPsYC4FzzrOAVM8VoWBCaI/osKDa1lTlaOgEoXl20OmIDDRuHMUy6sUV
ilFtzK8s2m8Y8j1guvyO2GPEwt2D24ctq/pu1XBMojbkOOAAYnZOWE0O6epNn6Lf3qV0r5nlZ3Ns
HaGqyJ3T8RjFaGoa1cKNybc1ykFX17ovcV19HYriaY6KbVnOo2PpIfUvT+e5FYc3B3YwvjRL5ytK
h8Ysw8oszGYEhn6g8qnxkySMwIOIcPTaFior0jiyLnpnHnTvcvBlqT5ME6BsUMGBoVO+/HLvpknv
BPoJIXDPDKTmgof4jrQvl0OsP1OwiwkIAYtuAWwgw1yF4EIkZmykTZDr4qabmm3CZEBKfg3CXRNL
fscBaGro+HIEGh6nQ+Etyae0iBvwfCG0LYQ6NjJJ/NLICqA9VhZIpHleMmWRNycRuv9p/Xh5pIs4
8WQ2l1+BAI/E8acj0zaXv383m0BarCyTWh1IgCoHmaSDX+eqfxPDNG3avKy1fdQO02uiEg0XdEi+
RJKZTpN14qAzqWKX51nys1cZiJq2VQqX5ca4myc+bAnDj9og1W++jnV4DCv7FoSf/MgKyw6I7Hcz
GjvIpoijJzX6s70iAek4KEwaOLvA3bwhsu56WW7GdA4/lWVLnDaNDjZK1y1+jYOmgxg0SY1tQjJG
z2armyALpcjckICAN1beCUUt30xQqzIJmstQW9Jp9PgwSA2ouFXu2kknzkB1h3MrcuNWaq/aoMmN
bkeFH5njm4l2gUN44olQ13zebw06UB8wt31gdnzlw/pNhnq/uZflAJBqg7QI6w5QUk6Xo8w7kfV5
UwdZFYJ+mgKY7tIhdnE0oGsEqvSQPLaxnQTVKMBAUiruAquozV1cGfrPLmEvXWcMdwOEDE6Jne2a
c24FqEZQ70dCcwE5HZueOVEd4UDGkLXXscZfqjpCbVmR6GuUojeQpN0WlwjzIgP4QaSLX5e33bkP
jAGsB8EHI6bGimg3RfrI5iarcYCgRkLd2h6juXmuuuzn5UDrc//3fOLqhqAE/0D4djqfAxF2jXu+
DpSeyW1RzVrnihGZn9PpOLWybmj9vsm+pNgHV7Dcc2PkFDoTfNigvonVGHWjrIlqVR00SSl/Vo04
xnwkX0LAbFcira97DBJAi27YkAuAZreOFM4Na5EIq2AurHvWVbGjMvMpQpoBxuJ9Eqof/3hSORAc
UDUhYiFg8Z9OKtH6sBgk2BZ6m5h+Y1h7AiwvYbz1QkWOpiRui87+5aBnphNBIVyEwIQuq3kaVCtR
AIzJUAd5ZEjP5unBHAD1U3MsrkT6wPfDfEKYg4WzoGGi+EpOQ7FBE3YlqzqglvoZTfKbYQ1zYDM0
QO068tgw7oau/VXpTeGimvz+BwM1QJFGm5wujKXT6GgQ9FZtY9/URuPkjB1Bx96gXL4yyjObhtNF
FoQs2cQ2XQ3S7jLehmFRB+VM+w2di5ekBqN9QveIZwsMUNju5YF9YP3/nlcLLGIARBC1sPW+IVU9
j7VWBbS12SuPsgVb3sWJjdN3yh6nCRQmzeBqx4eILqTp9ItolD+0vNwwPsy7eFIcVgV/VQ5nUuXz
iw1CHsgr1PqYvfJOU6KIYix2qG/Qo7GdSkzflP29HovMseZR8029AzANssfQiuZK1nd2GSBDMykE
mFBy0NPVtkIjZfVggzszpI/AQIIwnw6UF7cTjd5SIIje5fEuy7q6YDgcVWCpgqIGRdLqM5oAHuMG
Apklm+09rcrXKv1v0fo/NVLnhgTjNlxeKLUoWSdoEU+7LJyHKojq2NyYbV+g51RPm4FMnyM9uum0
axtruRU/DOrviNbqqI3suBjrYkLEUoV+Gmr9napV6uVF/61hio5+bRVpYJaCedbQbBlSuY5LQKj0
NuNqa6dsDEKr+dbn9BhVWo7/vzFuUyv5eXn2zx1iJlxU0NSGygg6u9PVnhpSoLXUVYHU0hcrG4+D
Ud2yNH74d2FWm0p2Xcx514NE1FS6p0GHF2Wj9EJ9uMYqPZM+oqHz94BW26nMajuZRwwomefvidH7
ea/dZR1/afPx2iqfyZYXTQUqDrboR39/ye9S1QHtttjMmipIDfRsoeKQnc2hqiK3jWBHXWQ7TWZb
PTHLwGLR4+UpPffdgFm4UAyhJMP/TlduAJV10BW2WE4LHViI6N+afFSf/12U1aFctslIY2RmwSR6
F70Cf4qyK0XHmYxIgITP0IUQ0N/qq70x2mEVNpWhArDGjn05fLHH+RGCi3srDp/0Ks88wFvXMpSz
p6wwQXdDNxkEwEWE/r7MKMAVG2dlqSCcRxJoxRj58/RYIK3dgYccsDCBpgpUr21aZMYuJObz5Yn9
oDBZ7h7c5xg3yORIPFd1TjpO4UjHHOunyNeyyl61WEYul4NLovzTWMkvpkp+tTQr/FaS3MnL3Lv8
Kyxq+vUphVoZnAUOhYnO16LHMsH2kiBLBiWrw2Cus5/JTB57UD2cmmmW08fT5DIre6iG2tjnuRyC
tqd+nJiWP6JO9dBMkQ/NFMYBqQDiNTx1y6bPAOIJDyD76FWjlLvMnNy6AKpQl/OtzfoIBBDtqanj
5oZEw8uk1b1TjAwwni2DtoUsoCKpDCwDUCQxQEhpB22Xgd/zuUsS1HRRErqFBplBjhXj2oxurUYK
J6EhOs0KdLzJkE9DnGUeL817VVu7NC7jfWyzwQPyQgD95MciUu3B1AFMgMfhd230PPZZ7ypp7Md6
PEQiMQIZV5VrRCJ185n3Tq5J3TPRWzCdYm78NE6yDbhOT8A36GbSIr4LZ+MuHg3mNPAl8GM5FF/I
bFNHL8ObKq+HoJnRYm/ADAHfI9tMusZdDmTYoYREDmhNZC9roS2Nil85s96SRt4axbRLNIgNogZ8
K1LW7KYjRNuVkfnPb/7FpEaA47kwdPXVtx6mhWHn+qSCdihSdx7myImj+EFvknvQYR7xXzmXN+CZ
exlqWxMMZCQbS61w+g3CUWfUQB1UaN/bk6syEbldrPshkXsx94k7tNcUfx9aWvjqIHankI4ZyK3Y
7+7DuyMbXNFskg2Qi3KuqFdB4eCj8ZU+lYXVOj1MdbsKf8l7afvKZg95nv9UZXvAr1YcI6pMJ1Qx
GBd2Sj2WjNMda4vizdSosekIb5xUZMlwZZbOnRQCuA8uNd0m+FRXB+QkcjnZdqSCRuUHYal9N2rt
fs7jO2Goxq2FpTlhOqeeXdFfvSaezHrorpwVZ44KSAeQIQBDxYlFlqV8P29DZVggrpS4bXIXYtQK
qSdz49kSV0a7bLJV5gShzXIe2hgyWsangQyQGoDGjGVAZf6Vp2yDguNKhn0mOYM2AFYHkCgQmDes
5hPdiqpL674M5EBfGjB43bgoXrIy3qIvA4wH2Q+PjAerYdfY1OeuOrCykDMwCKThkHo6uEKmmW2M
ehmkTbKXgv3MVPjMmvx+iot7VrLJLdL+ePkjO5MQQY6NTbyUE+gZrVZOilrMekswWslqdwrnp4rl
vpVIe2OGw5Vg56YWQAL6wQva8aG70YHJU47CVkHG+L2WdtI1u9yVBr9RVnmjmdYTwMIn4JJfLw/y
3MQCvYAUDaIPJESrXcMGHpeaSVQA7jE6vb6CssjJygQc84r4bKLZInZ/vRz0d0W62qtoUjIIIQV0
JvZiCvn+owAxPG8YLragn225M7XmQAjKNbNhb4YcwSiBfYEjxvwtgZQQ7SUwxOUNmQDYa82MaQFU
6aOpCmrzMAF5r6GbcVrLYCCg4riv0++mqdAL1Bo/0oYGbD2DuSBgPVmSvdmy/WKp2fDUTD4ZsmNO
R+zb2ZKgrGt27Igy/qYMmjvoGkfoNYob9Gl6MNVl7AGCjv26qYRjWTXd5NLWvD6pni5PD12+ow/T
g1YaikjboLD7OZ0elplQ0I5hGYwNSFy6pZkOXQow1ehgMZVsb06dtVGhvocEC9o/kBO/ZlOxkU02
P+mxuRD8Gt8q8x2by9QnVmliMirTBTL+hYs0B4s3sTclj691ys5cTLAgogIaYxPWReZqYduIJTCd
ULgl+Bi5I34fpyvAGh6aMToIhVXtKiGufDsfYCucq8BZgAktihwbqeHpfGUZdAv1zMqghoHCphtH
y4XRQOwp3MtogSh9k8yA322mgU6WJcQ1CSqLNIWoH1yTT/CSfRuH9qXrQzCo9PkhVdzcj1VW+VCq
aleShTO30pIkQOiN/gl0wOtPTjVtVFmdWQS6vZCA0mejCEFpL8varfRoXP4Yv2Ybw7FD9QBiqnw7
0IFcuZc+HjhQRSNXsTFpgKrWJ+qYVlCziaEA+UHeZJN+q+uxK5vJb2PiFZN9GCA+ZqK5VmZ+rB/g
GSdgY4Mmpwmji7VrDqtBbA37pAwy6JsdjdiBimfpTK1w9eitDuMn7FJnZN0RdNHLH9aHu3gVenWL
VJCQxbme4Ypsp60EdX8qgR+o/soKXwmzbomLnmaxVUl8BHZ/LGAjordNQMtr/aYPF/4yGmLCdWxZ
wo++AXrOOyPFRA4jmEugWZY3GTFz//KcnV8vmMkskDnMA34bgr1LYOgsOi5IWgKnkBvamuDnmLc8
id96277vojx2AGrdVHW1BYXnj4LjwodEjCDvXPu+qKxvUQxECK60fdEZD12Y/phkCxWD+la11S5K
48wV9XMxlbsrA19OjZNTeJnfd7FXSXaqaUkcg58dREm3YXbm13xBalH0Tdwr+v65MtPPo9Cex0Yd
oPe/ks99OEqX8BC6ArdEhxWox+mhFhXWOA/SLoJevMUTdeo8uhmqO8gZthacXS4P9kOuswq26onM
WqShgLaKIAe5vRfU4X3nDQyKSpb9y1DLtn63n0Id4CFKwyIANcsph9yNcPqR/pGiKf8ngwKHENcC
MaHVPI1kmJ2qOMEH0rWW6SsORQagohGl7DzBuYX1fzIyQM1oLAkKzd/qGsqBSDJg2kUw2XW3SSh4
fnWfqQ34yxQ0NyO7skPPLtq7eKsdYg2y72iORUsidW+R4djU1a4SravTdvsHU4lzxjRgWwEWymrR
0gnd4SwNi4AkYAIoYd7aeNSkznIImeQ1MP1DTrpsRuAKaF7rKHLX69ZoFDZS9jKuyWyA5uZ+UvNb
iCT8ppp3aQY+gmZ8ujzAj7cykHv0A/lvCJ1CtHK6Wcxah2NGuCxeB2nLRDWvCeO3tsp9UMF3mpkf
qriCEVQ2weDPesr6+kpxdebWOPkFVlPcmcoc9BHfe5WAdpPxrQmEIhPD4+WBnrk1sGVQwaFlDfBg
raDPINvgyYjJbQiJ98jNIRyR3bWtCcIV5mt1eqJJKJCXIRMkv2lY7z/zpp1xbEvksJxqX5NEh8wh
zfkGGYGbNYUPjWH8MKlx8Cdj+j6pFOAtWn6epImB5pf+JLXqlyhV5SSC9oEF54pd26G/llXqSeqU
b6y53k60ualK45iO9GEqVAnqJx93IHz2myFh0JD01eB0/ai7yPFhkETVJ/SnmsNURnbQot29ierC
vIE6rF0oL/Ax4q0sCxd2Y0kBsNyuHWXIJGj6XPwqez3a1lnMDmWfbGEPdN93Rn4jEckr+Wy79qDv
SWcIb+6NmxC63k3f2N092N2QKdly29cEhEsLo5f5/EO10rytQvNzhP6WNwLzrRhEbVbe9oEwtU9G
mmUHLNJXlvHxqUV17EIWBFmeoebtGNUgskLvt+WqLBzKsmo39Bo8ArS2dGmV3nTzuC2hE3bsXEO5
knXVQ5yaIugKC6ROMycBWHKZIzk4FiZD1cRJ60UxS5wk1L+opnsetFBzjILeWSHZSaImBWyPsk3d
KA6+AbW+xIjrJow2h9wyWjT8tOk4SX3wYjmHD3HIerdI0noPsBy2ZfjC9nGtwx1jaR4OsZQ/tRlC
LE4ndavXSD27FhpfGJr5dtoyn0c0PQgG4Z0OcUetx8w3YXu2G4roQDQD2E+eDbvEJL1fGOTJmKJv
YT6kTjo8JcQY9gmxcqdXdem2Qn4vzEzd9nP9hjJ7xrBtz0D/3LHNuQ0MI0v9QS+3A7gFvglCGO5A
CZ858AG2NlmkjynZ9kq4NjVgy2BPhh+lKVwHmsLYary4Q+cdazeEfRwkYwt6dVeyz5OCeZYzRml3
A3LOWDvCCDdZ2s6Fm9Jy8PM63g/QC30iILk4oPr1cO3KaUDyiHvWbJZ7s2vGbY5eIjxgqtoHUfxz
KZpsE8FMzR3gF/cg2j5EdWh0O8iZj4rDEGzQIraPaCTv61AZml92KXjXICtrkxkeuNBMLzTN4Ssr
6jSA00LT+DpYAMamL7hebfuRaEduVrJG+7iG9gliM8em0ItZUbzpjbl56IqOBhZEpDicuXSzno0u
+rmQZsxK3eSAKnaaPvoMyucgLUtoKmn5YuntluRD+Y11vNyFKXtEHS1fgG2Ce92DAbmreg4DdkPl
fgpP0RAk+Wb4yeKYmiDuDn21t6EPFbDB0FJXpt1zMpGthYaFQ/MYJmqjr7TBzQ273WRxy/cjZV+s
eCQ3lU7Au1MZDHMsa74DKbB2hwjk5RprMhsdKuSq6WqPdKjYoDIMwWiGs2eQkUrDkaINw4FG0bcW
TnE+7FZaxGCp4dE6mu9aBXpZEAnw4E2UPbdW3oQ4M+pOOpDfNeB45zPdQEmGtqeIoDlWFCR+iOEq
GmhWN6SuqkdL9620VHeaVvRHK7f7fUPwzWxI2hU+RMLNUzJpZGdmcMpyhtxMvo9lCO2iaFyIDLlf
9iYcV/RQf9B62Jk4Q4mTDHakxSFMh10/NLdGHA1uWBVQ+mkjc1WcRL6q7BmCkoShJwk3OQ5bNRY1
QSnr4ZYV7FEaudu0qKBtdGFupIwHJ1eh6VXa6OrSvJNdeg+q4sNAzE0cqldVpz/qSWkOrMVuWJbd
ikjfWsmwN2cFQX3CYWEFvaXb1eRVm2e0ZXRQMDqRopOcZfsJNJtgbsobwTNoV6B6EUld+HOjZR7q
j88QgDUeL3i7kTp5tRhuDHDelTtFxr1oUIaMfUeCMW7v0bP7kQvsi7GZFtFbtCNwXXBx5UCyhT+2
W+sXAoHaDypbW/U3oUo+FZ3pDcZr385gYtbda8PzVxhVLdmwhiJZV4+D3T5JYRw10Psd2ZYHWFv5
g2aC9FQ99q35ZlrgAw188MN5AiidbCPMDJnsB60N8Ym9gPPeLKYdPpy8N0J0x4JHe0sUzCEwWnAI
elHeBEmpw+v4EBZQQ7b5z7THBNovcWlDsWJ/Kopkg173rjTjX2EaBWneHKMsvolZB7l191PPik89
dCfxQIb9LOnSLEUWD1MrPTWeLKLd4PZ3CYrSKWEBmue3RvSFjG2Gzzx+7RU/GtKCumhIK3eQxT01
5q3NcRaMUVY8agRfupzzF9gJOMMkAsLKO2DFLu9bBihK+x73YY/TNbo1Se6ZCfmimc2DKSG4wDnj
dEJ8xTf1VfaTa1nSb0dSvNlo+EVxfqPXtQgi+5GHfKORUXzLS3lsc36sW5LB8gbbcai17QQ9G1xW
yNbAH4xGWN6nML7wKpNBLKnXroT1ZIKExIN2LvXMibeuKebArJpHWYw/B4gQ9hWw+3afNUPExyDm
fdJ8nuKxTx5YDulo+bAo32IfHEm+iRI579HB/HU5DTtXVi/EdtjsC7jsMHNVLIQjZFjahE5ZSuuD
1cfgA4LnJ77Q4W6i+h3YuC+ROWw7cc1O5jfisMrMgLmj3avDZpwDtTrNdKsCxkHYRiU8MWrXjsU2
azVXak9lNtzaIb83lLYLdSCqTYV9zn+ShEGjZT20xLqZm296pnnwxrg8HR+TX7B0YbS0NIWW8mJV
qg1mqUURhBtBBN+GgUIhnMNxAWzQy2E+JqUEg+aLPdjiTL1mSklJQzvsswIbv3Uhe3JgyOeM82M/
wK2rj72yutYQ/TgwHewZU4dnJQATQAmnk23qcQVuMLonA+M7AdMZJNvHWWPe5YGdKQVRLMEaF3IX
eEiuO6BxmugFoFM4wTYdJPgsyGMNbMh6o1f0SpV7bucuhRmSH7LAQNaqi2aWHEaKFmJZeYkEIIQU
6BstXiC2nV2jaAAKGaY3obWsxDXcc/nRq637PvSaHlnmdYiXCTCbUwYD1gT4gZ0tV7/aDUI684wL
sYutfW+Kf15qnwRefTONNmp1PsTQbYX2M6mh4yxgflgVt3Rs95eX8tyOQQtB4AtF+QSKzOmOGWcm
R1Wg7aQVKDUN8oASxS1FhxcUL7HlzrSX8LQdgfsS4FG8prbamBEtCZ8B7wfd0EHV/UqzAZCTsYX1
ly816wpV5dymwasBkOWAmi7Q/V594DrvLKqyFt/B1Oy53u/zste2tZBvc63QQsT0OuFkfIqqeM8h
j7882DNziqBAriErt/FbrDolMs5kX+Yllm/OgQi0k9ykizdQ3RHzypf48YjRoT1a+nV0ebdmeTPw
fd07qaZPxroqg7iHUE8xeFLkOe0BPgzJVjKQuOZmHn0xt/zp8iDPVPbvIuPJnNPISitwNsCbJrAa
sVvQQzjeBJdDnDlmlh4QltHGOQ1p1mmIaIbX2pzg+2NTe1PwrTBuDZQTMF++EujM7gS5CMwavCJA
TfiDnQbKuV3H4YAzRsj6M60e60n+KDXhV010YzX8ytd9bnvYqDDwLAEuZLjXnkZbBKG1RHYNZ5/c
rVu+qUvqROO12TuzQEt9CANe+J0Bcl19cnWSzRON8cmBkvC1XqiJzHy4vEBnQwASQLMe6ix0tE5H
MmbFrCsdIcZkOsI6pIJpj3j+dzGWTfKugRvRseAx5LnIPfG+x1TAcOca6HBmQfBcMA5ABjID7rTV
9wrWCwS7yFLgG6G/iDL50StzG+vTH9zO+PmLHhCFKjjDq+nqR5GPcOks0JWZX/o8feuNInbAGvcv
T9n58fwdZzVllhn1FVPo7YGqozmz7L1BiOcKHf3Lcc4v/99xls/q3dJow2SAg4fxQOL3oFvGA4xI
rkEFZ2MwyIsWPZXN1pKBbuI1t8PlfrJCvwvptqqvpRjnQwCZRAPRwmGz6sUqAR8l0BLQAG61fdoW
h743t5dn6sxJhlYjSB2QETKMZXVY6r0NdiJslUFnyn6ZYXec8vitavLDbF+D88+OxgI+h7TWIB9w
OlKHGcfyF8GI/MSJZwyp/8dcFVBiwI4xOF7lQkGxtrondintHs5EAXhIt7ZWVvD16Tdmlbh6Kq40
qs+NZ0n+IKmzIONY+xpymCgzu9QRq9Uf5uYxCq+dMOc+F7zvimMf+l0g1KvFKUld8oj1WJwpPyxV
ZRlKtBiTK9yXc2FAQYHrukUJVmcVJgOBRMDVCFmBBYvgEl4nNaoeuK1e3mr0TNaK69JCdg70BE+c
r77KGb1wEcKEP0AT+q6c0E2MN3CGhrVH5VmKbbQUDDTb8tqa7RjaOSSiAazSJCwe4dQCe5XCld/z
eckh4ABX5c5M7UCWykM+vC8G86koZ1+z5LaGOw4xbnvGrlyQZ67jkxGs7n3YlYEJYBuwJmgNdJff
WpPivY/ySM3aN2kdXJ6ws9Hg8w9DSlCMgQSdnmKRDa9AS2EzJ3Xi6fOdNk2OFlfOWP5K7Gsg4blN
gEzjr2CrozkfId8TCYLpMXq1Iof3Euxr+OufDAmPFC2JIViUqwyjiCV85EZM4MgmBx8MnILiIALv
XSG359e8/s+P6e9oq+uz79FzViWizaW1sYwpYNpLTK+km+eDgMdBF3YcZM6nqwR/qCrLFWgsQoPx
X/GAR188WVdXMvdz5zQy9r+iLHvl3Y2W9TP8U2BOFUxp6Oj2zdyOjkCrl5j/cjirLa5Aju4nA4F6
o/RE/j2jX1hFrxwFZ3c2mEoGXkfQ0fxfFQe460Sfd2TJA5pAG34ZMBAuNctDu8uFneiVouvs3P0d
ba2lAXcBnt0DokVm44+R7c3Qg04A9+PuH5NPcf/Yy20KmghwxfVm4JWuDJ1P2Aw6dSFF2OTCujJ3
Z/fbuxCrndB0kdB7eCIFk0U9dJVF2Xmx8Uf7DYJdJJ+43MDxP91vwHOSEOhGgTr1yGIdyo3SVzqq
4msiyLOLgwsObwDgXx8In5E5WQW3cIu2gNxGi/sTad2Wwhguf7589nyMhN4a/MuRHADv/dCCgumk
racJUp2C8Y1hVLumAUJSdXcpCu/LoT7edAgFuRio4sZvpe7p7PVUwckLkrcgxHM3oppeQH8IYrK8
ERMHuXEAXFuk7ZWgHzcGgqLHxvGkAh7aWntWw68rg+vfjGxBzr5uvdpldps3w5Xt9/HTRRQ8VoA6
EXkjipLTodkEnolWjvUa0tmHpAQAYO5L/TWBiY4x8ytrdnZMKJvREYUi+ANzvYKojEV4dQjuItIj
EJpksOjNh9G/vF5nwhB08vDBoncIUuJqUEAhMxmnU45Ei7rIuA8YuVN1xZWDaPkxp2079NuBncFx
e1EPrEsGfQbDN5EiD6JGl9wTSm9hs8jTayzxc8OBngx+2yDb46Wg1S0bFX2WtDZ8LPLSfDKZ8sjA
7iFu+ccJ8EKvN6CFWHzL0cU/3QpklpmRwaMbDFIJu34GjmSisSv30Zn9xvDoFf7BI4N4Jnx1H7Ui
7dXYznlA7clntDzAaPXQT5VP4cFSmMXb5Z1wLdxqTCithxC4bR5Uw7QBJHGHh4ScBQWwq8Sry+bL
H4SD4wj8e9CsBknkdAqLuNRpz3uEg/ckHHaCkM1BXBhOlggnBTZ4OdyZcwmUF5yAHMoI1PurjTHZ
TTzUcOAKhjl3RhJ9Y3Plg97nWuw2maZtN1lbWDFfiXrm4D2JSk8H2XEl56ks8gBsBBeWyWC5jf7U
JIHES5G/B/iP3KX+lynUH/hLnTeq+v/nLvU/XzgF1LGcJn81vj8YTD3/LIqfTfPz53uPqf/+V//P
Zor8h8N/EWxo3ML4Yf9939TW/wNtJR6hwBOf0Ffj3395TBn8PyDBQYUIPQp6vO89pgzzP3jdCS95
4fEwOMFAm/VPTKZMyzg9OvHtI69CExQiJjQo0Zs83UPWVBtaPLBip/WyWWQaFt5N6P0QpAQ41sHU
BrgxyvTh0FJIDnNYyHqkGY3AisANqkAVcEIWNrm/vNZ121Qmf4Z/EwB34EVeFHG89gOFog/Cyfg5
H8eq8iYIwL7BMYXsKMgwboe+NTxAI9O3QutHV6h2BxvLKGBJgTe9hKxcEsrYnWe8OTn1ug7w3zBL
B06DwEjiKnezQoDtk05wPFKV+FbUTb7rxmjewNd50zWW5eltr7t9mkR3aJWIbTEl2TONjR5PezTm
wsuivPyMvAJmA7027yGTtGMvwiX9FkLTBdw/V1nl5HUUHct6aj/JtBUH2Mzoj91QU6/IrAcwA+wj
APAKmX0Ufc1iHNm2IfvtbHWwcU6qEDowuGDUVlhshwQPytXG9FCq0trVBS02XAMbaO56cge/m31U
SI+Vo7zXBBhSVkilQ6ZB+FnUwMhRVuyp1g3YvFem7uLuMw92Oja7DhLGbYjX0fZQkmgAn+GXC3uq
GfKNdPaapZyueGzFfgX/3tQZhu6ZJMr0Ka7WQxTmLICmJd/QCloWHRjCg+ppc7QSIJhwIX3GI2vj
90l2HNS6NHZCSzYPMx5eAkzPsw3Hi4OepsbpEUot660LR1cV01c9T5qAKCPdwjcVeQy1w5deJOUm
TUP+A2WxnI7dRNMjbA6lkwk1xu44trkPI//eS2Ihtg2v603FaeLBfgdWD+AeOpEAn6CeavtN1MXw
CyIdezPrxQgSGKh2Pr4b88GchiY7TKn6FHck/QRLxumbxgFuQiLK9KNWyv4GHq14ZCbXsciJjddu
VYQGGqchfBtniaeVdDCv4FNeHrOBfIpHTbWOZpjVFm9ByIexrLS9KIz+jua1fYNeGIeBa2bCRDUh
Wm5tO61LJrDZ5AzeFeQ9Em/7jMOeJ/MmLWhvO3C4MDYwHhQuJVUUw1Sb5tsJhJWFHsQiGJZ0euHC
oT738MJBT720iiyvITkSejrn98CvtzYDiB53RXWsOf0Gz1wrPFQGxCk3imSvPKmtx7xkyJcFlKlN
0pkhXZosqYSI2B4K+/tswv7Tj8Jpvpv7sblvOorq1C6McD6YRQe7w7b7xNRo3NcCtuKdn0nrGe/s
pT5IyMQHa8PeD6UFPZMNJ9rJUzFXjwo2mengJvAQ2irTkvUnwH9gaXig5hVt7KEyKa19sXR9NC+H
j61+h4MS8573at6EPC1gpF9GIArOcTWAcKy06LaarNx6heqLgqrWsIk84IG9/yPuvLbjRrKs/Srz
AugFby4nM+lEkTIsUd26wRLLwPuAffr5TiJqRkz1UGv+m/+mWKQygUAgIo7bZ+8x/gP62eHoZRuF
NzM6pJZruFfm2Dyxcr3iEEbVOB+i3rXQfMB/aw+mivKXwIhX4zasJ7O580AmGGAjxhHOz7EHVh0v
6eg+zEkVPVdr630vLAhuDo25WoL1USZt0d28fASo6/6xuo4qoARZpvY2WLugPk1Ghv6GsuI4uqq9
gltuZdL7B2oB1m8IrlAEopMKUlJzhoCes487qiJG3MuOABqdqiTLoTCGyb/5EISr3fjHFaoeB5BU
OXvmqaG0eUiCJUiuIAv3P6BnvFx77syvZokaGaA6BdIUXN1v5Rza9z0Irx62tb4zj9Qn55ucxvMH
KPOhcc6o5buLF5+8onTV0R6dgDSinVKxmMKbJu2Lj7Vdvt8SyOgOPXCc90vqpSCa2uC6mZWbAp0D
Yneop4xsI8A94d3y7Xdh0JMVqtF/CVXO+ZX42VWfoLd8bQaZ+RSUbX7l28NmHZ0ZIC01kvoxSMfm
M5Q2/qPyu+lfHsIBsPY40f1KFwXA3N46FYub3KhebQPV+LE0D9Wwrb93a/eCjeofIU/xr+cghvh8
yszwYJud+YRGTny9kKf+4rkJYCGXLi0TCuS7MgmGD8gBGNfC7/luqs349w2Qxcc1tk5khZI7js74
FrJd859FYGWnoYrCf01WB8mqAut7m3vdcg8d9faAzhQM9HSwnNp5zb+lZOjeeV0zPbrJcq2MmoYj
ZW75UaGe3B7AGrlXKFtsH1EAy2lHj26Gsm6/IFmo0NWdxhurr7cbb6q87pBb83wEpQZuhU7YD/Rm
ePmpX+zwPnM44qkIeqe2d+rDzP2fFnqraVqHSzdBkfZju4LLm7a0uIKcMLnxeQC6/IoJONbsphyN
m/tPQvYeW+hF7Xc6M9SDFWzWnyD/YdJBPveqsGLrFqyO81UIo6/sqElOrTUk1/Att1d9rcpHILnd
88g+fBghnf5IkjqiHdqqj1ta5++LdIGEzEkRlmzgRfZssOflNn3rQjd7D213+jVuRvMxji1kbXPy
00FcbSVYrsY8NpVjPg4LNP/HjJ3/0YOb+YbCS/8dNZ9jNyAXgDiM+tQPKCSQ2gj9uyoaok+Fn273
cBU0L/MAXVm7VOZVsTbmXWomX+O+9o9WXZk4DwEyXwZwW7op+vBgWsY/lzo2r1zYhh88YOX3DqEl
XN+Qnp0Ww2lPLli/HB9ffTHsUYWncUgAnrnBchUZc3MYpsUHSQcA47hF4UqGPQEK1AEXRPqD4NRK
uJo5h5sTsqn7SZ2gR/a+2wvUA4ub5mi+mDknQd+jNc+u8teU1tw+DxNMXlJlSfrb4K9t9un/7t//
e6f8/8G7/98Chf9//v3vTa2y+s9a/eilszHE5/7fffvHplfpf/xn9Wef/f7933xT+/eW9Q9y+OSj
SN/ADgXl43/7+JiFfwA3kzIWRCoSSWgW2dD5B9XNgHIdPn6A2ikpDc0iG/xDHGqRPY7IpUE/G/xf
PHy5xw+5EZfRQL1GhpsxMEJC3dcOfmnlfW3NhQfvIoXK23SaksY41uNWoafjeWNbfHeNHnWvBsxw
P+EYxeZLHyy9aV0v68ZXQng1ABOYqelNnz10bJfmZCyrKhH6ojtue0aGJ9+ex8pYB/vIQd+1zqGy
YFcujzCS0BV54/Z1VBtHC/s4wn5fVdZ6b1dOnf9lDJOo0fzwmj7umZ8fSW0vmm1ocWdKA3JbgaAg
IloXXj80cibhQEUh+yO3Cvorjqoh6sAlj2yjy697hAZ6depTlWC/DNfY2vrjjPAdw8cxgwLgxpqK
Ypsxsm4MdfUvRvc6bmet8IJd4ACQRiCVfF4WP9Ycws4e1ArVxUsN4zvTUuPDbc90raHM3I5zHGb3
TuzxYoYEb+R7lXvw9x+7pk8ZUpxPBb7y0gdDMR67wEqb9dQMDuXZQ51t5XRPpNmZn5cp4HW9PfIL
kg4ZOX2gEM1BPOtDJHiuRP5QLVmcuQZlsDkvKk/a/C+7LIqpujbHaqyTaz/viIxOM9aY4ZYk6tb5
0EUBa6NZO3glTxsC5dszae+UDyCDbK73VdrVdGXU4LpidfQ2K+cZeyMquLpDkGfTBNbUxfecZrsi
eyyyeEaK5u3HOqNW/id/iJIryFB6lEVqlR2ChvLr5VLlEWTzadN+o5rhT58HHr5rKaGmCNohSsXm
oBPNd1HhKfh/QXhuz/CQUvu/LVktM2rorsuSTs8Luy0rkzH2FRIsz70xDv4jkY7Li0YLoWLXgMOW
2dAvbT2/KMDtrIENRXmuZniTYp8gUcUOWWKT7jQnbHidztozgYBKFuaMJoGVH8Nmoqxzar0B+QfK
J7LRBrx3hkCDZ8LlYDzI2LOF68fM8Xg+BxDZk08UULpwwWbJ+VyTWjLw+Px8rYP8B0Me/Po8FxHr
caMAPX2Oatrun8chZFj7oZKYbVN8R7eHB57MiejnKoCXJf+r69N1PC0bzQfOL17aRdWbTAZVQXqT
bR/+Q1Klly9tQymhQ8CvegZSXSnnoJrRM/5s6KJbEfwokCm8QqC4yT5OKGyxqNrUa9DDCJU9wZEf
BHM5HZSddPebj4gc1AVR5rZ0yZynbLJcnm6pJxEVbxecjUMelTxkVhFWqGNd+Kx//afOyXidECoV
nBxllAfu7ewh5fFXMZEz/GBT4KRBwaHnjz3KHP36wPtpBQOUFVIEaIjBG/F/YgV+2Jg0ki0Wbf7Z
1zVz5OCy/ETw3u02TPQDzC75yOQqWKqG38iWKn6MZV+MwU0XovH1gPJY2KHfhUuf2LeFsjK+bc9I
2EMa0HU5v8ENYlflgXAQotRjEcYOn/SrYuCh44quKoWUzVBznzIZO34gKVHyvWSrbKRvuhrW1eJj
jjwQn3RmGPGDIw0QfvGADIDcvDZYfcmV3zcmV0a1gc1yAF5f8sFmEim741CUtEDRsrLU3LXiMGjT
T5uz1TwIApd5EL4sFrB7j0GHkd9dN/s1OT3iICA7EJKGuK2hJOXr9BI5i/9h2qD76I8LITCDcPMm
536dh8QDXmtrmQzCKLH8aBiZZcRH/BF+3OCYjaNMUpVDoPurzK4labcfTiSoUjmSBMxKKVf6fS9O
JGfNo7QnXwbb+dw6qP4lNjE1L3KZ0+EhDtx0sB55pIK1HhWx2rYvUWr0Y3I74Ta7831hDghefBwg
OGPI6YYhRD4Iyh72ZljX57dVppE9vWvHzsMo1oipcDF/buTB3z5gXyf/6d0EnEKe0yPLaUrB4WJ1
LrGyRjJY6lmvzoqchtV/7+tm4oAvM3rXrMdmbLZ2e3K6vIt/aXLx636cTzogcIOwXjhkwtx/iUYe
tnrq5szxv8jiwNonXh/VEiqjikJHBp11ppdg/QnACto3BuIQOqMKxJDc+eCwLWL1yYHl2DU/Ur51
f0W1AC76coBAKsnrYpuJUfnPxRRVveVSAHSSLz6sC2v82zhVRdBdqwGWd/aXU3asgiCbZHEadpWw
4PW2mceQRovn1t4WliqNV7KJJnpUOQbGobHOa9tIxeGJcthSb/Uyhgt4X8217Od5Shsu7Q4gCZOr
uCryhTROHeWys8LEICRhhpbNP3T7jZxSFSz/oSWT112TpGD+bkOCa0UCoW1s/2ZdVtlYkdOOHDfr
1I9cuRpC2TVGlsnZEBuLz/IU7Bmf7KeFE+SYBWHao6nXjbL3oG6g3f0IoZZcZer8kokwVZ7xeAuS
9oxvQUiRP+plDRmrPDrnude9oPzT8bXYrIwMlpthiRSDaPza7F44v2qmuGZx8DdwICl6d3EJkdFp
zOykzP5Ymqnhn2q/AUP+yYisineRt5mcHj0ddAyv3ia5IhtrZCQIA3EUH/WpE89xbzx57oReNHmM
wSsQ0i1oY3haOlUilRP788w1FquzGM5aU/r+ipAMeszXiV2qNb3a9jncjGJjnvTNZvLRPFTo0n45
vUOgD9I+d1JyKJEOkYfpjGw2nup2cPlWX1Anmg8NUBfGRmhd88G83oAqo2qAuisT2fDJl3aYne7F
z5XBG9UXTFSmVv+Dtx+LTkyFejp4JURjFZqU5+NUjwOhT1kJsRuWlvFlMrwqRF6UQsAkfH21rMo4
xLeIDlmPABME0CwaWV2WnbAU6thOeBtvHzze68IcJ48Qa0mkxXFKK9RPXVDems9b1g/PUV8szBmv
B+g3WJhefoNNbmP+IdWz+NGQ02OQ+iP42T0fAW0thtRp7J6XPoVrxW/adEapLdsRKU7Lv5kzTonp
fYDF4M3STukXVUmIr2QbL4i68woyq24c/z1MEaMx3NZBYubrXUiRhCF5NoT3472z28J9tTRmIBt9
/8VyTNkIzb4trGm1ODTzMJfjWq8xL6smVoTemmZQ1U7+ewbxXB+FR222rMVeeVin6kfjKdu/Tjaj
5MmRS+j50e/2Xr/PZTfAbjWH7OzImgV5Y3rITGGjN9hBrVO4psNSHosW5b/gJoGAgwfZGnI307s4
SAISuCj3lHTAkkuSXaz9hLff9RmD+qPNBOYCLETaIgh2QcJdRLqdU1ewUdX2l1CB22mvUVacMS+o
QVv88PreXu93BxpQBMWE65iUPr7cHtimw4BnDA7QwpG3gNHhCTddMRTfd48um0vKV4dunRv/Me4W
PpVEtODeZ23oTIg1OhIHrEnlI5XnBmgU4QJ3/mM2mUR2d28/68WyhvWAcIXyIEAYl1DsMr5dDeiU
62Itn3R866zljH2v4gmB6qNNaosnzinJsUSScTCx7064mNh+KHASzPzbw7EukgzUKikfEsyy3chn
/ASMoF8LzeAx7L8YtMRyvo0eOWccDcdviuI2zAMChjIcZYzJ1sm6UMoclvn3oMJRRbyz8+gwa8iI
0wVVR/e2SdXkOWlQHy1u4yIY0TNoN29col8cED/5WYQPdChxMAjREdH4a7/Zad12okixPqH3Bwfc
rQVJPFjag0o2Gy+k3+LJK29Kt3G34g6ul5gswpbmI9P79hT+NIMEn6SDTGJrgM9g0l8PBJNvpu0W
bk90pRizso4FZVtem5G7WOkv6drThP0rAssLv4zMFK4GrpntCoeNfYmDBzzQF4Ca2qfUyHy8Iigu
Ag7mKY4MfuhDxanHHvIjgxCe9/b2U5P4eO33wMECcxEc/dAuugFL+sLvmcuwGVDKbZ+adBQv0FH2
zAnBJnMTRtIafRkenXjI8F9CShj825KcvRl0a2sOXP1Hzx3lnLaAG3E+iQZk8ZCNGfYsRdGMA89t
vfND7dfPx5DS7L05iHLicd0jCO05+NYsB5g+G7WRo1yToGrMQxiNQ3fV2Xey60nmZI5dv3vxjFDc
iT5YGwNB5qRTGwKj62hB6hSF4jmsdLlygivDaKblMG2LZ30v07zHCOjgKttDJgSSxcwYu3ugT/x8
CkBGD/0mDhAUvnLuz0El0RGKSOJGFZYp5qIqPHHeaigjeAyr3jDt2tK5bpIxRh2ZLbUj0V65H8rm
OolhQNy64iNdm3dcBAvHJjzoKyfJKvdxErzm+VDYSm4X7XMBAF1iJBJDTMa156icl4M/Lj+2QEnE
qUekvYDXpsvwABQQ551dEHiOME409ImtIVTkALjfPA/Ss+tm92m0x+g6tTzPZqtGZqNxJVBtd0en
b5eIAfVdKj5c0SjJLJFYETfJD/uUa3rLitgkce45GDVcXwyx/rpV+eJk0SAp4wIIIJ5aDAkIN4JX
UdZjlVp4Xtp/NKMWHdEbnAFxwLQjqMdg76tyqKG9UDQ3+yXuZNl64oNYXnw2unvAiZakwe2yrHfn
9l/m3M/ka6GoIRVFWGIY8tdqnwLSU+I+6envGl6zOhE6nUPv8/qPdydbP97EguHRg30T0R648e7V
VjitMgV7UDEmleRr3z/PARlS0gCjL7J1lB5J+12D+vfZoD2Et0z5mo9RWSbHZKwGPho5EMMEYNwn
2QPbkI9md6ISNqn1UNamTH0Sw6XJ/vARy/4tc2MC+lkU/zYIf09VTKI1vTFLX8aYToEkKkg7yyK3
9l1m7otonnKJWutxkMBIB5QB5VWeXsdA+kVafiqOd707Ua4XyBrcAA/zwxiNaGJ9BrBDM/qzC/32
0XamjvvRHYHzkPZak0MWal7LvnRHjNDrKissvM9Z3XaYlmkgBlVfcmeQ0KVsRosTN2+GuJ5OVhCj
/Ph7tKATH7zj2JIU2ljYsF3ewnKMJO+pHqwsc//UAT20Ll5ePThJjMr1sfRH6kM3YWlLlE+VWpaC
h/g0pngPV2Ok0sVdnAlC08PfngG64XweegMJBIeVMy2/NuH/Z5Hp3IKJgCnTnCzZxien0pB1aM+z
k3VfjayueK6gcyjIfuk7UubF7duT+JN1wCLAIEB+FhWKn3vBloV2e+XZ+eeY8osBfTf0akXHtKky
7fPrObTWnKEXjlem6Wfbn1fm7e0hnMlQf3yPOIM4kyYNjzatIvalhbL8bobGoRw/LxsQqOYuLFLJ
l1RkAJkLXVIgxBCfwGks8RCscJazoIZ+nFlbOHkYlloo9GdHvDlJvli7hzMruJSu9WmeBaPDB/P9
Wk0XSdmFem6OJCyqyY0CoUS1U15qRxWadF3mRKwCP46g9biuJtBZ3r2qDTE2tGo6krxoYoyVfYQu
1WdknTK2nFfX5PKue8jWeKJpcNfN2g5TgYItwOPd7SoKX2ZTu3JF20quyVrM0uSjy7rKr62KZV0M
eTwzjrcn/qKlG2SaTWkE2SCaP8iXAL5+7RL5k5NBsbckn/SMN8s6NNXBmF1rK0/5hHpnd6yTdcl/
hwl0FB9lj9Dn3RwEWUIy6RcO4wUXrIzK8ajXweYGsYlvWxceI7Wtopg7u/ukM3M6ahz3LKK21bby
JNkBDZaYP22C9NmeDBTcsQLREHM6zXtEiTDrhu3RiQMYclKOQR3u62jp76NuT+K+PdfnfOKrRQ6C
gmQ64HrXFIKMi6eK3DXdvCmfPun8kc40KbTQu5dozxfWSzqRoNDpo2SYO/FRIKBnqNqj0EFzh8/J
I/7tLuyZImPPETcFVTsiyD3lExagqranps/Fcu/pYJ12RldPQvWegJEfevKaAD1mVM73bxdgcZjm
aLdz2l/NClh5+2O556LR1i74yNhNynjaGgXI5UW/gcyCYGk+BEtr+jfbCMQmubLDWDJRtB31Puq2
c2Saf+kAfdpzaQT7Fd/SMTZAq1iedL+UfmEoHoojUTqNPIDy1tAcb5JyhoMevjGFw30arSaQJIvZ
iA2nkCn+i065vP1qz52mr14t/CAAk2EeDCDU+Kk0kCo3z62tmz4m/tnFQsOy557bBuESiQ23WrCA
enq1v6Lfn01qVGxl1DUYde0XGfYsIfzIpuSPcWuINav3rJ62uGsTMdmwW0v+DjY0Wefav9NTX7ml
JM+susDP0/6Jt+dB0rYSb6EtRxurR9sptetjttlVgZAfBHdYsbcnyL40MoStrHvf9sVKyyS9PmcK
P07ruRuCL0mSA+W7nSG+nT7b0ybeA70Trns7FmtHqS3xiip03pFIoKY3x6Q5V5xAHJH6CE5yLf+M
F1+KO2mxSOZhbtKcWjtBpEeaIe8Qabaug3MwnJ0rZv253DiT/oZ+0nJlNQK8Dckm7MkGny7V4bqa
R4Jh61yHrNe5zP96ewJ+WiG0TRAJwgQLnQQdLpdUzWoB3laOzfrFSSYpP6q+YwLifvHM59EfmonX
EY0t/0IpjaFGo4e4VmU0FrO1IOoIkmCrfEsl1/iB4/ylKoee6ZqD3LHqd860UQqsUe5epht3LjEa
h2GkInqb2a3Mk4qqlIsv53mwkGDO/0qB95FtqRLYYB6NhBjpL7V62wrv1yjLY3IDqWzqwqWUNwsQ
HP8N9fg3GILzkffjvqFp2yXtTLWCeQGOcWF+zLwhrGuX4LeBWkXx3epmap9t4fPqtzCSeepwol0A
m2VPsXavE8fVICuEoppUUkvU76jfk8bhl9VvUoMSN8xQTECsXN6zosQ5fd4r3EtF2fezIq7zHwO7
llph0s01D7uUYU1qiuUjU7dnnTyXStV62mvR1bnmOEVVDTccKrCUg1fVAN1Q2cib3EvDha8EkfH2
LJ3N3etZInBH6giwBW3OsMq83jx9ZJYeeQv/t9BFG1QdjXN1pG962SGqi1j4tMBapOPyc6k53195
1LdBvZ6cyiFFFpUR62mA952C82hsMT/eHuYlCoYsGZB5afVlkzseTeqvh5k2S+XMbZT+thoORf1N
RRGs7U3WJqb3TvVmsz0XcSEJQNanvE4zhPDvUzunnW2eKDZYiQtkrtzaf1mNJQgRKDS78L4d/AG5
jY3WRP+xd4eZr3LaNLynegpZHUYiQnRxjiNQHJyhER5pu7Nz7rRvI5gop6T9QKCc1kHxi+emx4AH
+5/3g/uEPGHgBzDewkZFO8xFXsnFaQ0btw8+pvAk2hT8sZKOeUi9tu3rE43drv9tSQLFL5WtbKCY
cAzH6i5JWiuHIc4DPE3uDfUIPhFTusGJdMx+MZ72oGmyqFXyuXME5cUL+upHRJ0MDF9CHOZ/84GU
8recDgS8yYwCcWyT7sjR+jzZ2zz08bWakd6AwXiK5FIY1I1hhH6PEQFnGHMp/Tdt9ie0YHPWleGC
YkDL4TxSIx3l+QKQ0Xw7TsygfEzLLI7su2ru8XzQY9hM/gkVEXkWc5kdfkvItHDT0bD98rGevJbx
GOUgnu8C7IArqpAyi3lA3l1mZw58c1m/VggpBS4UmcE8uFdp2CKMcpsPlXwPxDIKq+zwNFrae6hY
K57YHzv5pL5d7XYdv/l9kTKUbP9eUIQpn9zfyUo3AQ/eZFs3FsghzRY3r9dEbuAmoMZoa/KWicdK
7Vg+wlkhd50zlH9ratTn241uKjcfxtKpjNupMEgdXKlwk6yV2cGraRyizbcZe0zixf8Wl6GMq/Yq
6hiHDL0Mr70uQPlg6ss1ltim2IqB+2yt29XxZ/1GlLiXKM/0o8kP4FkylLZF+kaWBgod+HHDMPOF
RVj7GXuB/NJ6Y/SJPEJD78fc3OqL1TDksG6AmPGs+NEybzY8sf43uKMMhkD5VPJojddQ5NqXoZGU
MkEBUi3csssaKZfm+1Dbxu2YEj31UELINfSUFPEK/dXJKHp/SB76DbJfno1CtIw/HnmcE6XQlR/J
aAR8pFXOxm+jC6DYOxZrNo0QYiT+yvzq8YdhIyuemEoWn+0XFN0PtGcprkn/Ys/XcXkG3NjcV6ED
Sw+MlI9l6MoHJmeN3KPKWmW915WoyqtdrhCqTtnqajG8JbjhG2V2lY+QJU3XU0/MYhzyDmmMmqDQ
k9G/fYBi8S4PEpIYdCUCWERdAkfhIkKwY0tlXbhkKOKQja+CI3ndasFxHlh4GPQS6isTplAqgyuZ
HwhE61OTtHOPysuem132MptOIBHVUDX7Oze0J0h1GicLjZKqIMdlJ86lji0iCBSKB6DqwFWC3JCK
3VZtki7adrCLZxpiLdMg9nCtCbqkBr1Xr1qDEHk+DIpWFCpu8Sr5y8qYJJOlA4VmOxdye1IaeMf6
VZKaLSFSqDdYje3bpqcoIwXjcyYm3h1hfRVnz8bpujaylpIF/Ds1ujvJidOSZLteHK8i/dsY0bkC
vv9bCpk7Q9qTtbpirmMRb+vj/sOG/pnnQk1QtKADasL3FFp7Z08sNkOaNdV9705LAzGrYIa7a+2h
D1sSGxmG+VX4hXa0Nax3WIwFQmvIP20eTKdpR3uSgqz22HXp1s7HFcbQkbc/w2QbbRtcIYYkvkm/
rINkmu1ulQy7u2eHX2cd8ypeSYTr8rSeOpgiHdx5naDXSAK7pfTVQ6V9DjPQb5QYytnDMkXwQTxd
7yGkXi2weSQr7QFD5SIEUyaO2B4VZZJVNSmp+zfAwM5J0TMiQEMHwh3E8/YuAXV2uUsi2R+m8OQA
wwou681uqmAwW1TyoVsdOSBIywGXvY0C8o390TUNrNIQwOOTHoQ2mb9tJengv3d/LybNpMh4/nJX
KrHVezF/KpQcv7CHuhyxEflTzsjd3u6/DBAWYDBNV244JoXifIUi2ysf/bQ0OJ5oXmnlIIO8c+6v
XQdVbRZzvdmAoIZ6Ucr757x0ASeJ344Y3gerT8Hv1fR6mee6BQgfbl1UubgEUTWLHdBGEsFEMeHm
AvfnExBSNHlYHn4jVn6revlefx7fDAUm5zmR9wYCqAiAUi0ILPYBAxyXXOJmcA/ukv6mDUai6nmx
7rZli8v2naLEa493ZklLHeU5VG54WDtFCdf/0KTVIKNucCf8D+Xc1ZjFaNp8HixZB4npD2bphLP5
CGSB6etzDu/wr5CifLlYB55V0V5wqBsXrzkHLZVKrkHBGeF/W23KX4gPE0QN9ss2TR1bzGtGIp3n
fndcvNqyK67TFq24OimnBEYI/fKSAbRrEQ/RA0Yq4Y+TlYxlCgP8GJQhTWUkRYqsxxmZVzVeuX41
mu3vxlRVWQfaIFtCVkgRNmU7coblSTFtQBejpbboRB/VvN4irKjSGUX20t+W9uAmK8DTPzPHnuLy
ix7Q2GRiFY2UyK65XTDfrCe1uwZFB0AXQ5ZW9JKdtAejnYjMcnMVPYxZRC/FAyRzDm4N1dQ5JhvX
0ihWPDg5rVnhX+hkwof7AacGYeS7CcXX9ItHsw4+Vexzrs533jiMc3SX0lDH+9u6HtTMY+zbUtOq
wG/x3qdKydJYBtZQ/73NR3LUf8xT3Ecd7tcMfWX2x+4cVoaZ2hadqz55p/xYNgalqAdJcXLRDW1P
8f3GOvS/BdtWs+qWAnBT9m01G+pg32JK/bxL7K7b2y82dpnFqscSbnbDqM0AiXv/Q9AksrptM5bz
368qQ92xaqB3hskvT8a7xQ7iCcb82E8rFp1e3TTtpV6fHvTX6wGeDO/Ye3gL7m2ZcV5GV6PqJaVO
XViq8/kKSoMboQzHNtQl+85BaTv7Awmd3E+R/hykDTYrsqCnWgd59Gq+j3ePtQCtY05H4IG1VX3F
1ZJiTj0o8QEXWJuZnSnd5PCp1tSDVrmqIXk/aM9Or80NROPqjXTA1jPvyE/YiP3zUAZ0/32mBRA8
99F1hy1YvtIoRHhzny8TO+CGcp0xeP/UY6noOMXvhhYaypBvcMcqrmIYluyCqKzE7aNeanKVlbAI
v6VA8hEHsSe36i8DTPUwI8BiuB+Ii5uz37KOcIawuu5lvSTh1DAvRWgOrHVPtXTufI4C/NnuoF0n
10o2x/9Y4sLxwndXMYX5QLa3M5gJgd2RwoucmOy8jGlyIfflHY/K71nsAIflNyoEaeCetryNwvK+
ntOUL4RFIE897yefkdfifEXnuCPzSIGtNyTWODl85IYZrROQSe+f46mAu/29iT4kA4v2a8SVkttM
XiHuZ2QZNo8A0ohv7+t32887q84kPtGuIm9A4iUzH10OT8OLRlbQyDZm4F0yuNwtGFJxBaoVYLqB
kNs25z7R1ECfLQedftYlLYF/XRn7KT/TwcUgZh+TwEO6w8CTNGbKy/jbH12CiUdgJRmyoEx4D+07
xa1YCuCdxWtvjVRc1mn2O+OJdPk5HiI3wqVCmqB4VqeqZWQt3Jh2fJeHg4NqqqvCfdedH6zY/Vml
5pmHxlWWf2tdn97SKxWb8mPocjlqFWqN6k5HDCm+AqGCTS38zqur8xSB0jeeZsJ7zEs9OTbTxgtO
Ku8x8Svbpylx39p5OPKtv0Mc8HOsUu2577Z73rfPHgFvfsqd9uPAHjrelruUYsz3SGnYA8eZtDkT
OjoIbX+rFVRhRJ3uKDHFHjXvAR99PBJb22PJYb/xkOouyyaxu3YCjubbsIdY2phOe+C57C/Lxdnm
hNaxX1Y7sBqceq+UH5GbmVZ8UIMbL98d5FP9b/PWyYzq42UPP/bV1pcYbELe3RCPPXPFyM/2x0kG
hgTKTWJHHeJANCswnz1gW5h2HsDfUjlgdKiW7MF827di2VEJlhhaYX35yNu+1wX8CxCPg8oiMD/p
wxLA8UWmIwfGY67bWj3qQncHt10ITtMZkwWIR5xkZDVxDM/QilTRXE4x3CVBBqq0bQQjEEk17iXN
WnHMSZJLrlk74ZRlR3+8L6hI8sF+m0NcjK3vxeHNz8V2YG6CEOAElgsPcJdSXy72WoSGdXRdJniL
t5/bv/A4Qc9QH4NJgmLzv2l1slWYjGnkjg+eQa8VhcUxtQVauscVUzZGqfunrk+8fefL1JJNNcFB
OwyQJbg7QkJG9kPPAbkwuOuXCLWbHTuVFCBX7aMuwpW6fIgPKdVI3z1D0hJXzsK3x2FdhqYeJxMj
CaDEADgNoePrgRRbHkh7uXmXExtTTRpH0sEF2IZFUBrmDtfyd1y5KivFv2X0YUp1lMLpxAoG+ZHw
0c5qbX4D83+G0dErxITGe6307TF7QkDzY17OJySnpsl/IE2mznkRTmeLk9H/u0wPFQVmpmQuDAGf
KmMFzfxp0/Wtvcki8x1ZWq3Hkc6K3GO+YC+X0Bk6Ensh8mHyw+rdkPDQXQ0p3DRYSI69HV9LjEg+
zd1LU2m+uIAoumqRmzp7+UmHnfg6kwraQ02wTO0PTAzlOl2F03ujQzuGLQKzt6BaEWUB5mx6Z3xO
tqOtkiIMCbj1KvTLldAkgZEZSpzWmYJ+wkTQWmSiAGtY3YsZI9RgXyFUIoUAMi4CV58K6CYIxafO
aAnldsi3rWHUyQBcFk/gDFZydhxPvpcD335TZ7n3V28KkpUAKAdSmhzBP+E4gOoh7tGuGcIVZ2xZ
uz+8n6ZuMOEOo9ThPHqoTspU7CATve01Uh4pGbE75l5w21wlMN79OfQjwrt5LhhCWcQ//WL8r1sf
qFGT/rVoJbWAN7JT/IsMvdPmCHGOZv/e75Co6a6hGpGWHX0CuvS1dS8aX66Rv1tt5LzeEnwyVJzn
ErBG5PxiaJdnF6qSSD6ScSNYpgv2UrsaQZkSWZ8NmkqMhix7cgvm8tDFhWs8AUCTVWCn5sIaXXbY
T+KcWx+KYTw7TFktYDM9bNrjPfbrQGMkbZ2hVZf0dfSTZBPo8S84ld8e/uXo0bdA8pfOwShymODL
Hh277DprzL3qvU6QOrvX3u22jo4j5GVOHR4Q7tHbd35dsZQSHbuOjjcogDwIpy7BogVdEMCC5/Z9
luYBB1Z1zpj+ff8yENcyiAZxSGPoS/Dj3r7/T0+OsAhM5pQWaF+mQHZxePkdfg8wlOEdbXByAhiu
EjdMG4DEUNJs6yfgM34Fv/jJytPGw2Rj4iEfpzh3mYaEkMGIY8K/+7xOOM/ge0um4HEaa0meogCX
jih2nUsNe4zPZIpbRRtIwA88/JzDFrSMhFlNZsnG3MvVIFg6/qZLEpGfShJVJ+ix8LI/92neAxpg
jibe7O7w7S4n0Tb6EddvT/WlkQVvwrsG2k4TGKTr7oVto3LcLo1t5fcqQqCG/p6FpDFdewMJV9D1
e0PFfoh6XiHgxLm0bGzA28OgOffCYKE3SVO1DbKepUUP1UUFLa/LNdrctH03b7Am05gX0SXy0lSE
g1TJd7PS0CLADvRxMJM6OazFsNnbvfaugj3jVpahmNq5DwN8IfD4gkLQfXY6dZhM29R+dUbSDdax
EWzry7LnNHWmUbfeZUoJ9tAayww7sQSzpPzy1owxbdgYiS/6HrDNS1cisgPWxs+K1MK8g1WjpL0m
snbNKhanDE4gQdLun+/jRuY6iRYBPthj0DJGRycmd8eqPGOL45Yww77V9lbHR/pNrWE5kGzWwNNg
bzWZEHrrXhJAYKwnoADSQqWN6rrPq7aj5DHFC9WgXI0u0p8kgeP109HBq47UodmthtvF9HNeWUa8
oGS4W+Y9c1i0ofR0kQeh8/OKKqxkmjUcEo0TuY2eUI3fGJBoZnheyYmNa7EDPrdzi9BEGZNv7y+l
w3fmc3vb0LLn4p2zPWmh+2A29Xg3t6T1advBHnv7SUwlm7ekx7mOjTSfacddZ6qtkfCRBpwdfKQd
EN3XBtb0vwg7rx3JjaXdPhEBenNbVe1nRmO27A0h6Uj03vPpz4rK6B97S4B0I6F7ulgkMzMyMuIz
GR/Ywkrg1QrBKqdevjS+Z/H6h/qmbenLQ0pGoC3zrghAS82FbocgQjfUungFIbw0xlwyzOqjwmHW
LhYIC7XUjue08rKaiyct8WuVXIFSekzQbAnsguRfJrDoA4C+Ad+HuUQiT6VJsr4gTZP0YwoeG0wn
Qsv4C9xbBlFRVx2AXFyjNpwSjqtW4dP5EJz73PkCe279U47Zyzas/nOzg0HB5tBklboQs7IlO6SZ
eT9jmoZUbYBn1BIy77ycKI8NVyBKcuSDPMzhSEOmMrhOk5PpEyouX6liFL1knfM2JShpHyZex6T4
/YRugCYWFRP0iR+b4OhlFftDtvevZ2axu7xgh7zxtjRJ0feDDoJgsRuDJ1asma4v/Uu6Yz3fWrto
dUWAse+wMmUS2gbsrytRqYDmsRaTfSufUDF5OlRmRjdnalvDdYps6I+v1IUFMqspHfVYqIadNwmm
qTGAfsWHvb8FA9DvDMdN2y0RZh34pVntfLSf9cViR+LRsDALy8wfTDwEgqtJjtIhlZzVG7T5ZjJl
5aPpSjUIs8qgsMyl6jg4CUnpmgkHM8jOkWHYiyyqkdehW88jFYaplxusmH6NThyF+L8vHwNVJ0vp
GD63xswMeD5tZI7QBroXmF1Bj8QK1mvux4qsqnHJe9IuDOVNiSp6lqnuoVUR9wqhVOpAlbLpMLwm
OJrwliaBdPMyVIi5D7Mt6WqZ82iSE8RsSwPbg7sFflEP9hkXYZ3gEIf/6yvAQNlPrdqmQvEjMgwN
s29p6LcHn7PC78b1sSmadCye8D+UbWa2c9kFaba4a39bixNRIKCQaw/BP6AEiaZhfK82mS0Rk3Gh
qiu1pDHMv/qgL+lCWNjTirZWbYPwJdPV9h0OHtxYvS8Ru/kULMIV1OrFmQAwW5FnS1lA+yXCbRRP
rotO2IRovnovp70Xbnwz+Xucnqyun6OI1uDytnOel5sHPtWT5yfeeRJa7vEg6Xpp1JkflLOrNESl
neqWoVjHHlpKNV0tBH5xvfS2RN6KcgyVdKJ9OgUCvm/M+52lqzx7fa7WZBM6YXQ70N3IIDghAElj
NTXxX49ic96Tu1wHUyTWfzPFXt3CK7+PmZYbCPzfJhMgs7i24KJqbNDVBVdP6Bfa+lR6bl0V1LB/
1AMoRSLhJngN+jXr6242bbQ1ZStRKYHxbPoowJoyr44Eba5YgPsqazAcrgxyF4Ty7alhl6LBKSBV
fUNmhZgVq0jgdasEnZrP80k1p7US6SaqXoLu3WYxQAplF/wyH5CtHXQK6dCz8xsGhOYB2ZEI5lTn
oKT4rKj+LHJ+qd1vJV68iyAgCsaU8A2/CaXvgZlY7FXPB+p6FjRvsWYzE9I+8AXo3/as8fcq/ZcC
318o8hy0HAD4HMDxN6BqQof1f8s8gMwt3uViPW0DdQ375lK4biYxOZL42K6+UySvY8mr9b7QSB8Y
EJ0uWngzgUWfanWjwmuOf7lJAQX+V7EAmBW5OmcjFzAc1bi/kgXqypuHuDvz17PIKjaita8i5Ad9
PE0RpmzZr/8VJ+/+5YAP8i4mH/dhQPCfv7P4wB9ytu5hWWv+aUKgoi0UWW3He1/jSHv6PQ2cS9MO
Y5piZRkPY3PjYCHw4/lYlp6sBY2eKH0cuuGIk6tikoe8qfF69ovaaiFMz00fppc1hZqQ3pqulCqS
qWgE91LPPx8+/gY+EXUepEbAy7noYfydppl2bg7Wp0It00RtgKdCEDNyCPRD5XBPU0OqFnsEk4z6
iskzQw/ahfs8ppUQ6kxBTLdJxRtY+3xs3tUr9harPz3PZD4AT+txd5M2/qjbx/vuegegZBN05uk2
Fkj5pxfdj/REgQMuJxYlo+lWPvt3KpPWLVQzJIGMxBoyKz1Gco5BSMifWV5l0IfVbwjcHO10hUTE
085ZKmHI4T8sWNVRmT1fmszuTKpKZrR1gkZXAMixonBxvNgxfL7fNM5pttQXm1yL/K0dUa5JezpQ
H6kOBWf0uYgxBCctPuIZSc3gnI86eyjWiQ7KjERYj4fV1sYjhqnyK81bTqxo2f7naAOdszgLKpYI
goR+8eIUezT1N5z45DymegZa0dyC3cJousVDu6pe+7gMagRM2jGbow9D4UjjNzRnJKVmKv8+nGJ5
sipIJWXXSmhravMmDs6GJqlkt570nCiluZO5ySJGbbJ7GKt0OWhmGeq7wd/ovEpkHGewYfd6mdlH
VxPvZyOpcEjih4KfCeZmAZidM49CyV/Nr87Dl13lXxaFFFn+O9Sw/WPt4MdJBLTz7/pHzJbWT5si
flByliFPRGD9YeR0CZaE1XNe7wJ2S6mR8D+EK2YqMvTBZKYNZgfeG0SCy0e9SAZ0kyf651v9W4SC
CceqBXZLc4uy1V9BwniFQ+6aw/zRQvGTQtES2z0a03XVHT+tQweYdLDbJpwfgHekNQrJTrC14y2N
5joSj+gg2MLHxBy86fJKh3GHUue8Ri1UZftFszf2HiElafk4MQ+d5Db2yzy8fSIQ9MXGzCEe/mUs
KID872BQ66EwDFZcQPSOAy3of/emlAxs8OcIBuNEQ3Mgt3YFHeM2k1R0tZEnVuX8mylM7XMu6nNF
l0pRNjFomibOQxpk5XZKn8zAA525lYaaXtFMb4T7R1q27WKFtH4nBK6H7Jfk9Hp7fFR40TZ6HO/i
hArrN/ONZz/Q/FMAkd6E6R/OBtlT0K/mmwDWL9x7CbSBclZ8B4a+w3zuYKXTQEcU3jMAYqHjDD9d
8t0lGxOe0WEjl+x6JHVub643CECxahNpFzLx6ITa4D/5YWrLjbJbgZE6X6btftZ/zce83hn5X9yf
8lJG2nH8paIUQnJbIKPRaQsYaWoI/kiNW610V0d6T7wd8z2B4wq2aLqjeEpnbTpOKWhLtdblyOHv
Ng9euS/orI7BUNv4GUbINTxY3r1BO5nes+O3gg1Yy0a2Fr0RdKnkoXrvjOX6nSswT4fckJsstyDe
0uvYIfx/orl7B0Ap9FpfjTaJx7iVoR4jN5rai72R5JRXBaCii7IxEKvtS+hkHO4glM0WdGkMuITP
Jc0h75nytgCpnf482A1IUQQjtpgPNF0vJ/yOuC43GOe0gh+ysENq+a3aHCStHh24X8H++XTDptq+
7wxOxXIPouaXYIi3tX5u8J2bi/dXoE8EvFqQtZAeZYaCP3fH8qHzqES9dlE7c0ezE/XR/JDkZdZG
lz0fPWd7g00AqwYG5USMQx3u3o1GsUYKtYk+F+ew40t6RtbYvfTsw4KkPVPBjiuaqc09KeL0vi8w
pskMxm4mgM5nVMVIcx6DFMgcBQyDStbedjW3J++hd8KJ8VIE7bAX8uL0jWUGI6+NeScNZyZLj458
az0rZJspL2jm6nRkvtqrI9R5zDOa4GHLcDJFVYxKAYgLttisvUXWgTLBZVs2GYrMQxEYnDA4eX7a
6kquMZoVgzBJy9AHyyq0QBw34/CXok8FYhGkoDOx3Brn5IuPasQI5AlMIg+jYSamDQoAKqgGoOcf
1tIlzXscDBhbp8Zm7lsBd4BwBCUx4wTgOsgFxcPp3cBpCPB6RZ1xYAV3m/zU25Ngx2bTx9dWfzd7
sqypfQtGxwSorpiSHhh6lZThL33pT/xBWAcrw8GpVC5lbzALwmsfUb90bmmTNzy9rjC46RLXysAR
gO77EHep/Em8hEJSXUZHuhyQYfYk+JaM9lOHImjRgeu4f/ZEq0mGyw7kSgrCTnZ0X0BATq6g3LPG
GrmfrndLRjQxqG0ITCAmy3P0AAxprBzRhoLn74whbynEahF4SVxKaJqLksysMNB7RUMoZUInH7x0
6f8sBtqzA5DjGgy1LN7awPnf4eZ3OLsG2gKlBq6vO0ZW3cFFivZQwkNPtZP1+b6gVyyr+7fFPgS2
8w5K2kPpy5x2Lt0REsF2+qXu/L3rbqFBxgx37Ln2qpCr4Wn05salExSSFlC3BBmaXzqUB+tPevGs
LCUQKSC+QQImKy521nO+vSzdLN+orTD9LqVHKAgkOioBzNxRJdqkyU3Yj6dKwp7ujI0zSyBx51AC
vXcuAvCvjjtOLhpYHgDPDMQ+NHuBotEQeKMrDYScb7ERYeZTGh6PdBQc3mDAozrz2GUFzTSY5pnG
UzbvnUk2H430enRXAgPWunR+TmRM/wMGU9CN7/QDe5HoH1GzBbrYDK3gxHIIdCzHXlzbygeng84+
PKCaLzSC1rSl2jtIUX/AxBqQcNGice4/6JaJ2q5sQMfsSpj3AlwuwNByVzal1Z4y2/kZtJgQP3Qo
FWvYG57JaB71HaoeHgJ4078UjBGoy+NII2Cd/4fMu4Mb4yKbV7Syt8Um+P027gNKOBda3RIl+60V
Cmt7cjSLUA01GDZTdhmoJgCtJNhJn8M5oNBmH8M1E3wgQNjMir5Ycw2/YrkqANlGnk+wxlABZZXr
zfld5stiXxowjeWTC8T7/kde2guw0jPA362Mghx4m93mEiA9dDz53wQdjugBiVh4JyYZUNyuBzQV
V7xgjD0rukyuXVSNQCJXZ/k4rcCo0peqT9ImfqtH7D3dFy9D+xICjTeIvlY74U9GF/GsZQfK8rgG
Dmc17uhHBXqQWx+d9dVPcxkyBaV6yEC1/TN67mXc3JRONaWuwF+n1BMyiMbPqK1gw3yJfISY6+/H
bkMZ6bxq1kNDFVXdJ4T8Rp5JOThNfwTAKBU8V+S7VDJH8/QQKIQcFHseZbFPkLSE6zP3J5K4n5nH
d3iqInqHuhXQYpQC/cs+6lxJq1Re4sGZEPjmtM4BXi9A/5co+rznrbzubSok/5vWVaCyimism0IA
tzFgj3T56Qw95NC+DibX0XeaWdRGiO60sXgWBfQVBjnp55Aq00fyOYF56730UbTPcK4Ai8/eTfGO
YQIvwkJCr6Mc9anvFglaHKWThJdnkoLOQAY9r3Xm+LWn6hO5v2ixEPMrQXLp1qS/NEFxohorSE1n
E/A86qoAq98Ut2kNgEH2p6gOB3/5QdNbXUKwaUOGo2tSW1CSho/V+oQGwHgbQmnF/6NiLRomdFnO
vXru3COa2//sadLxAgOKj4zfOucCuj4RP+Rrc/NaTJ9Z4Yn5zmAkHxVQOhm0H4LVqNA/g2SXrZZk
V4ZG39/gBlKy7JdAYNL6SyC7MuopXV8Wc5ALheR5HeORmKCLcFcoqEkIpn7qeRKU7CkpvWXohfJF
xRKkvKRorYUGxhGNBP9sITfhnmMyGbJOSVSpOMgB0EoXaVLNTQVH7sPet/G5fRvQwE8HdMLCHeiq
wrjR2BdE9dHtSet8qmLnmJs3p+d4P34p81SgNLEyxeZesnlzXtG9BvaYdMF0Ou2ZMxP4Feup1C+l
A6bVJDxABWArMlZh40oEswwuVz+gXDFg20Rr5Vyt+SrZ5JEEQp/Q/GIwMNB3xlicC6raQRiHN4xg
t8wxp25KaBBenEtDrEL/knEqVjJvwjQIv/p86sCtdQys4+5MdwWfe5TBWYGJ3UuWqIOOkKiku1xS
NkxdV7padIdVJkie3ZmTvr2DpNDFUhWV4EVCpVGacUq7rXFBboFxins0De+A6WOpUu62Q42r9h6O
qK/GXwkdkn5odqwbbWYzzbvnEyNF5p23Jt74MUi2pIne0e/j5i5MpiNe0zD+MzKYY9RSFkLIaXia
JySKJf2IpsJYuDeFriq0XTORYs9kCJU5qUM4uvnOVSCF3PNXkBTsLsuO8hnYHNMwyBa43bfgqCNK
olGEphZUPtsV1Ltrdtr3xv4G4MB/0KOeHh3ApAeMuR5/9YynBwLXnNVas9nn1jTN6W31dxSQHhuz
iZj5E4a+7PYKjNVjiCJ+zY6qZwbXFAPCpgGMyx5lkMyNJOWgvGS9Ia8csQZdJHa5YmPoQnpes7f8
zvnoj3tubCiJime5Zx1m5eolevOyZmptvKysHWrZepZDjnxlssjZRQH5DXBGXtroZMTKh86QhSvz
y6NDAw7q6rwJtt0BZ8u9aiarQOTu3JZierMPkJrxo7JH0cY/wQJmc3IWf45oj7AkGsPpqY7tzlI1
l6QwI5FF89VwdhxWlObBOnB6bGnoUjBUzuLKHema1RO7ecslAum8tS1whJeLzLSA6BUDnyONy6eV
JwDdQKKNIvJpyEWQfFzfkxmIrRXWNRhyHXJQ0zfm5ZMcsqxgvjNRTJPPMLe2Bnqi+0JmuEhAN7xh
PRYr5fe0Bzky6lFB2VZglSreqc50pMwCQkpTLEAjf0yqzOrQuHbcigd6J1WUlIDkkI00tFyNGnCI
Dcu9AtHAa+b+FPhEYsQxSOnD8ZTKHuFkrSxu/XCDggPzTF9VCLFYQpBB3ZfOKJdyKi4/4nyHX+p4
2M7NW+y0Xi5RE8iJFxCD7DlI7cpHKbXeBYrOO0mbelG5zFfhfEKlj6c55gM6a2AexYTXIUehA0yH
wbnN0ShrQSePljD0cwZmT/WzZVBzM3MVkT4Fs1SMOK108fhEi3arf8BJXW7vxKKPB9TZrBUC5TST
fyEacPU4zlvJVRnC+m+6elCBFRCNovCRJZXprzWjohiEudJaRI4BlkQi3J9hoQ3sPAU753cbxW5g
XPD8TGiPBseu1of8wGIjhPZ6rycpS7CkU9GkX/+5ZPuXeiYYaoi+VP0oiQMr/5smCkDywDlzfJOW
LRS5YCmfURcGYJ9QeE+2raHjo9p4meGuqvzyP9/HX5CO3AcSHI6PDyoo3BB4zv/WVaXDVg71GL0r
6JrqgsKLFCJwHnfhwl402P4NPfsXYaQgCGIP+XJYBbCeXeDaf7kBZ6U9WthW/ajCcb3BDOrW4a+A
mqU+gzPsxjnHC4L2qkdmkG3F3n8tsgUpStXjXzjBxfNjGQSjPX8jaXKm+Mb2zkniGf8xNgpoP9D5
8UhZy52qtSLq/Ja0B5tAZCvm8PkEWCkipUpEripbMm9rPnpp0xqhXsvAMraeWk79VgOp9LIbbRnp
V2Ag5Vf9FSenqWkv4UEHGdWKxjrDEotAdkrQIJnd4ovl+hkb81fTON0DSkF/dNV2RmwzSSq6lQoj
M7CVdDsmusCm/4XtL954r9UQU7f9pNCOwkC0VOWxQCXNvwxhkRXJAzoR8lVjUUgvP2GToY+tIApR
UJt7/1+q9n/RLmFsUW9KKHCglZLY9FL+0lD2GrsAstNVj/NdHSqgcjGc33yjKfkO5yFN4ZVteeDD
LKAUJY36iPO6hCzPvQsMNuRT7nM2OAKzM52yf14F9zv5r14P4G3sJmmeJPSUbbDSf7lTe8rmbjjt
7aElP6evZDBJJq4pgkthGbrjabNS5cY5b6x0fPL8rtWVRECUEI8zqIlsi+s7YorTFZSWO1TPERvD
42WPmztAzkBdzHdm9SyTLTYqZNp4MfhTbTFSMOjpLQamR6cdMJsjgf2g96h9O/NPRutzdMqS5ypM
e1eBF8nKQc5FfGmwtv5n30DsRdeOZVLYW1X9p3A9oFLswohf/qYDQDtlZMYpZPJdJdNAnlT06p9H
hy77X9gcgUDsbR8zXt+JRG5cenX/RYU57YV7ndzyoZx7LDWbtmvd6HJWWeC9oI5o1W9utBcR/SrW
3x+oIrmvuXce2xvw8WP8NuBW/NI6R4hJoN/2VvlYo81aFNe2i6uSvkm8+z8iQphPF2CHVM1mv/J/
P61gc/9ERz8rbme7wir9lV7hcubPSPVuR/958gapnli0O9IDrKVvV+4bCgKFkGPYB4EisGRletM4
l9wxMQKSUYglSHE9nSlpj0+dXVm+d127dAVBNMRlj4QNJ/+6aj6eIU1gkAMeKprC1c0zbCkmJG0s
jFCmsAiKxyXyfPqLQ0eY2y5HV8tPKR2Vzv3cZD1Pe1N4nzKGxjL3wBk/HIYyVKMRwBdSihIxv63y
pfo7LiCGMMBoiohf1iCYWJxIPZRp/7RY8NqD35ZzLP38kz4LIjwwrK+p73hQlOiQxlEHVg/aYEQX
fPT36AMaCL7LCgtiDoGffZANW91ee9gLODL6Qx1Er1i89Nnyrdlqa6Gtw5T2eLK1xR7h192T9OTm
Hncl7q5esXT41Idj2+SvWZYgi311bI5OUfjglvGc2V9O5sXWfE/+ArkK86ayAP/86ts4iY4fp74u
ed0zmhF9/zQeltuEH5FIS4/qJa2sACxHhpvsjtlrRQcNuH16zMTbqe4Kf/MvAqnokxc79Jek+ZKN
R127D3MOzHxFUdQC+fJIa64P42tJflt4z0NZgIT7lFMxHHMcjympjxjPz8CUXujTCNxxHJCwRgGG
I6iTv+Rhh4zRz2EVggd/wv2aaPHZjlG1xQ6vXzO/vSCltIY/DVhBtcv/AzOc1vbn3GmcI7nElrvH
22sfbMw5tOXatmlu9Ijnynnbq5JC16PWCso8EsnLvStFzlRxNX3G1ulenZATC7vREbRL7P2Kn9vS
N697kQbj9kc3ghr4ufVH6xwfd2jvaYgdH/1xe7/Al6z7/eEs+mKZn1LxVEyuU9Eca4X4ykKufjvq
cvWy5610QD0gtdHjSYpsB5DjY3+1Zkyi9rfymNI6vNr9CLnzP+x1tbc/dxhtcg04B1m/TTjEpGRS
4eUAE7xGD+vU2k74BxpLyXl8tFeAkMFbQD17Hv4T9UntHa8JHZVie7KjNG6Ga1ak/Zn/woLZ1+kW
DTUjfSuqEHXMN1pmPs22I8TfdXuF9e2X5yco+EkMthLx+qH7mhdxPZe3mpee5p+qZQ0LB+vZad2t
5VoiEF5Pt9ZohEJmEGlDNyYFbT5mxjMm2wrp7mzHWLHS1x2ZxPKxi4+en3ZjNkSZlxRnbyFwowWK
mwGTJG/vorf+ceyME2p/EicOGjTZ9ieLroucp/CYE79/KUPbkmLYtI78papcppu1BSeZjl/W5y+o
/vUQOxEfFcNQxMxTXFaTeBlwfLgM0ZFFRXWJxqQLKbGqaUse1us44zs77e3QXGh4AWd6zMfBccor
QBcs2y8xkLhmeWAKg1qpeb2Z9582QXMen+Hp2Ivl2pF/72Ko2SLYeymrei3yW7Bnu4shnrX33Xpl
X4acCXi9yAf7sdznxSpuQVJ6eMru+0Ld4tE7xzmgRmBhS1te85kOYfk5NsHLsXAewJ5gcYeovyXA
1KfzO2yb/SJ/BCPYtO0Lhrz2GIEsXpyiuxAW0F59PJ1AjGwARDUUbECdDhNhcj02PJF+Vo+SMMam
Wvj9e5ut3wAt4xPwGNWJnFzPhPpr9TzSeW/sz9OwSOmpdX0ZhLinwAm4kbK6W35YsxZO/GO3rgIu
gnAnpxX6szunhAvEzrC2n4muc5igad4itfYrajblVr5q2NBPWPhQUPlSDTHaLQ0zYsiamdveXXqC
YGbDw2HmHe7i8r94WHp+WRgLP+0Pq2nfSo85jr70Hbid8hGelhTk09P2uNg5WEI3SFHFq56xZZN9
Ax15qXwUBj+8kODwXmx6snjTmcmvU9SgaFBxCPLp9awOtrTXFgW/2v8KMVNeHOhkaaohBZERoLOJ
Pu92gexIFf6t6WKk3j5a58y8+VYlCGxxsEOjo3A+R83kr90nhBQAFfw+tfXUzx+2jM64m14At8gb
7/et44ObPSIR+71d9DlDVNroqeCR4HpVhmXC0qc77/FYwpFC7GXJg8mG9VZYsrMdYSbTwIFPwfaz
Byt+DdurSjunCzYf7We1QOrNyx5bcPrlY1xz7oA9XNQ2n0ccRjSOgfzLkEVQ8GRlg+q0+4+BTwTf
P/VBhH/AC7oxEw9eFYXghvD3zvlpjAN5G/pmoTcJ14PWpzQmEH6RvQTignxta3TsS0j+3H2awXkg
NzFK1PoB1Vxvk3Xj49TBwGS/oVDC4z7tqVsDzV6dQ8CW1S7+XN+P4yCKxyWnDG4QD8uJay5EG8Yi
q4ydQpwW2foK2MiLykf3bGScxtUS+WzFGSFpIrBSG9gvX6tZyGnSCCCSdVo+9bO/rh49s7vsNvoJ
EiFjUlYuFpVr0ORPA27UzXLT2a6TF3itZKheXizcGRSoQtQH79Ydw4xe3A86cfROHAp63Jfuirl3
h1ChjC+B1UUvQOYNsqYEA10jei2VudK3yd4oaDbPaGRbS1ueP6hRSOsEIgNd7atwtFNUPXiLJSgA
mpiKlt+gFwmKiv1RJn+wbNTzrx7gC665pFR4EdKtE+kvFOgv8MvKiCBky919xN+IrgSWNr2Tj/xO
nggfW9lFNP1L+tnmraTYOjPnrO2uOE4KdlexLhGNYGER+WV+uTjF88Epiyt3uw3cfG89ICGXtevX
jbP0FD2nIMq4Wl/Pjpt+nw7+WFSvu8k+fcP2ns2U0E1sNBUOOFl4lQQlQnhIWZk/dPPW3RDn8uat
bB/CPOTVdWcnYbCzyRUIYz5XQRbB4v2wULCh4X10tnNfDMHKwfbncTm9qHiIQ+RHMLILbP8cvgwm
pnpAoOTr3FaS1DkZthiJln6scwChHlRDIHx1IjK6nQNHhQS2TpkzNWQs+Fs3rDkkMAFFWRjGAxln
bolo31Ouu6yrLb/ViZ+BKyAE9GvnFwCFagfL+xsp/egGUD9Q9s6fMwqHYJVrXNiH5mOPeEcLCNIo
a7vmDnWZH8CVyPd7kwysBZzs89v/rujsWCTfpw9Fm/DJPpucU4MGMjAromtrQpUPU4PpZkIyh6UR
lfKyBabafCziUDTfIySBGfvdNz6tJmo31iYEWM+bCPmHbeFLf+1Ahpwf9L0NRuLcD+82emhoyDWG
3Tlkqg3ceveiqY3qrevRYjW6BQ7Gy4QpY+vTGFClklACJMbA9TsmeFBnGBgYx6zH6Y6DPcrSRye/
sqL7FlQjpMwJ5kRD10LIy26y4KVthfqB1/t9T/H71uUiGsR136SkKXep+2ZQlyLyHpgVNFeDy7of
lruFHwUU0T1YEh+xg8fw5GhQPSOiIvu8VYN9cz41RZ6P2+/zeAxcE76qoETX2V8s+ymMoEuduN7d
Ob0IMkr82422Q1k3Mm+yaQ/z7ZOV92QbFygEJR8vVa8emiGz9xwwzigfc49t+7zO23i6F7UffGeZ
n2E0RbQc0XP/WaOT7s95dFfAZ/eTgyuOIlKosPzBJyIsbi/XR2FHevBqeaKkDF14GnM0IMcHukkA
qzp36p8Yavk0JHQZhMA+ZYsIM1u+Z6uJqSQabsk29qR7UWXyHH0N+nWIxgi6NttmwcyWE22G7qUA
ZMId6Y3pdsUBRGIqobHj3/Qq+rDciJVEX3STLY4y5iY4cshmr+ML+A694zc1VcjqTgbWzXMEpr7Q
wJ6W4wWAKcH0psej8xxmOS+atAo7XkmkFAVsR0CZg7d+SaoOz0Mbvwp+dM0Gp88SGvWQ9yTebKEa
hNVYILYs2aQ1Xs7mTFj1MMpIOGwEBKkjnINEqfedBMUxHj4wijA4iohEgv6lf0wDTw3W23IB5852
GpDA7SGHYNRK7iBk12xVR+2Lb5QOoH67T9F8C8g38H84388hCVNXOp+mYqBbYzXXkkyW2CoynfVe
tG7VjvYaft/08+nvzOZFTj+6etQDyeEAwsfeqw+mCqjVkiahRNE+7KxyrGR9syLRAz14SSq4shub
hCkPe2aw5kN0PdYm/uIu4BGmX/lyO/LfIHRKISZFWQaSmTpj2uEmux4oZxE7OsyfhGZvcowBXEaB
vAGgUbRYKUGCQWHy/NaYZ7bW+zSN7fVuNmiyv8mj+1c8mTObERUfolTcn+xjkiZb5IcTk3s3Bz66
/RK8ECvMolcrSJEWQgftPth5ZSWx+4KQcvIlM1Yidj6NPzt9sYZPi5fMIFlFoAmiRmkj5r6sS2JX
VE9XkWDp92XN82f3QPL0+L6BeeU3PwIGh1/10FIqGYqvpwOlI/4SNKBWso+RyaxQgpHFoEtDXTV0
8Vk9UDzKSwMaqOTfY2Xz+jSrLFIfo5OP1CVWSOD4P0myAmZQTg66velaSN1i7vY3iqfu0nwtLanM
/IHhraQ1sT2Ino1eWn1I9OmtZZfyOmTMc3Bf2WJ7t3pxI4ck6cnkFYQKWQNVEoq3l8YITb9yy5YC
G4HFarI/mcNjsd1as+WoK/keNHK2DupGRvmc0kkU8tJKCmQ46cpO2JaBK4mahja1S9IArM+3OZGE
Gg2T3jjPMt60Brl56hryFRrvNM/T782MS1iDCMf5g3qHvDvLGpV/fdX6klbzSw3cpugfxPCKlssc
HcQwRGDcYt1fsxUxl+0b0ko29gzWRMgOfuyzjdb6p51G1eh/PL1uTakJGX6b8u0KI/iibG2wSpAt
n9TxoTSUtDjNEHB8AdYZdf0nbH+koqzcKHU0qI15gchV8wIg1wtHtgxrQY4ooZuDgeStwVpJiyWy
CDt0we6CtCqaWhjbgsWQkJR9raxw4WdRW0egTghKyh9XTq0h656UMpiGiLPdqdCGWUu7WPRv9GbV
3YJuZSFc0QaeML6SYYAb1EuIEZqbPWtUq4PpDnqJzj31HjJPhNNeMUZrKbBPbRSX5VNYekGB7IKh
9isZdzcukPqX9r2mrqV67HXEeU3pNH4bS5BSjl00zkYP/W79qtJAvV/Yzo9jbPnQxUx7QJlC2jRh
c+6sHf360t6vdpYfxXCz+6oc41s721bQ/kQWKln0Yjj4TVknyfdLBqT7qqk6mWNRjq9IEZ4nkBg3
kWaM1W7CX1UlA23iqILwbsxglWWqzDY1yTJtm/OuF0ttWdhiKnwAQBLiu8oDgL8TvqOat9RCIAAY
XAiGzOn9nGnrICUKKYmSyT13MRPOatH29v9QU2rtcekM0LkVd/HEn8DIWor2g1NY+dk95RD2eBoM
FCtuqKBPzrrXW/H4p+E3ddANR1DGbLV3NSXOYbKXIIHAn2LnEA/i5qV0Wn0qI3ShTNuAQlb4DexK
mnhX33B4WQ2C3QReHZJZm6molsGRUV9WwQFVgXCnSOB8KmVkejueXQgGV/1fjD6Bvnb9u7DEIulj
ZJzeJkNmQ79OhlDVkzqq3OsKju4u9RMY/7bSLomVX3XFh8oDLBKZpFlyCH8NLrb8tBrdBNeId6An
Iwa0FURVphb6f4IcMTpHyvbSgKkPZdezyM8XiSdm54dxcbXNCJu5EqaVfBtMN2lEBYbxrhRuTQKU
DX+gfBvl358kWsv82uKkxTTpzXw6jftMZtpZ+j2ukb9W/rN5o0czyOxS3Re9ZxUNQ5tPHGgNksWI
cpi5q83nKYglwcnGlTzrO20Ugr6XrrlRyw5xW+QvBHL4sypzNycyARi8LGGWb98vNbT54rG9C4up
ugIV6LnwL/Xc5+1xraxByJiemURFOQnNXwdBh0RTuM7eu/ukzoZu+gnr56TKLxYAA6buXk41u6xO
T45gEpmpTMmthEj4ck1dPQ0aQVv/VaEAYyxm9obgp+HW3ckyqO1nZbrHlwTydjw95GdSpJ+3MXcG
kbmgBhbRs7gfvjQNtMfiPkVMeS81t7WZk5U+gJ7P4JykyYRiRTSe+892uJde+KgZuxZ8NE2o/Sr3
6t+zLBp8GDztJIdQc3TV9lhikYyCn6cjm57ni57rNMd5L6KbjToyHoSF6dxFxpoU7LQc9hH4lHoY
HYC0iH5q6IEO2XdspHJa0XtJTG6uB89lihMrRysRLRGqGaZ8d7p2xxkEZYSa/+mxcPY3pGev6LvN
fINHL4Jn0PqiZmZaIKUPh9jNU1dhTudd8mHz19/z2W3O9ZFulMMU2xZvTy3sMydynU96YCfT5Ci/
L6UTuM99SUUEhBMNzSN92NPSOqiKbz1o5Nvm1dKNwttampUZ/QNmTGqO4ayZjFa+JupwqmT+BI4T
cbPRikpk99IYO1pYhwsfR6k+9ubPqYUEcY2bOVUD95MY/i7DV4BIVTD+CbR4qrIPdNc87/hu2vrN
nZ/qdbPsYr0G6dT1GEg061jPCFkXHNAvYAltp3+MIqRZneUG4hHrwivmOA0tiyuST3lQvGk9T5Ni
LVfMhStPk2WpjMACeOos3ih3TcH5SAITkdXSLsZzAAVpD6zph8D0WYJlLKjIaGVrA5rJINnmoKds
HavrMID4FBVdVRd4NBQUknT8ghB5U5a/ab/hyiJnOToPUqsbTU0Lz2o58tt4o3HK6ZJB2sa8COGP
6+l7opspJwZTcc9dhil+iAKYQ4D9ZynNfsrRHbSiTyYnHvCa5C61CiiDZC+3dC7dpb8giTHG683C
w2trX4u5ku+B/C1VCy3OTTbb4P+V6vAb4pYukMOw4HsewxzL1UdwxW5c3dBb7h3nodmXZMuvYK3A
9nygLyNHeXMrEN5A7XzdnLwvAhL4ZPfrL5TFsmH8UK3t1uyPeYOVUnb1bEQAzh/pKrrZ9IglXVy3
T3mUp3WDJSCzNHrOFtERvwZOhXb1j2l0FE33HW3YI+qgyeRrGt2qgRN59uiliJM9+KvnFfOT7URT
gfi4ygobYWfqimLXIp4Z5PhjetxhnOD1CN2zoQcqCFa3bZ8j3Zhcl6DYUvuq3iWpMclAV9nb/ds2
NkmWX8PBydvqZqDlql9b4JeFjYfhsA79JnJuRQnWB7FmSr1u+V1tR5HVXmnp7GX6mKHqM5Ql8Das
oLabt1G2ay8LFQz/uGExmDYV4N4UjesrQG8nHj5j5hgP3iWw6Lkfj31MdXSD3DPZ6Xmxp3nnbLDu
QxfOj8Hql854qS1MIqMX+zjyZH4IhsOpvqW2a0XrE3iJYoY5B8vaLj+XSw8r+4d4g8tY/e5hZ0n/
PigQ3XCe12SP/fC6e2sr5cUqcfv4IV/wAae+4IVrwdGs8OwKzxMHgMD5/5k7s+W4sSzL/kpavCMb
08XQVlEPANydzlmkqJT0AiNFBmbci3n4+l4gPTqDzDKpurusrJ9kFAfHeIdz9l47moo4n5xIrHVW
YMYhjLm0MxRLk9G3NOC7oSkOK1erGOmZGQD/jlJR+8U1WfbkJVxYTW3GVRCvmeiznTZ2tLa+NLEU
YrpuUQhI/ZjlZeLWt1mr+3l9cEjsZjGLZdXm49sJ2lYRloQH9E442quw1KWHr19Tj5XjFqNvBODU
8jK+4LUCQn7L9pcF030yVRW/qNH3a+OrkQBkue63LC3+9lx0lWZ9kR4iRNqWA93oIzwR0scu4pK4
i+mxmJt1sBHbt0lqIwVD87Fwr3MAa86NqhD4OEFMXIy9XOhoQEUXab1qqqdCjV4/hj4jy5o8eWJu
7WGPmaQjqoQ8EHrEg8CBJy5O/ebU9Gp21tOYinl8rOfKWY0cSINDHszeZ0mynIlthumvYl5gc9rj
reemnpWNXZvlnZKgnOIbes/TvJ6lNb8wX/hDj+JrrwZPo+LiiJ41cAjBoC2dS+zMBNTsVEM1AtKf
tRrjS+pM7ahf5BiL4uxAf9Stmq+m1QpT+1QRdWDuQNk5VhH6rNNlzzvOkJ48ZHjJOiekyZB6/cFw
c4aryB7wCeLMrPSCiSKvcTyMR4K8Ft+hP0sVuA/xBJi+F7UlVlBz1xXu6unntTe6wj76lKoqZwyW
miWZfMEFYDfyG/hGJ6nupJZJLQkBrhVTZgUmpPDRulJFV9b9jnqMbxk730PekUQdu8gV6Iif53gc
npZuaVxJ2y7Wa+s4bZkxphd4+oTwd0e31jf1FyrFtElucULlo3cmvCQR80vFdrTLdjhRVp2uNTU5
dCnz5BalvLYSlYvxnjTSppXflJFRcLz13hoQrSVny/mqyxQrwvfJrrjLCx8IoGE6kv6y9WiHt2ZB
YxHqoC6RDRvd8vUUTFRSx6c+KUDkcrMpeZhxGi0rgpE2PNUsTnUUxqLcMCHcZtBWQk2bQR8Fsimq
xrloMtPoKfUXkssQVAZ6NBn5mp2uX9J0FAkaR9aoisVFP2MHOJ50C9apX4yml0mp6wifLs7Wtzoc
To9ZICGh4w77srebrStav8W05m/9u9OB9c5MF+k0UVHl26bh0zwHsXCTLaeZveUX56e6emJtMxv1
vm18P5X6ZVXNTE2n/veo9xpfVcm89Yjyt6a4/9ZPY+TZWp2nvFk0LVsj8rRqXMw48+WOynqut1Fi
r9s+8XSl3e26U/iuCCVmYfI2tzfMHLyjBDqguDr+XCq36RT/qmMEMQjE0gUaLZDz0pB6r5MTdeJD
EBRa9CYmPAUDVQXJFL0evO1o3/BHb7uY0058SWPwWd9+fiwfJM7oKD1wvugq0ZOiA/U/KHstyolr
7MY+4WJTiqSRrISthb3lu3K3wN1Qfbw6lQXeAB5sBbe93uth/I8f8/9MXuTt29l3//5vfP0Ddhbb
BqxO77/896vsRys7+Uf/b9uv/e8f+/BThxd5/Vi9dB9/6N3v8KdPHx099o/vvtjVfdYvn4aXdrl7
Id+qf/37HOT2k//Zb/7t5fWvfF7Uy++//ZBwVbe/lmSy/u30rePz778hhPzLzdj+/umb2wn8/ttD
nfUvz3+77x/7l+5ffu/lset//01znL/7oH4csbG90YDrUGinl+1bhmv+HWwDVBEfQbXteNzamv51
+vtvrvF3YpDgB1imB1X7t7915J/w/4b3d38TcZNtQ8HVh6bw259n/+4W/fOW/a0eKqh7dd/9/tur
nvOfz/H2iQQSU6RFHs/IyuTz/jkuNxeRMRXixTPiHvG0qWxFtiJUE1bTQrAEeaTHT3Zn3TD82lGP
ZC6doaTF+lNStzYBh9KcC/fcT8UyRIWP0fGM/UHZXZVU9LQlkMUs1JMoeqy6EdeqzOFWuq5tvLiz
XIa7Mp3d8pG0VxX/eEtRTJyMcGJGumyLebQxyFY3qaH3E96dUrSFwnAhqurScJdXgTmREMsFEDOy
ObVu3GJL/3JLTxftrxfpvXTfdnyYKOjmtrwMbp/5Gij2F02sa+BESZ3Ue4npJObNWV+xeDor7ZGw
qLMVRXM2hejvyuyPUo8z81fg3A+4MD4fXC3AWpueLneKg3l/j9bc8jqIp9nzaawE072tY0+B3e3b
ruO0QddsbaUDMr31lg3YmZN1DrCm7oqAaIAtperU4P35NTLes7soFXJ1fEKlAYfxPIlX+PhfLlKt
9ylmOuX/eHNh2RYilPuTn72FdU3ZbvLGugr1ipAaNyDzhTpbUKI568Leqmf3IZ90XPu/OK632/PP
R1zgPPFg/fLS0A60PWQJ7y+frje1hGDXHVrqAGm3M1mjYX8akKcP8o9upZDshB8kjj3TqlGhSqx4
LZNQFqqfrUvTpoSt31axSBKJNnlqhLyO56ww5oWcr7kzv3XED6Gdb3PTrptdVQ6r2QMe1Z2uijzC
G7Py0sLiixffX1zKJ/vCAQFn3cR1ZTTzVcF2yuc1OokbycmZELTSZs6qqNRQN9RRSdghmyUXFRoP
ATSwrXZAlWaD9TivKAJKgSnZH69Xc0qrzU1EfW2bjymua9jb3ugHNT4FYrYsWAnutdXRo25Y3JkN
7p5TwKSuPGPNgqLrK0Kw6q716yxycOnnLE6yV+Q05YjN7PQWl/U21fGqogKJ1sbbmCWQDZh8UdrR
0dwpT/KRVUFliaSgiQk9+VNRSYmizMsHi6qJb13/TFHpY86wmigthspHJZPPrlVXZOvRHYhDbUCX
qVdBYzGimLd+4yt32sGDsEXzWSyEaMnPur5sznz4wSw3r2VPl8b5nJGdbScRzzljwZ/qysrwuvaP
hbJ5550jk53M74YAYeBdY06J1aeTxJIFsqZTAtWpmfUhw7vXmLtaLtzbaMJ/2i7Be4nlYi/xdFn4
Xd+tQH7yKaOM6qOmoCed6t3Bplw7PTl6VSxpFNuxqmu6unXVfq2pvGvDn8GRf/qnakVw4+VJh1mn
JRaUPwNPUfxtW+zlzcP89miUFHXgJ7no1PUDFvyMAsXY6k5FdFiXSJfDMIvCDIhyGP3PiMGld69q
H+9QlYlEBGmSTPdiyUQeLWzLDxk7/rNMt9Yj/s3xbGgTeee2oEMhmiBcz/pSDxt7bD/HKHbP7ETI
LuDtS5/yVpVfEz2T0ewb+IBQHbMHAdkdTmYtLsge/i4xoQf1pJxLZ8pU5Nppyt3VtXZPwpm9y2U2
3Kx52es7ntx+5y26RZhU51Q/UjXc45VRpAlqyQWtf3bbnT2HQ2fDZpODj4OOnqyr0iZEfZQ9Z10T
R2Wq4H3bdR2J2G/Oic+q9ktcx21QK2FvOVXsIO28dvcTf/KIXiN9wrQ6HEzWds+UQcpDMRvlSu05
F3vSYeW9sh1zBa2nN12gWTJ5YJfnPcIfFIFvDdXnyTMzdj69jmTeT7NAapp1aRM/sW+Jfn/pcjf+
RCMp64O0t/xngyzpMXANZdwB4U6zvVpqbWd0VX/XjXYPqAEWEaLf4dzq2qUIBD4qtHAIzryv2YjQ
4MhcN/zoTMoROzmonoDbrEqXYLSE9+L1wq0iLdba88onhDSysZp/mkc2jkJU8kJ0vdGEsZfKRx1O
9eXs2vpF5xjbExqLTJHYNk7nczvMVzr7+qNXSe08K6yUlCxGv2djmqw6WFfPILKNtcY3jF3TS8OW
JzQzY33sulyagR8rlhRIW3hy01KVgWbIdgDuORXzuTMkTRKwe82uF8NlIK7UHI5UUa1z29PJ1gPv
0e5NNZiEbFdzQIvwi5iWH/oQx9e2weszdgMLY7fRsyCZqxGAxiKpWwEvuFap3X5b1Dzuc90c+gSj
SlFglwjdDIxSoA2W/TgOjQwsk0IZTX62sHrVfyL2o/hEclRfhEXfJw/s+Zuv7awqM2jmYQ5jo1V5
kHN8Fugqmi28eHNKABnmgVvf7NIyBESbP+Y0xAMt0asvNXsJypqj8cmXtndUZuuFQ6vH5zYdpEdC
pufLfDXaMSAWduBDSdGMB8jOSzIkl46HaTYojcJ/BBCi65TQqRYQGdw1t+wBiz0DveOEPoTMs96Q
6a2SVbOzQFI8mLJWB5R+xiFXo/NIMvHDRP7tA3qo1UN+ZC8BerrkZeGCEL7hDgMQWH2571tfxEFr
N8sFTeY+0NNxPEK1QLLkwhEIErfzH3zinZ6I3bM+U8OQT/Dx1xfiIzGTu9K8suPcOhCrZbLHbPr7
ypKkHE/1eKm1XfF91WV9sEojXsKaduJ1uug2c9nMiKQDc8X8KgrnzNXtGJJ7nR+ATbYPFKosjn80
zw2qBvvcsbpvhGxRuKvT9sxYSv++qtr1IumA2cwuQy447yq7hnPRn4ObmW7rLm4/t55n/7CKkcGB
6uuINaHi5Wms6QYxJRzi1p2O2TRbkjRMrz7ETmUTPuiw6poY844rNeTLOE7bT6vppQ8evtdvzer1
n5nwkzNeNvdqNbT+lqk+21OuFpcZ6QcWXAm/jLwVAyLPe1vvgYrLWyCh6S3mc9Ug8S31fUvgwzfV
D3YSxGJdL1vfxoAWb55zrZKfAaD7FWN2Ne8skpnPDDkn4Qhx+MYbE4vObKs9Q2/2Wv2SMuea+eFC
+CPAZXdQleddFuTrQT6jgF2UPYxlFV9O5Njc0goorzV7qb+UffvI7yREOmbGl65iBZMPbn49+zkm
X0FRBSeIMr8P0DKmsEwn/WoZ3eGB3sDYHFIyE+3QTw33wiac29v7elX751XqqUiCPFiDsUqnyPPX
yg2wT/pjUFlxfS21TjcuSGqlxBg5+tS3lw3S6nJvzK0xHUmmrm4oD2uf0JxnKoTFkVI98FV7lyfZ
SPG5lEt6UYGJyCKtxfNxQOhraAcXJ9h6t3h1O6SHzcyhR36D4FYWXDU5JcV5QWGuLUMDIXwXimqI
x6uiHPIutAYj+Ty5oDXxW1CngxUQG9FksES86B3h9F/IDVq9lnGkVb0gBFGHwZbECBcd91yYs17n
n1drQWUeLHOj+8O5yWCnHz07HZdDUy7AJNOxE8O9ryUY6iYzKf02aDUq4tSNbH++z4iNdQIzpeAv
F0NbD5NDsHmou42pX05+Pteh2dLAvXJLhtNILs0ayXrNznOzR8lsuMX51obtKI0vmgOKkctf63MV
oXerirEIFkyR1U3f25i/ILSiLzHpqnaS98EjQzkcjAVPiU2YRXpZpCp3gPSqGZdZT1JngF+Lxj81
nOKMkqmQu2QS0xU2NsuJ8jmbz4jPM7zIoacE0MjJW+NYJK0qAmgv7hKY07x8dnqzv9aEPwOKzWO7
C1y7sIg/WRLni4EA83nEBRVZWG3Mg5SxgXZkTLFihCzhUg2yGjGLnYPOO3XuFs2m+ho2g7dkZchI
2vMDKKKzOfvBINR4zi5VpYJa2Rizv0NMieZop9BxCXFlkNg5IDCvq/gsbzz7MRnH7+uaJg9Jqr6D
dBM5bqmpup8mN9/R624JgRoanUHCaZE/uOtFuZjldWtlw34EgBeqRq0KEKylq6CqRHXf1qUTta2z
BIOX2YyvY1/9gKC77vH9lQEQipjiKfNKaMzd1EQrk419iyfIundF27ZRNnoxaXwpD0wwg8t/NqQq
Pqmm7rxd57rJZSdreT80XZ/shjkZY0Q4FV1kjWT4I0TkJjIBZuyLJhb35BVTnO1TeVHEQrsyi9m+
MBVhdDLp9LDw2RZFphlTAh/c4bBihikD3WUSjnR/bLqdMhx8IwXBFkfVTphFugnRTFMkeYhWD+Q8
4uyYikKl1cOxczi5HeIa457GdvYcm9ghD7mWjlHLSzkFK16Ja2Z5Jv/MKcooy1lfcAjxHbPO5tf0
nXDAfP0F0qHx3RH6vAdp5JMB6Vd7aI75rUYlMRwrJ/0KtfWhzHEfJmzc9q4Z59/k1g0MhCXlN0vH
mzaYVozfrp1zL8zKwT6PyUwJi0SP93Y20zexTesmZ1tyPlLH/UGH3P0OIcz4WhjWdDkatRUJ1cij
BSzvC2Q0s9jGNDJurVxvrhwy6Vm3MjhuD6H9wy62lN6lrrZZeza7Jzl6WrYrnQwhTA4f2TnWogYT
2LXZjNqtXGWDgwyTX0gGsI4bXstycVUq6GVpmvYFIBWOIchLN/XCgr8b0v3gmYB8JY5oSk03YgsP
T4y1VpGcV0r2/1Ds2tKwUGglvzPxTm3gY88bz7S+cKJe5eAjG2E+OPhTQW+OxRBki6ZuhJjzpwES
MdMDO080l7FZBzIW1mUnvPZCLWAmgzZhSXM5d4N6KsyexhVBnyxsMzSeP/oe5M6Bl5J92qCEZT8j
k+WbCC9GlIGjdY6aP4mZXOeVxbwrxhe4C2O8r9y0v7CXtGUvy3IErUXcaGKnNVWehPpKP63vyvIb
lPE5LDqrQ4uhNfr1MLnGfc8uz98jBuJiOf2UloeJRdU5o189gelN05ylnM/Ss107jc5BOhlaOMRW
s0Wc6kLtWtyfSdB0SN/s0CaBOLeLcZ+MDkKHqgjpN/dxu9uMgUTbIgs1WVNbdbx+rbuhLm5MaUxd
xK4ChFPAwytXFbbGkJTLQdNBO9o3zmDFXlAYTWY9vm9cQgEqZv2qSKUj/ZDd9myrAAc1AuvQZcIV
S5RCMfHK/7iZ2Q1swNRtSefWsYK5SwZ/2LeDarKvCYYLmUQTr4o7MnxDH2uDU0szYa1WH4d00Ko/
uqabR7FDj5lhuvh1XxMsXJcNeTAMxGIT3tFy+i8VcnKd69iRVhz5Kp3FV9EKM71/o95pyqF+0G++
v3vNNOIZZJRP+Y6IH8Zx6he8h6v7nNAhmp0D+KOV963B/Z19G9SUbmYFb6IBw872tR1qIZse+i84
X6yGDjoLyvlaz319scH//rUnypSXy/zJgmwx4u499UQH2rYreEe0dl3oiM6q4nurFypzdo5s0sw6
14cBe0Ic0Q9njcPeIYETBx6c8VjrZVSACb9CDL+wdFc+I+biZyyiPPuQ9W6F6n8PxgwoG80ZViMk
Q+6SegZdv1PTZEuf2gG++suVpZ+3izX8tGPQo/cmXJsQGt/euctq2Qcwv9UX5Q3lg4ZIsw9MSUE6
sElDXXfIC6tnvS5YZQ0CBGuxk07npxtHtiZYd8XN84kiIl3svO/UuY/Z7Ba8w3hmNUN2KfXYCgvT
Ga7yTcSxU1bVH/vR1w8WVeT73KfJdmxYwrmBVavFDuZ6KupDC7wo7GcP8GIwYhx+VqseFwytdhUH
DvMoPjOgAndYAaeZBYJW7liBskOMcyXEoQXgWwFa9eYnbY3nRQXgmhrjzoMHIKIpq+sf9KDdNujy
ka1BvSIfR/1BqOKO5UTbneE0LMbnRJu3igsrarPGSJ8mAHziMdb21WB4KDTNxq/DWLdhq9uL3p0Z
nXS/lWNpU7B0yb+RSEnMTLBDRQJ8XdExGiJTF0P/tVsnWjJBC4w+DWt8GiMLJMO8sG2KW9cJO++K
IAXW4VezgqYWTFbhIkl1ynMt6WTQrQPh2tg8rlW1NKG5DB0J08JvAlfr08OqL9wYl5CiwJq95oww
xCYP4QjYTytSQZ6N2P+EDUZynqvaO4aabxdudmT7sefvcrR1L1q+LQqKXCWXGsNw953N5ZR+Qo6D
PbejJ5GdsYJxzgFBiuyJIdJaDhb6hTsi6eOrudKS56Q1uPLetM5nfRwPVEbWNZtBs+vTA1Cm4XbC
9cUpUNoGruRWktHUrcDoFcK/MygfupGfy+loULTI0EAl2T8mcAlzKOA8ndV2nocNsdv3TZzIfY9d
6ytNXIM07XmNUtR94E26dSH6RSzX9FnMLAI6NfbsUEg7DvxspGWdkFXCMA/wsAuSeJo5XL9E5tOy
Gw5VTW7RnhRey8VJQrMhSvDjMPQCIaIK0ys3HgLCghsWBfXSXVmDGi4T0xi9SBeJcvcI0NTnaXZ7
Y7/0NWeJssz9breplwRQ5uwbsjJY8Xae7dUBa+olC5wi9tEgFmBFIyb0HEsz5ZLbldZwF6yOUs6u
GFFtR5ZeZbu1mfmdRIjuSLO0Ip3HUn9MXVrvzLibw6kXyzeX0WK8mPu6VVHZjN5dJ2AH8HFCNGwI
MqpAlSmvrDKGmAFK333ytXipgtaI/QsN1c/TQmbR+ayp7hY7Th6iATYfccoNpHx0rr+Emehy6s2T
nS3RMC15h6jP6+PdsBnyGX9bsDw0rxex751JfNHiVM3XVK4Ki2KAJJikVJXxLfPrBKOVMtpricoQ
CfYkFjYFvtkyZca6gLts5OnnArHFFDJvsqpjfR6lVtt423VzbiZrogxtmTK+xuRrfW1Q7CXBOJTf
rK6SX1uwgkTQ1dQee14bD2w+j3zZfku0SU9YW81aiCrTuEKiA4ufusv3Ohm0Y5vzUhOAUbg3/dDL
8140VciOvLikLuCeabHufaFinLk8BonzpMzV2s223t2N7WIei072WHRHb9pWa3qFfLKmxON2nXfW
WWntRPjTWThVmT+j6DfH8o4OWha1FLcgVHe2jWBHDDuWL8ZFvUh4evlkfAUIOX/1494IFN6sKFlF
sau8Mv6DlpgegUXvH+BDNgcsGcaTTMbiq86viECbuXCmpX1tK9u7mqFMHRS6h2D2hkdZyf5WDfoC
h6zH08l7sN76iVawojHs6sB80CJ28jqY2S6WLX77cmrM9h85xY7Im9moNPQZV+jnhvyieaV9vxFO
qtCmqn9UCvsHpn7w35b1Yxmo/re7QlEPap+YoIpqBHRgxYv7lR2trAAk2Z20xU2fo6icd+/JHIzq
mIHoNeTKkjewF7bA9ROu2ZI6kQNH/KrI6o/Y1Jf+Ic7mSfwQtS1x8Un4HTaEFMhUWuSNwp7gf7zm
hbvVRhvMfSNz9GjsG2Nl2ejpC6rAwmn1+QgRgypm4NDl3Nt2PXnfnbruGVQaVZQzeTGABHQRnSgf
Gv7GZNc0diLH48nVPC/0R3lpHCzFApdxquQLjqDF7SIwMCi0d52aliJNg/cAEJ7BTUaR5MmqN59G
lMFsYTJrdtoWhdMUj3kEJ5/0qz3ysWzOr3Ns4YOMugn9nrHTlTV0zdNQrFjIA/6KypaQ5BaWZMGq
UkaGsxMbhIr1diY2vhq/PKRkJLvNPwYNMZyAKuBhPQ9KibNrvniPBpl1WBzjL0JB37dW6RrCGMIU
RhyoZ3iWvjXb/4obolTmkT+W1C8nUv2I3Yltz4kL3bmpPaALHPVZM8lgzKGQ/OIA3sccbQdgWzAp
CWwmjoeEqA/NwUwsJjE7mftcvIULVDwntEuqAtEoy25JX+wXwUo0+/+iHCHO3bJgkdBsJxnA3xr4
7095TjN8guiTn9Gob33IZH3tA5ae3XPmbwn0hYCq8gvFyvtL/fq5Nuxb0xQ6wizr4+cq5NQuuBzv
OSHYjLLcqKuy+5pCNGDPMtEDym7qmFwuugwpwHTnF6f9XjCzffx2j2kQ+0TAmqgN3p92IsZM02Ff
PqM9chsrFBPRwI9IDngh5ZptoHBq/AbZ1Liq7otO11fCENKs5KL8vCX8/pZzJIK4Hg8eHgU3rob1
4Qb0TkYAXVHHP2J/rUV7kI2q4gWSb7UNMgvAYO7Kzz/yX0/eo4lsOyihfeK37Y269Zfm+KucNl/0
9hn3NnqI/WIgECw22xzNqN3GGQAv+Yap3/iE8OmJS2393ZiBbZl+8SB8oMVtF8AnZ+dV0mAhPPE+
HE3iAzyFUaA9pVm7IWIZTTdjfjVLCO/hMCEhRCxZUTlXwYniLzI9BRelcLmQ1kYl+v6EN6cD3pp3
FaaW7unn12x78/7ZtrddAxW/betQqVzULmgw31+zYYqpSDfr/DTTgOQhgEG9RUPobxTd+TUUBlvi
1q4+IVnrDKbV/+nFMgwHnygqaB94IoloHw6DTm6H2dmRT2BcNdQuOToPpOXjom+2ZisWKGTYLrfF
Y0WqJ9qTVsHLEmceOkmKpcSNWa8amWUTpENJLscLIuXotvxCpGJ8fMaM7SJBO3c9SJcCMdj76zWT
ZaX8erWegLFvnKNtv1YOdBT6TNXh1CwNB6e51QZYoOhbySXyinXR7iel4iOUrJIKSbWyu7ioUtZ/
cVD7uhP3SK91rbxz0FizbDItf0ZhZ2r5YtTnRN+U/NWCZgNFkJ/f/w+KEkYqwNtoShDaWVuKsPgw
YvBk1hDJRvXdpQ2JhkFtWn3w/PErcdsgUYWBmvXEpqIoqcfxveF1ODnxg/Hfbs7C4S085ucHZ38c
xZlkkW0RVGcwaTCQfHgs6Ah27BKk+q5a3iI6Z1Q17Sv8KdZyYWEI5XL4FNPWLxWrgcUFbtNOTRoy
4E/OHY6OGMhwBePqS7uVoq+9DAM2bXd7rEr/UAxiuz2yo6RFvX0rb93hUYIxQZ5nQV9HR3y/yR25
+twgibeW/3zDr3jVPHPvoM4u/NOtetJ7kaI20e2pum/3rqAKjBSref1430s2syH5mSA4SEPG8UAV
Ras3FVWvRFU8zh1BlWrvj60xsueSa3/ZkjWGkB3rpslKOYmr+SyxkSF9q8Gi2F/Y0m9oFddLUGSN
qG8Qc/388n8cwrn6Lrp8lgy26wiQ+++fdVaRqHTpfX3fwlHYP8ym7rLpm2Quy6M1NBMDxc8/8eNo
ZLqMRSaNWfR7mwT5wyd2rd6lU2VN3065HdNgV9QmzTevoPMapULzknoJPZmBNO8rl4GFwtTPD2MT
/r0bFS3XcViRALTFm27TFHl/5qtF+4D+TvWlIpunt4JeDkJ7odi0sTRStroGpgpXZrdj5222L5UK
SSKq15ujDNCPThj8ezNpLsrYc+5nC1j6EnST4Yx3vYcBKGwEiPMLHiJq4Tmt1K2jHzvG9rKz8h3v
5JiyujjGedFvb/5oC+vGZL5XS2AR+TuPh5+f8cdxjUAHD5PGdtacrYV68v0ZF06c1lCy3YdxqKFT
7mhqmMj9QCbz3NossmxY8hOdGioL/laLTYgQ3IY6Ng/bWzHk6IzuMQpu/2kSI1G1Z5lii8QQiYdH
N/ZNOW4QnhXqG29dPFWb+pCoj80b7mLJ+VX+54cUOdtjBYRQDiS14A4a8Hjfn1KDXgkTUm0+eH1q
8W71KtkOoCera3t1XzFKJioljg1Hx/aKM1ZuQ0qrGiYaLTUQPBqz2P4LkXhXPJZ+7tpn9Iy360A6
sHRgwsz8VIYriz/zhn2B39Jam0dltLpwYb7gdH9+t1Cfvns+OTUf25Bp8Kro8LPsD6fW02Bxy0Eu
DxZ7Ui5/3zY8WisJUvJHr3sFfYBlI8B+cU38BMjZNYm4/Gx2Kgw3u7VyjD7Z43EfpgdWqZgH2XLl
eKHOLYhs+R81vBEeMXsqiV0POsjdnLXJtoB6IisSPjAjJ4CvUKMaXAqkMlyKnjw7rScGfth82Cms
eb56uz7bUFg8/vwifHhHMd5YrK5cU3gIdPV/Weoa02o7i9Non8cKPCDBAq/LWzP1ZpiMaHDZ7/xq
WPgwHW0faVss7HWmJXRqHyWqei5ZQqrZ/dwNBk8ILYyeB4q5n+tj58qWYgeIkG76ZjpF/XZWjnHN
koVBj6s0tXPZ37pOx2aa/oftMRjwQo53tMj5Kcp9vPj9XDNRnW5bgouNSzmXXs27wlu03Y6ELGcu
PSamTYsPWQB5nk7RgSMRdAWggTl0Xn+lzrV96+Mz52yTAIOEYdisgj7ubEhN6RDM0BemkO6UcYAP
0lJhPOlxfo3yym6XXYPrX2GaBUicpwFctaw518vBgoioWO1oFy1+FvuKeq1rUXZEIfEDsZJ+NsWD
7USFW8vyeQM4tneVdCriIWhgTTf2aOhUI7289oVC4WbZ3bCfJkHlFgtPDLPKqfTKuLTAgfkRJXzf
CDesYhsHksrtmgOXHFskaclcjLwM49pOS0nQCFjrfO+bxmDfO2W/YNPTZ2OYhoPC8GfErN+AQRz7
FFllGZLRM61YrFIeRUUZYqFsSQ8qd/ajj/MhEpU2r58nR5rZl8EuE7oRdm8a4cL+VC6Y4/rOj3yy
zAq8p8SWsk3G4yH1CRuVX+v6wcBGaO6JPPJSPEeFrOyHRYxJoT34lGLmzzPa2P5K60D23DFjuMOz
aB2nfVhdgIsSeZI00u6TP69lcYgzdOD7FUFTJQM8gxZpHNiNu8Z7MogOqZ9TExTlTCoLNbwXPFDT
RI+1nDojp8xcE2gTsQ8g1/VATEvhXKMV1IriQIuN7nD6knq11XOVf8baqGtbKfc4+HGWlpfvIRsT
mXRZto+Rdw7iLq7pvRy37mbi7XlWcE8FP0NtTGSAATqbsorZhnY4PZolGgGziq9SG2gQHXk4Ji0O
JyqtKLGHN45Gv5AC4tyU//VwjcQSTCqPc7xgtwpzkfoiuQHwOCn3dstnRCzjFpZmqmMxLL433rzH
abhtL9Lii5vEsbbSvSg7pM0w2hiyrxi1m1RcaFbcuiWUB1Juy9scWKYX79DkTh3R4CeJsPUKF19G
Kpfm7j8kZJgJ3aaGyue/oDFMb8iYQeDjptt8z/GzZAmahgA8M7JBTW0bg5TeurM/sTFOkAbZpWTB
vCdk+BB5sL38R2yMFLklOIL/SirG5BkgqUPiecWgkYRpD83w5f8bKoZyQfmSkf3fwsMwgESMT0Xm
qKw9vKdiQIpIMv2eDXgiCWl+o2LIleIslVKCvNsEnri/UJQF5zLibvKrYSOLnkgM/5c4jNTM2KOF
StbOZPy34TCMrKU1yN7MtXiW3+EwtHXako8ksUC2u9N0URf5kZKsO6tDslW0yLH+f6BinOIdfo3C
SBvLSKyzoltco7/4z8MvTpzeEQyFoz+wcstxu6tG6+ssBPq/sUdOcVM0zahtlhQM/hdxZ7Yct5Gl
4VeZF4AH+3JbQBVYxV2iKEs3CFmSse87nn6+JNkxLLDMCnoupsNtd1uUErmfPOdfyNw849GtkvIW
jAzuV/5diiBsYu9SgsVpPmhOm+HV0umlnOdu5uhZPmyCNiRtCFC85+cjcBv8g6ARo5e87vn7DCvC
/G7Io7DHqWE9ZTcD2AvyBWOT0LoSkbF/NJ/VyFaSGBoVD5DoTZT19vbDyhh9hPlc9XPWW5yuUX2I
GA5f04So44syRgswM1getcgux+4LCNJoNC+A74iuT07Y8qrUgMul9CgNx9bYmov85H/17KeK3ITC
YJKvYuzc5/zpi8+k0quivy+epi9uPfWzWy7WeDiZObqKD+OGlMVs5tcaxThaM2Ggc/gORo836EuS
ZVEMYVvXF1A41H0Y1MLlc3lOvQU8y8ka1oaeki+FRYE3Tp7zdircf6uwoeIzCWspyagRUng6K6ph
pYFmAkw4paZB6kIxdfDxPHBx5cShACgQDFkmHxFu4XH54uKZG4EYc9ARIBu955FMOmFZqcWykPuj
3oJb430KBRlXMYJpsgoLUB7zOypErC+8HJAx8BNdFukOSBqIc+x4XoosVfasPACBqByr76YzR7Xy
17MoAZJW1QxmTAWLIf0NPDiZAopIjpYZmzYj/y25dobAxyMZyTHtHhBtSMIQPsesRdOn0SK2qX85
A65q0I0CCCpwOCAM5Y4rqSgEPy56r6LZ0cMXB1fTKUpJTLmS7hj4lygObKwRDt/kvfTkeS5fDHYN
Q3ui8GK1iJXqM+nIAWHJqiP6F5s3bnPxE2BHGbMgeWIOGYos8RNA3MQPBhrZiXzLy13UNpAartjK
IdFicLN0s1JtAbIJ+hLDJH7lZcm+kIkMS/zScz5cqAtBGm/Q8qNar6iNbN/1kRWO5WaU0VP6rs+L
cJ4anw29Q2kR6cAWRh3/eLZmrZ+8b3WZ+sMNeUvx5ekTD8Z5bujZZvXF9PepS0WcLJaAgwPSuE+f
DyxwvuJPrm00X/WtlNUiCdk2ZqPrXh7mdRkgECNASi+mXN0I3xEp4WdrqEifGkQEn80F+6cNJ5Up
skoAtzERJpRRBSHTAxEl1qQVLCiWbBDwxlNgGyWZIFQ9Dwh5YHHopbapMc56q0jJZfSsUPL+Y3b1
oCeXQ6mEFQwOglrdm7Ry1JkEp2mlfo7KJ893KwxxuW/GkmMWoUOxg7LnmtnwbBD5fvMij/qqCiCa
pzwHNtMxDIX2V3lWaCSlNLYWqarnozEhByzGn+pOdvN+U6sEOrtJhghBW6Ss+LspnvWvijSjjetB
QCj5+WWNyCn2wm5dBbp++2K5/eIp1j+ZJZfAFZmyl8Px/W85TiEYssz6wU2OzlsaIqbaqkYVDBqy
qbjifBaVUwyzn/2jwRQgr7KUMPqLM4mbtw1CkSRxYNqOSnLRWeUV06iRlSyX/2MvG6bIXe2fnY1f
dvb7HVRWRjP0kNytbFgQCVSFctSqwSlL9BDrCvPTy4mBYI9Q4BHK/oaxm/TWhoFTBUtz34/g1738
yVn4mVYqtYvOfXTmi45XOmOOxYTtcHnBRqE2vy6LzY4sjRYa+5/w7RSbakTmjD0+PbtDxvYQc0tS
kJ7Zmc6zuXstReJDACnU2KgMNS/7Hdak0GE2ExS7GU2aqubHSUwGyk08a7wn3fG5nvVisvZ+J9bT
yMTpsiYbVEwUBWWX1aiC1q07dZKGm6hNxcm0PAVCVYuryP0s2b1+9fH2DJmJFP8xTXOVnLUmohHV
lvubl2tvCiPwynLJyYq9chuHH0qtGTIpfwXtDzYGPGP9zXGgQadQiiFOuG7EtUSQLGYDIQ/2xYvr
9PsdPD5/yM86lJ90diDMfZ2M5iqfCVh0ihvANxdWITWp4YIgsbTvZsOGObcF3zbF1AFCwMiAl761
PuryQM3nPjTDi+dQZHgxWldrAQR/6tWHpBr+SYThSLfhocz5a63TcPQj/yj58P+n5vDjF6bMXtx2
Tfyze63KgFEap/5//0cw4Y2cg/sDkj5Q6Zhl+SwPITQgnn/Xi5gDOcY/FI08tyzAA4Zt8Ac+izlI
iqr/wRphI+jyU6EIjvyLmoOu/oHclQ1rRUe5geQ46+hF0EFDAoIah27Zss3Zwwn0EUGHVdVUOKth
sUZox8Uhk4jXV7dYh7xsVaOfflOMGgCCETTepsQCAlqiNQ73pmTMB4zli3Qr43TyrSv14UuqtxPR
klPUX1+N3t3zPf1aOUFZn6lP55EjljM5aZsqxfGdittflTpRP9yoNabHYboUwaa3SkgF09Dx3h9G
vf9mDZUUb5rc7mq3ThrgaMhzWjoIPqv45XSdfMufEQGuzTLlCw8RW/Fn0wh+K2iETrv3v1hd7UIx
fjr5ZK5B4j7hlLj6YlxkmNu5uyHfF4aeSdbyy6ATp+xQ+i0NCv+TkngxjkZgcHEcRGRO1nzU8mYF
WkrZ/cKlt1XcWKoMDzpcSQSeRzKRdmOkFOLKJLpLe9htgKzxQOJSemyj+pIMpzFt0bswr+MmGnL/
/V69nQZgTrLFRJisDYoTx52yZgkQNXCfG8r6zmMZ2oq60VOVpVEV/XQ3To3zuQqU7M/3m13fRlCh
OLAtzVFZi/xNfNariArCTahXbVjc4Iqt3JC/6W8QESAjFkSP77ckjuH/DRPFvWBZDuUPEQ1RAbBX
66wqiP9x+ypvoIzrP0jgN5kfdPasbtIq2so1qQUX0Ui7xCjKGPNzi2YdzNBLyrG45hE4oqWybp7r
I6aoA2vUqlMDIEhv/EBbim8gqdhuASGXm1lm6v0xq0cIwWlp/YbFQD7YmfWryYSHgNBoAsMQhcP8
i9ZQn/Qie55/V9JQebIE9dE1oAE3Qkds6c+FPm8nilCBY4NLjsIVeLzjiZLN3igMI5CulT7If8SA
d8ONIqXYO1GNpNZ+GKM4/QuHUPjeS41wJcDC2AUKbf3dYS1eunMUWsBAk+F3zAPt12BUkXV4f4qJ
wNaTTI2LRWRC6aA0QZLs+CvNxo5lZE6060QnKkd8rHMiJPOpPji7buh7noe1fD/ks9GDYYsst1EK
v1Wbys/0CtxDVuefKlRpJgxexvDrmOR4jLQA3iqjrr7A1bW9gPeji7VVElNI1JJxEyRtcTNWUguY
G9xvCOwg2cA6QMhEHaL8Ak5n9klNwrsQju60yXqrvsFc9KFTkabzTMSsN0o8q5wNer+gCDjayVUW
Gfa3QIZBFuHMe7UAwXRcnO9A0rLm471kNwC0x9lePGVEYmpJpp9VCx+65/HKYznvrF3Q1v0e7J76
UFP9pq5iSUq8WXCm+8uh3ASNqqil730Olx9rGmDKkLr3Su1kv+KhMtn3Wp5+jp1gsjYD+NWDEJRz
Z8YBRLHq3MJZnLbgZuudokzKgIGFpUAaHlGtdgc1CrZ5qzUws5zbKKD25pFk6C64atTRLRAtAV9s
ZX9OuRxdqo1TfTZgxfi9k0gqz9d8+WGbZbNtsWledkNqhzsJuMEPCjjj3zjNVYa7IIbQI0+mDuEO
y9SSzTGO2zkccNVuSkTUsk7LLwp+dMNx3pQMNCz+TdImiQQ3Y0RepjSmBUW0LHC1Tiqw9TPTbSiC
9/sRkAHBQ4NiB4YHdbfTutFp/UmzpisTEkMW8OSouzzfwAiFcPsrCiJVXb61ozQJAoPTcJSXP9U5
TzqtgU/V95V806UduiYQZHBxQMKlC9DCiAFPJGpWfpbBKu2TWdN6t2cOAkihsjMxXfCr8azDC4PU
GRkGDNzGUHZRXlWC26jGLqu8SGdrRDUOR6juymw7jRU1BjjDjG7PXYizWpQEtwNbxwzd2q7gHiga
4KRdkcWNswH4C+1jO8GQdPHmVhwwycjn6QjeBORT8c4cg92YWVm+bQOigh3KZvmCuKXBiVmoKcoC
eYS9I5IJc9jewcghE1GGsf231A9WLHtyiXhsrNu9fWPAQg4OhWZ1lpG4xdTWy3zRUrJuIMyGkUWO
rB0WlLWbtoh3aFvn84XctnnlGiokBBcvjznzG0pJksu0ql+lKl/w2tbMNPf4ryzdQtGUUGToiuJr
kudOvtcap8u2KWmKT0vfaRD8ofMol9EYtVYBwVeNMEVshqr4zGWsHUBXq+mur/iCLSLz4bK1lWlx
XHQhq/E6t9HwwGW0qBrUYZT+0KDalXlhoIW9Z/HuqDaxhXTupkCTafkN0N0x4XB28Fspqkc15iGx
fgGaODVdBFRqzYvLOPCWPkhB5o9N5VB1A17paqRKFsgQySJdYiSu75QqQMXAihyr2ipABVE+jpUx
3KaOHgHi4ec2igOFguWDlp07jTHEMziT0vcGzsAswZpM8bxUkPdEsMcedEl7wL9T7W/MyplL3Bfq
7troC66kEMgSvwGHK0aLEqhSfKOYXUSHGlzwtGtxK4wvQWF0D3qiGj+MKYCURSmLn+5RadK2rbnE
fDz5KjSJNOAnLvD0bUwJ8Fs2jkQWSZgMn1vDHP8CHKfBzhzDYGuDaYYnbuO7sTOykiJw0WDjA/9V
0+/bzlAelA6W42Y0qTO7HaWzSUieJ/FFA40YOr8VtuptjBv0YyHXYnEmGAX6VtZG7d00653tyvXI
3ERjwYeVoFeVS24w5xF8Eas755RsPIT0pnJPwTtQ75IGZY9PKHc6+n7Sk7G/7qZOBJ/RPN0ZqWRO
23LMaboslwWCopp3C+IUlui8+PSR84nvgtxyoxsFvehr8sWbKC3TxXXSga1TZWEa3xdUSCFu90QF
Ib/Gmap2RXRbK/oM30KrcOrbR2Aw+uscP6IWR+C+hqpMtkrbzmR5xaHBZnLpEQcIRE0RJ3dF/ogO
rXMgLxGjggmljXVBfvbHWMBD3OA7NX/SukluL0PC3OSyrHgtf7a5LXxh3HlTO2H9DcybWW9IQMbq
obRDp78E1AhvBrHhGoI16RC/UhlWIR8w/0yz1Lib+hZqWQ1AOf06mnnYXkDZzv9GV1ycIXGdRZ5A
dmrbGEWcdlcBHP0qyUG+y8cqhMKmc8zNzRh9ilFeuoQXmxieoTYq2d3M0LmOItV5bADPhttMxduN
rH2gOXtcQ5X6d86BPB9shSW1RW2DNZIYkDx30D6HLZfMWF8qTa+abuBkHeYS2MDIhN518r1xkDKS
ZsL0w+J0jfILaZ25RWROsQaUOzDq2k65IgRZsCcO9xXTMrpSil3kUg5Ddz3NFoTGoa1B0bUXeg6x
4mIZhdASnPh28assLctrPMP0K6mDNLgFQ5sPl6gIV5FrG20ePRCJtL9kNLRQW7LidtikUTtCVRsH
u+YWmOvPGSID8Z9KuWj2sFmIwOYvVadJDn8YIiRIX8LVOUhBNf4VhbI0IPjfmuk+JodxP7VSsPhN
D4lkGy89izRWMfy7m5CwNW5ysxJiAdUgm9e6QhranYlu2u2ItgGyYOiaClazlXN2tG22VSY8gL0h
QxTEXwCq8Kn6FFreHECEdIMKav5X6FvKQxI1rDVuOueRtZ63d4VTAGzvKcvixJijSbuZ+m8U8SmG
b9J0sL4YqAmM3oi+mo7cSwbUqA4AH3O5s6K3Vawxmzwc5ukq1lDJvrKaKtLuUMbIzD2IGjiv8TRJ
4XXaSNXo5S3SyXjg5n13nWW4KG8aqma7NrLTCOktWd7Ptc6+n00k1AAyRtb1U1T6oUzK/yVJcpRK
+aeUzP9fJuXnP+pikpH+5zzKQ/T7vzY/oh/5j/Z1IkXlN72kURC+tMj8wsMgX0E4/7+amJIt/8Fj
UVFlGDL/Eb98SaOo1h8qbxRe5w7YQjIwPGRe0iiq/Ad/jEKVwhKpFJXXwX/SPC+Jimet0tO6mKss
AFcR+EXSwTyVeTA71upBBDGjnTXFqHwnGkrX0EYDZo5ZnXk3rp7lL62QFrE1yhvqWrg1NPpe1yaN
Cn8QuANP802ANAXOEzrbppwL3Db16AxU8GTPdAUVJAYSvtMqv7GU0bLMYAX9nAIkBzHvcUmuWu/V
dJ9I/KxwykJ0kSMe9CAZDBzljTUboQ853PsAuzqwQnXoCckq05Mjp/RQ34C9HSowW4jP4/BqzuDG
blA2yg5aUcTGrlFqY1/L9YQnbJb/BTIN6vNYlL32OTE7Dam1ykK8PJpb6WqOCkm96xUjVHd9PM/J
JZBg+7oHhHtbYTBy0VJkfd7zbMXTi2MlyCk6x0vftpC7FOUiU189RMdycWAaDKWPgal+J6kqzFa9
iBAetiP1S2/2BPhjhTRH5wS7BI2BC12v8F5Uir7YoFc0nhntdTHl6YME9NFBi1jkrVZJP0S24eJa
dekvkm0edEWdvqGEwAWO78XjLDnZHY/X1A+Rq4EJihAJVCz98v0pf7uwQKPwONTgN/FEFxv6KNlT
6rjbFFbhW0E2fo3NNr/mlpvPpCpWmQoDIrYJG0eRRSmSgsOqp1IsF3I4hpkfV8NM4FlmB9mUbOrt
UnNmVN/sTg4fsqiQUNB9RfyVw+t1h3QDkGSLLLqv50UNIr6bvvL6QkLFLosv1KilX0rYDMlH9yet
WqICCXoasp622p8zpSRyEk7ohzBNUblLpuzQ8567eH+23oyjxVKBYsVwMm3QH487B35hqBWU/PyY
bNohirt0CxMgwSOltj/ao6emIGpYZN/hm62ygAhbEDwIrjJ80uQhCvTLFhz67fv9EavrVQKQDCB/
NFeJCfCFDWquDmzA9NmoJVXlx0R+mwYc+oXaTcNt3jjNdYZ01EePbos0PpBrgzItBLV1Lirm8nJM
JLp8uLl3qhZfLdgrer00bPNJ+mlMRXVm4b/ZXjRoigwj1xGcCH09ipyCS2HanNs2D/18TgKv0CLj
43NFK2SI4NuZMFVXw2j1hZrDvSELVKjOZkFRYasowTmu2sm+0B+FExQS1RM/4lVeGEFQRpScnE+C
KQCCOP414RVypivrSohYEkQKkGwUrjqL6u7xEg+6msyWxU3Hry/uqIwInylLR5yrPKIYjV4qJJYL
zLkiV836eFdDhOXFJ5tnzpFTvbXAphtiocjWOvmuFgPSugEzN1Zt5baZo+3gnZ5ViT6xo1EZZ2lQ
Tdep4K+6G9cpflAK3XUQgPEg/HRo4g5bNR8/z/nwENUVOU1N22hy6YdxvQ8q5fsUTgk2WgbCZ0pA
TiBszmyTk33nIGP8qdySIj+eA90IEQpT1Mqftf4BkUFpp+Nd8y8agfTIIc2q5W4WZ8Or5aQZLXT+
hkaqqit8SRoKFzZXeGY9nRpfWyduMLniVMUR2elXrYC9wIChBo6JyZZ80adV/JByqh2m1krOHM6r
RPfTyuUi5+3NkFFNWN08M5Mx9E2PCmfZSbxu7HxLTbzwKjWp3H5KEcXM63nbyHN1ppNvN40tywrn
p045hTrYG+CJGQaJXpWVb47t8I1CRnEoAFv6Vd9WnkZ0dtljAfwb1WzjGkeJ7JDpWuCagRGfmVQx
aUcHuk3h3UK4Gy6rTrC/GgOJtGFJhbD0Iav9LctSsq3mIdsGoDg3oN3SM5v0zWUvngwgjOi+UNZf
X/bg6MI2R5IXNF+epG5T1KG6wVwjvQEvOl6keQlFPB/0+cv799abDUK7DrEMwBsAoYp4Ib1eVWhA
gkgd+wJxC1u9ht8rFDZD48ztqIv612o0eV4oMO8pCQtBiONmJhMkDlZEuY8DD6BT20YEeM76i6DJ
pcu5qlGv6+Zxj2RZBA0NhJzVksHJc4IBEzPhbwzcvIezAc0lM0az8nQw/ttwLp0Hq9f/RBB/vgdw
El/xdhl8U22ZpLSu904y4oGH0tsBSleHVfjUe5Jk9PeoBQxbhB3TTZHhWoOea3QZyNhV2Doqd1qn
RS5cDjhxHWdSGvaBT3IyRRBpMXFQ4Vz78DSAMJdhi3Ay8GxZHSESIGNSQDPOV/NseLlMiF4nw7f3
G3kiia5mgVYswi3qbJTbVkfIqEpSNqcTAlgB5nlVfDuZZuHGsch3K0Ps4cx1F2nAWuRlmyimQaLf
RJ813OEzX2yUoroqp6bZoLJ/Lrp4c+Lw2pV5NguMnzhEV9FFH8RDSZ6H5a9O/R5V4cZbKs3ZqCp6
ggPyWhepyimgx0hzvj8ob47VVcurMTFqJyE7JBd+PuaUNAZDyCPNlofnQvlvJhnrHiJEip3Om5h3
WFQ08cfCR+LB2BYmfOzajIyPBmqiQ8DIyEVg6wFG4XirQT3TcPcTOxounq8hjeBpS/D4/qidODZw
7OC614V5hymvjg3UwOsYURTKWgq5wwXxxk1J7v3M3JxaFeQlAATKvLuoax93hcJNaAU4F/o5wcUu
sPUUXSLMymcU86/h+piHEbLthlScXvyLUURrFiwmlxHaIasNibF83GcYaflRocePeiYXaPSOxsX7
w3jikuG1CkBBJJTgT65iJnynZ9mw49xXhdFSkRXjDaci0lxhrLsNohg/3m/vxIAyYSRfaBAs2Zqm
qU7wlFUzyX1paCXf0HrylUKDGckiJLv6AozLYHHPFHNzZjxF4L46ekAekRlDsQCMiyMW1Kvoxcls
DB7LIUNiMG88o9U0d+mXxoOznXw2mdQt3m24KpHA35RVpZzBCZ5Yr0fNi1PgVfM9i6hC6CDzpZrc
cw5p2UXZaDoTvZyYTl0VmQG6SFbNWLWSToFaBa1BK4jQXExEnhcJiaYN9MV+Z2hNd+ZAeTuoHJYc
KLiKEC9pzuqtvkgTUXWJTmjJr3lFUv45cip8s+0EZfUeIc20RAVOiqzSpV5g7z+6mBTAzkSjOFCR
0rFXixfFPHmAzlb5SZ3eckY7nt5b0i0gVJyAKwAKLDL5xsrCM6fCEzT3eC2hg0BKj8iFmwzE4vFk
Qj8YwxhDT7+u4669TnOU3N0y0S3pcspq7bfK9PICwYSqvZ/Q1rzmGWC07kjhudxi++V8xVMMLXv8
G5CpnRvzW9MCJfHwYpJ+jAjUJrDv56nZdIndIODYd2RBrWXuPskw2GO36nueLWoYAEmYxgH5PdVO
2sfC6Pq9lobl9z60sOSp7KqqNlBo7FveOZ5aS6b9TQttG3Pecoy+p6iw/35/St4uc5B9BM4ki3js
aWsczdjlmEgOSeVbjiR/a7mxYeNgK/d+K29jVaRe4DuDguXs5zg5Hv9iWODf1F3pSyQ4gnC6UrDO
3QRa8WDPSIurre2cOT3eJhgBaYvcIu1plsF5edwkRgmUVJq48IHI9nsT85MDgKbJY3+EB2ztkk2Q
jgUVtAoXj6bBV7MFbXhmu73tt/gIrm+CFPFGWS34fGrLVAW2AL5CROeowNaHHhX9vTKFKEFi86ZQ
TbeXX+8P96nOcwEKdzWObAGsPu68iQJFuBgI5HVU9gGll/INV7/k6VaTeKjMdDdxlNjfg85Ctrds
i11Cdd9//yPeHjUq6DbEo1SHm5gqx/E34GncgKZZuDkKrXrINCveh3HXoaIotD/DCC14cvnJJTY4
4w4TROtM+6cH4dUHrFYAWjT5UANR9iHNl/d1tyT3k44oYTyMkpcYRnUZmrK1k1Itcwcd34YYosGZ
Zfh2ex0PghikV7cIysyyFcxa7tdx/4N6of0Jv4L2zB19qhEFcP5Tdo9/rg51sAE6sC1ZrDItumsH
XYZvlGtnIo/TrdgitmFGWVjHXYnCdASFQnxjBbrsdUqu3mGGa5/ZMYrBH3N8VKO9AiYZ2JwMZm59
VGiD0za6XRNG4SuyyfUx+jy1c+dRRZCuOyMu3Lqfhrsi4DlfFNlCaDelv209g2YySeYNnjfpRTj3
qadj4PbhoOD441Zj0JtRiRRjy3Ta5eJjpzLfY3Xae+/vnJNDAIVLhlZLXmOtHxNFo1b3CkMA7R9/
KYxsr5Y6jbew+s+8st+GH/TH1Cm/GBS/OKGP5zSomjBFYCH35yVWXKTLMQu3HLBPcfO9s4pzb4Bz
za2OJVxEQ7gJJc3JAuWGp5hnNiHy/Zqd7J1Aks4M5Mn2qPDo6KERQa75CfgDjDW+GbkvD0H4BZaL
4kutUGitrY6sNOZb70/c6fYQyKHWSwJ3jWQfg9y00SrM/aDopSsQm9Y2nfXKdex29tVgHD7eHswZ
asgaURVFtNXpUhStHI0zpSU0ZBfXNPtoaxvlj0VZ2ksL3+Hd+91bqQCJygHVHXDmGPqh7Wqs9c2k
sFTToJRSn7tu2JhJ+ndX2W7YdbsyLG7RYkLbdiF4jdOrRKoPaHN6qCh7DfgKqQyvSmp9GMVhq2pi
CldWOy0rfUIxL8rk6MzUn7h5SSuzcBxoaRQfxB57dfAOAbWHAT9RX88seQMMeKOh+qSZlWvPneMh
eOecmQyx91cHF5UO7ltYRWzc9cEFy1CJOsdMfcCso69ZgF3sLgaH1CbXoVmYh9BaZFInZnvmyDxx
MFPyo/gG51DoNYpff93VsFwKhHJSf0YBxJMq/C/aMurO3GQrDcanyUezh0hKbCaL/3HcjGTJywiQ
NfW7tLDdjILWziqi9nbqHOsCXd74oAbW8iMDtOhBc5dv5AE7DkjZqVfpg30TZ41xpucnDkqIXBxe
IiFJtlHsx1c9B4RTBPmSpD7YWXmvFYjn6nIM/jKzzxU5TzbFSQL+wwQjuV76CG7ZJHfpfdrpsQ9i
mIdv2OX7LnW+vr/LTkwn5xXlVIJXkfpZxU25WsNLae2Et0oAKlDDGKxL7eTM0J04qgzFoALBo97m
lb0eOgwDZgwzEnggrBx7UJzPfTLIHoZji4+KYfTwfq9OjJ8DRdEy2Y0sIHl1VFFXH3gPaonvhIp+
oAAy7ay4ARjXF6X3L5qiZ9Q9YDBRezxeFb1U5pNAkvlRPsChKKNms8Bj3Jt9op+5P59W2GrTO0i8
PROXELlbT1arlH0/OJhJ68r44NR4tiOAWPpGNTRoZeftRSM38sVSzFAQalO/XiTsJ2CHjpeaHQX3
WFHr25mM2C/NCg1o/5PxuwE17hVTE3vygAcHQuKUwLDSvMQxxnTnIhhu00UNcPubHLedm+yjsAgU
by1oXTyZqbabtpjKV7uql820bhf6NFHsAKdemRv4CemZ4/LtAU3O0ebAVKiUqLCRj1vBNaeNUbGL
EbNdhl1poCM/GHbvg2stfWxegl3NmXTmBnu7CrkUuJ1FryiMWasARJujDrlKBI/ItqS7GFrtFmHv
v2LLGs6s9xOvD1498O2e6/tYKRz3b5KSCD8oLfL7ppT8sbeBTGudeuixYAPEqKJbWNbdrQG31htH
R3XN8KP8TO5r6jMAwijCQEN5Az3BoK6FR5THfgPkaGeUGX6Sk1GemUnl7YlFM4IByomi8TRYdbXv
JfASjhP5oC+FvH0oIemYyIEnvC4o1gbaBeKf3VWVl8U+ChoEnZziexhUxtUyDtoGm+bmUoMO5b9/
ELxFPdF/ppnUg0Hamf9zPAcKtRcNTqSYAynYI6mBc9ME/NfIFxXp+wLKoTp02zzBISVTUc5fKvhy
SxMv4P5BSL3/OacWH0k3m8tTcL7WqRYDM1a9hkgInt00vgXzLO8GW1W9CH+JM8IAb2MRZp3+ko8m
XnuzhY2W6xlscerLLG8ypi2sDgR/N3OI5ZJZ6KhwhlOxIQFyLtV2at0Dz0Gq2ZKBBZHbPB5zte/i
AUp66quJI22nSU02QiOTvMswXnRLdaXP0nVgBHBVhNmZHWnN5w+PM28awU3lFiU0Xp1f1tj3faSG
MIyKutxq1OguNGy73Qb5gjNXzYlDDJ1PG2iiSlGD4sZxZ7U4icz56VZT1fYgQY465EOBdYttp9vW
GND37c7qJp/YbmhlqKBJkU0m2lxdpZaJL02ScpXOSIK6DdrWHkXKs/HeieWqovhqk8NB1hoq8Kpv
RW0XS60nPvw7SA+JfTvntrx38ApxKyXFaCyputGTA4VAHve5vdlq2G3EerspgrCm8GlLV5QOLpVK
qR4/PsXQzakMUGoH+bOKXiItzJCKWRJ/yeYbZIzrK8SbKnQyS/0ch49eHl/woNuMpxI06FDZEpPx
6jLUU6WrzCxPfEynQfabeW5DCOjb6MzhIL74TTtUWCzbeAK5rhYtwZi0KPAdfFubFZwgzHCjx+3v
RJVvObfOKfqfWrei0qeA2eNmWNdWugZbcQMskc8LMtgtrU7MHGP8Mus5ghFWmHl4lOhn7olTCwqg
Ak8UoKgGjIfjoRRKefWIwaaf4xO7wzgm3JkO0a02aOfqpk916fVw8iaQiTm5mt4IxstOrGAhFrBA
8OKDarWBIXpDAHoVGOp2iKyLxKj3bUpuNFA22mB9EqKiU9kia916RUjWfWxu9GD6YlXDxftr99St
hKUAyS2uHsHZXm0sy0rx1giNxM9IfaJErluuiSgF+k/x6Jl5auzGpKluFkMt93QRj8NgGXwLOUbg
NOG5HMKJdx35PJ5RoJ0IlikEHE9LjergkDbspWSYq20sm8rlhF5o1lfpXdiOn8bEkD3Q4BQGgK26
yFxOB7SVmq1Wd+0uSimMvT9AosE3c4dEBy9agSt6EjJ/teUKcB9ojnPwJJWl74F7OBhZyzg4F7K6
r3KM1JfIMb+WajRczEv1QVELETQxKSQOUBDSBaroeDwGyyphvzM9zljxmFdqmIcAuc7EJic7aZGh
AAGNfIuqHbcSlAXRrzTTCmUTNyLj+SjbEPLJRhubjG3vzjZEoGTU8xtMZ7QzY/zUizeDzDNTqAfg
zbk+3ackDyWnHHhlZrgm69F9P+CnVpv7UUmFbv221mARMMFm79xqBSeQUye35AQfmrHyFyXYVTL2
i60CHwmoBX5MSNYdOj29bMGk6EXys0urKyscrgAuurWc3mML8bcxV1cFjNsK+3DDCB/CEqMvObxB
DdMFI+OCmnHQ+038yUmF0dLdNKVfkaj6KaJWSFE7HscHILs7nnLXms3+mLt9KgW+jFNWDSBnLMQL
yd6naFSPmnGRIMRZxcHlFDoHE7jS2PW7Plf3uaTcwfPay3P4U0pH2JdIY/XRrZpCwKcxDsHM4+52
EaH9E0HSi8E2/GAq9oHSp3hy1XuprT+/v+5Pno+IAoiyM9DLtaCRpeEyNI5sxKigHhprk7zLO3yX
8ElzHt5v6lQIweMLtBppPI2SwfHqm2Jn6Z1U3J+SYvuRIzy7MOvz/k0reKhA2uAwXmsM1KmTgEKT
E78I8aUfWUlYfKrlv7ihHdTJUbSgBgAU7rgv9aRlamaOia/3ygLzVU48jGCz/ft9OTE5bEREK5/d
HdbiT9VkpBnCE4kv9AhAGiEeb+PIssMu6vf7LZ2IBGiJCj0lHQQi1vg6Y2h0XDg5GWbTXq4GKdVd
OS3tvYaIlpfgw3HmrXBiLRDfaTxVgZGhVy96/uq4RRyIKrRKzzKy8JdINic3sxmcwzafboVzkmy1
qMyuzjuSCH0uE0X6ed/kmyw3TByOuXPfH7uTrZgy5aOnwH+9Fiyi1DETY1eYc31pxs7g8d7Lz2R9
Tq4F8o5wvUDgQAY7HjFu7EXVoj7x+0QJdzg7zt4YFtXWsKpw+36HnpJVq3MamJuFag/DBtJvPW6D
HI9IkkZ+gtISnKI6xgbXhos5XjRKFd32+KUvEFettNkBDetQIiBJPB4wpsSzs4mC5dKSZB39OZze
Y4+bNf3aRGr9kC7OLyNYlq00dcbjFJs1pHRLAqxXzE52rcwAHKBfWoN+6I1KxWnLRM8hlMde2sDI
HUZ/wkmbWN9S5tDVedn9tECj7tLYgXomh7pTHNjxtXIfqA3GngN6B/ghokPnZk0+dn5tDL21iSFb
ocCgDKafleCL3aAp1W8y73Z8Vks93+fKoFLO1IyfgsA6YedKRaGwyvy2qeedWqiKhTOeYI+W1NPu
Rhs4BsBDNftedcKiEMvE6cIMFz61cwzk7Fs7N//MKln+1CEKAn2065qvaF22fy0LFVo36qPK8biz
0z/ZMnt+Z9FvDIi+W03OjH4jLLI711EH85uW/g9n57ElJxKt6xc6rIU3UyDJLKdSlWxrwlKrW7jA
e57+fGjdgZLiJFc90aRbigQidmzzm1R7bSiDDFBQY5Z5xWCOMWIpVjbhsWmWLw3oz0ufK1Xqt0uv
PPLO+uW+qdLoU53Z9d1Mu/c9bs7NqZ/jkln8oj7Vo9IHsjHnFydBr8CLEnVCAbVS6GZaZr180drJ
ZrgQSnF+ELF36oJ1eEWvhBEvLZ3NzpawWERG3UjOuUFruHLsf3sNYRW7Sd/LTdXfly1Gr7d3+N6R
JfFeTc1AODKmuz5M0O0L6kp66laXSz6c4OUUJ2Z80NPcC6qcIhlTK5RvaApcr9JHHe+T6fF5pNYj
l1GN4bxUxhRgyTs/LaNSB7cfay9G0EJ1QDpBckPr/3pBWR5llHB5LLQ8FKQE2H5YGmTnMbc/3V5p
75vZNkhAoBZ8uVUu7Pf4jbvvQrNqSs6JmXaBFGn2q1TMtNfzeTzXVHp/C3MJD+LS3vuEDAOshh7w
qtJ0vajo1QGfFdDO6H6q9+zP4U7DjeuMSsIP5mvywSbZeZs0iTGQAagEvXXredeEvaUUZksVXsU5
SgVG6VdV8s8C/ejgwfaqM5ZiyENnGrDDdmZsq0vTYhjARW83+cdQcJnIdqP4NVAaL9FrtFyBAeCe
lELXDiPzoVGr9hQtJJ/RIB+xUXY+7tWvWV/Mb5eznae1hbEeCfE0ekNZYgmS67mPlQFI4EzK7xw8
Hg4u0d2XjSkHTWNAwSSI12t2HXHSajj/bS+ck27EFbI5eKUuVqkdxJudbaQzuUZlDgoQg1r1einC
fmRzu5HyLpm4AEOXgyhNUWWu9fYkI0F9cCp3yCIozP224OY6Rcuon1QAwmdrAacXofof6BHSB1oT
1r5RtAMamqF0h9VNEajVqCFyYzknaHMHSdd6KDfXOg1zABe0lOiv2ZtDO+J3Z2YKhc5K7vCHpqto
ShffVDHJp9RBdwbl5vosN5l0Uav+6Dj9koTbLk+nHvsH5qaQgzY5M7CnqUgtlZiBkTZDp/JUOrY3
ZvVjZ/b/ohJ30uckMLPmM+IvKH1ojyRwHtvBl7rqr0kpv1pqeIcczrMlD94k+o9qj6707cC2czPo
0AcZrq1dSPBA15tjgBoV1euEaDRbTOqwLDllOEEf7PadVRxDWSf3ClgxqJHXq2RA3uVCipiRzPaI
HZtantFxVw6eZWfjrTxjwjNSfNi7b4kUstDgrCeUzbinJaRxTo5yUpdd8mUK75gHW4+OlFavZSHC
E5JhxknF3fWct8nP2y/17YmjlwmtBny6oTIZ2Rxu3GHQyQ9rmn6xWj5mRoswiqSpZ0rC8ntda9ZB
t+tovfW//xbA5F6NGhmMR2DNeETrWLz5KMVjQRvPq3Z0Ux8w3X8Rx6+3ts7cQQYzTkOe1sYmpKiY
NtcMVPQAVlT8WmnxYqBRkEGCDu0OJe4FoG3/rq2G6iM4jYRedmuUH5Ow1TpXK8NeC2rFKlIXH2k0
yayy0B66uLVnfwFT2fpVZI72KR5SkCTL3FrYMmtGLrtDFiqvYcVxcUWL2a3noBikPqKLVqOw3vYp
Mj99I7d+20/a994xys5t86KJXRks8j9OkY3fITjnXxMLd2ZXAU+BHK2eNoPfLe1y18SIeAdpu9By
L9BkExhOU/aieSctAVJb8qvDRAYRX1F39j2mdll+CY2ydryEV/U4JJ3o/chEQtywJGNxFaEbFVqR
zjJ4Rh2VwrcNrYKyhhFM5k90p16mzOqTEx7gXzJDaquTHIYT3j2hJH+dw0F/meykXuUYp0k8MDKb
0AUr/dEaWiUQmikjgOUsJmigIZ+e+PXp49Dkje5lc5GFXtbL2hHadgc7SMq6Yk5Xq0OwSpvorkoi
BZdnOSgYoB+n9ZrkoveN/F2HnqiHJzP2zuU8Y9Sgh67SZhY6QjiG9n2SPNt1iOi5Iy2RX7R9jejD
ERrtV4N7szUBWzAXw2jrV/fl+iykU6N2SW07QWu1s1sjmwa6sXS1wvDL2MLeKLdf4TfqDMxGFPWZ
1xlVzxPo4BdezRnEctg+VFbxgZ15+uOwAKmZaRLyGmu5uUbJ346pVdWzEnIXBVYXP46LZs1uI8kv
RVLqXxSJ43t7uTfXH7kqTS4FjXRHpTm0uf6irk7juF6SM4rao8eOsr0lTocnW6cROKUR2ImwPSWZ
8tdULd1B0vEmp1oX5xGZszC3foOaW6Zc64cYiy84/XjIatF7cyw+K1mWu1Vf/TT04f3tp91dkLEv
qbLBlHxrnofwmV2P1cBFNlThWWRF98FEpc93Zvqsem2Ybm93f9xwAdTPcJBbnpdMhr6Jg4UENy4e
eEq5N8lgRuF4CDYd7ek34X1dhRyGu0Rbxa034d3JJngDEY9WR0p1FxkybVtJxCdsjvrTGGbZwW29
zkaujtC6Ho0qmtY06ZUt6bWYGFmKuF7rOAtrd1i/NJXsp9AsZpfBr4XUY2WsY4ujqc2bNGGz8Ca0
1EOE2plFwZPmiezmSzQE4dAeIX93Xic3M2k32H3AX1uM3WTq7aAmM4CFsujP0pJZQYec98mU5+kp
Mw6Zf2/TEsjKOutxGFdcwhYGJkWRpKZhHZ/DSlUvZi+01wq3i3vsHcNzayfVHYZG4jwPRvigRFbp
hwka7Sm6mB9vn5Gd94thrk7eC2ODufYmDcNWDGX6IopJiOcfhaFF7xJk9u9uL6LubJ+rVTaHAtEi
o5FsGMNh3CQubJgUX+D2X7o0sHO4PlzmMHcOUnZpxECCFp+PVGHqWUw0McdNvbizmxOzNN0fM/kU
miuFao5Pc8LEAXE4d5IR62zT913O0ATAo5vUVuMCf3igqWKe2q5rDw7E3o4BerDOEkF6cAavA3fd
V0NoqVl8bltJd0dKmFOGnRGwtMFHavuIlPe2PGbDoK+CliXkWxhD63f87aJATlRKl86KzvFQ/2Ml
QvXTWdfeZ1DO/Tw0Xg1tzk5gxuJHAnBH5ygUwWzCsxo0448xvutvsYGug4QgxBmbHkuh2V0J0z86
O5WWniRtjFAJahcvVEfaH8LUA1ssRw2CnS20+jujObCC12DXXL8AKsYoR2syPidt91JEqfrRifr8
A1YU6Udk6mqv6GkOu6KywqPdu3OPsDQtF84pEyJjs3tp/izKnCRoMlvlQ6TgNp+FYQ2KRzDHtmgh
dlivFGL6Olk9cSp8EZZ1p5n1D/oZ/9QGSddYD/Teh59mnDHOFaR70vCdqcclcmzZb5v+CQoFasF1
/R0L6/bU50V3iirJu30Odw47BGCq3xVnuM4/r99h35emMTu8w6lQu8CxUAd2FIQa/sMqFI98J0AV
1rZNT5MzSWAXROeRMtJnR2P0Ocz2wQHc/Shg3gxGJxR4W/V1BDkzBoioHwGGWTzkCGQ/zoRyl5s8
WocDrLt20A62wu4LhLexqkysFgybU5/JSe4MlhadW935UXeKcjKiJD/ICd92CUikOeXgX2gKr7PC
689UNqGe2kAOUHpIq2e9NhW3VRb5FBVxHxSRJny6KdkJ+J/0SarqzqsbIZ/AbiYfAKeN3jggLYnQ
qfE8LJ3uMw1UyGEba3lIqwLT0KznT0kcitTtvh3QDAgW0MWm/Xr9u5HCTkKUWfkkvTO6porEkTnE
P//D7qLvuvbJ18i7OYyYioaNXbOIbLbdWUtzbM+aovL/fBWyZBgXwBJoxW1WQZg4w59y5EMvCFQU
s9WgoUxWcHuVt4UTX3qFyqxiP1Amtxlq3qPaG1odkTSS08/1uOh3Qma6hG4uEjz0aHzwYVAnRlDN
SzW9oONigRAASpmBhL+M0zy4ZdaAZimK+qCDsJej0LTHO5y8AEPtbc6nRgzqI9jnAXdJ/x00meZG
EL88OV+wxDXalEKauwWSgY4Zj4Bq2GOtmVbt0VtaX/Ym+WR+AAkQiSYGmdsuNKrxSdFjIh7Meek8
48P8WEeSfVnkXA+MVMufi2pcBarDnwyl8p+hHpEALMP0Uhml8nL7k+3sceT8yOyZmCC3s+UjRE47
Nq1dSkEl5tpHYEtx4xBqzZ+usuInybaBUK2ij5vLri0VGBYLyk+mUCdX7tLmLhaIzt9e5W0IZZVV
YJcIynnaMgt1eTazQlkwmAM+5jfVPF8SlPk8VU2miwq+xJMLdTpYlBbfm8/JsqvBBNp8KAdtFVRa
zI0aY+rCQPSISSXKIwrz1Q9mQbZ8kvVsPFfgkh23cspG8/q8Fa9GaOFP1+TGpLijvHAJV5b8CtBu
fgEnJnEJy/jROs6HaNCzb1MJEu7kALJlCrSoOWbPmvqj1sx58Sqrn01vGRL5Wy+UfPJr3UbiGsvH
HGnnZsJdxGFgK7wwzNTeF9qSfkxxGQxhNSbO7CZ5HEaupYEZ9DEadiYf+yJ8ksPBkNAGl9QmBfsi
oqdh7pLHJu/Dv6ZRiteGT/U9iXr89bIUIqOrgpV9GfpK/6SMU/6z6NTi7xTVY5T5I9kYGUsaA9vZ
SagLpOTvTO+cd1jD1aaPJDNLhbS5J3a5OZGBWWMFZAXdWp4si3+kds0JKLM2+S6NjpKjizwlXyK1
7D+bywzzHfLHZ6SDq8VtNPbAOY3V4jyoXQ9CCFzrj0lX+mczKZDQhZHTXGZFt15yhTkvqCNVelQa
PQlPGuCdS9zjXu+qkiy+xZI9fikqvX0RurK4Ne7qLzbTIxzW88eszyUE1exeLgAMVTRcijH8aA61
8UB0sT4KeqMvdZriF0C7qPWbwpkfSsbezqXDJlx3M+TQJL+x20r+u7Kyznb10UkSj5rIaJDTzCgV
0GtD8z1HvX4M4HlH35RiGWq/V5T+XTrE2XxujErSvf8RXYq4Tq2CI8HFBS52pTsvmEQX7wa5MD4J
VEpyF/XN8P1UO91rBP4KKXc7Az2t5JJNg0jOok+2MKUXLJzzz7fP5Xq6r+MdCCHI44zDEId5Qx+I
GseawiwNg6hFGjSMEWjoS0U9W6356c9XArmzMlDRwKCyv76xySxqFT9zuuOIjTxUbfwTR/T6ney0
yUHqufdMAMRUTI+Ab5BNX69U4ksZD1PMSpQGQR3lzcNShYbX9tLX28/0FgkPvBZlMhRviJ1MZzdL
ZXZl2xIbNKiiFpkmbck/YobRnIgN2oWLZPZjHfd1GYCxH0cDPMksPwqtv55n8w35EfwAmRyYUY95
/bxjpQGlG0MnyCNzCcRk5q4xOVNQ6sUnde4fIEo3rhnao2eE7fcitWlu9E750Ejdv5HzLZXGh64L
/0ps88GMNfNnXy3RpU216uCW3/kuNJLgFlLJyoTkzcuaamvR8ZsJg05qh3MT2/+INu9P8KPDP07Y
+SzmCtOCGcLobZM721EIcEsTYRAaZukPucG4r7csn0Y2/hqNwBNFBwny5/uO4c+qVrXqaYFXu/4O
UZhgltOvrWkrkr8OuAW4kZqOF/5f8z+8SlhO9I84uEg+bw4TLsi6Excs5WSx7PZJFrsAhnDxU7rl
4Kl29zhZKfvbhmMD+fT6sRwj60e0PJxgaEZgMmWYWydHMtpTu6gOavjGcDdy+Z4kQxl8vD6Ku5pM
4uAqX9/ddo8joUONh/atSuvs+keYURLNdCqcYEkVEdA0ZEAeT3aQLAys0cRtPtYT1YnAKOTg+XdX
ZqyC3BMBhb17vbIh53GKRzxmPpC7T0XRYN0a1/a9NCCtmiVj9Gku0+akZoZ68JHf5n8A6TD9gnNI
T1nZ5n92hJxKE8HB7UG5n+aqUphvOEdqU3unEjssUjPDYjdtUcJjzZgmKSYnKKQw8dvUDL/D9noE
XWcdDMR3n4cqBMQMTZU3AtU6SVAtMtUJ9MSs3zE1xA44SY7ARuv3eLNTVldELhmFVuP6K37rXmGR
kTskHKxSIOU0NFobaMoknuQqbZ4KOq8HsWaNWtv11FW3HGQOvbk3LPQmjSdQRk4gFXH97MyI3kRV
V53KcsiJMoPqD9gCuVqrxc9FMx7N+XcS67VPR53AXlGNLcogMRYRyznLh5o13lnx5LxXU0tyexVZ
FuZdkMHkZPpy+97bOxO/LbqVmBorJQTpxqItU8kfrRmmDxo2DQE8vPxldvQGTnOj+5Jlfry98O7T
0gkFlwk1iKr8+uN2GN9hpDHwcZmfIRqCyZKtCXGRuxp75y4uPyDB9eP2mjsdZVowmJT/ksKkkthE
gN400hApJ06IEn8vBfUL5Xn8z6Cbktdr8xAglLI07lDoamClUXHfoNnrRhJ2R2FnEKPnvAXTKM0M
T6wvhtTU71ujM9+pCwIFOVskgKxrXmrdAf/DfDhgfK/eCZprwDLRVkUOruCvav2Ppsij19tPt7t9
V20B8JXAc7aIdD2dyrgceaNGIWWtK4O3euhbh0Qep4QfiUBHNVOi+EG2Is1VnLA5klvZiT90d7lc
8AIkgdny6+Jmsai2uF66sumeZDkRT8lk90+NhfPYohXlk2wM+aPdWY7bIl3v1nE9vpeo43xMPWQs
mCxxl/eTfRmRFnPnfghPIodFnc214Q0yiMpusccHVVpkd0RyK0S884LKFjqSS46zoVBwQOw6+ZNh
D5PbVq3lO4j8neSojX1ZBY0y8Vs8c8G6B4lBVNMUjdHylCxMuE+9xhBFR+GLAaoed/XZzpfiSUf1
/6uiRNnd7a+1E0JRPkTuF9gDja9tEi33WHvLDXvK6PLhqbIH5yQnsXYQ0naO9yr1zoQKxWvmmZsN
H+dGEqp2TUJpSNYpyifETiv8JSO8c91kzoSP61AelFwmwe3n28tlV9wKYpVEbwqTTfQuE2UYB4Pb
FkxufofJSj08QFTH0MY2JzlEhbOavwkjVe6qiAOhxhm6bGKyTjDBptkD96H/VSRN/6GrcEHA/E+S
H205LgtUptsWCWYcoe7ixcI86PYv3zlH/HCYTMQlsvDtoCKbM1sS0vrOCkW7SJHoPEudKuDZdekv
qt77pqEhN0dBEUhOfwQi3DtFGohe7ru1y7fFokZgPXChL0nSciC2sxrqble14mIo4UEI3tuCALZo
FRGAAPNq1yE4we0bGTweVEnwwUswEfIiOfp/XsD/t5vF+s9srlWyhPVSg0yoYch9vcyU5EneLg0Z
XjOOSaC0id1gVNgiwDeRqgkvGdLhQ9s00UvrGMv9GIpEXBJJJIw/wHZSA5Vzl7nd5CQfbn/qX8jX
N7/NQboDogiqjltd2tKxpDS0hBOMnenXkvNtSkEayn1+KiLjUpXZw1CKd05IjyTSX/NR/jsblqdq
zu+jpsKQazyNVeIZcvFhoDFedRouuNNFUsqTipSx5ECrj9gwvTb4cHgaV0Va5uCI71ykNP1W2ABk
TfpxmwIiEWafQXGwAwokkK49+JS86nWv1Y1HBXdb31qBoQfvbe+bMtgHr0CtTCK/iStiljPsJk07
mK2+/RgmqfHsAJsoaHpPGY9bd45L9d78DXFd/Qriemzctne+Sw0tKbcekvl5hmz+IwTb2Pj6ND2l
dOdzNzaS9C9VUhC4nFFK/YIhWBe7TYmGqjeHofo1C1PliM27d+ANuLzwO0lGaC5uNmiPhn1czHbQ
Od+FyJcHpG9zjNdAlNmYy/mNnJluXDfZSYtgPtx+lTsz2lWbyQCuA6IWQvEawn/LckWohFYFnyRI
mQe7VorDWNiepbT5KEc2o2+lCKRefCgc5TU2pZ86VBk1aY+keHd3kcXoiPro1/V9/SsU5JCjDDBa
sETOO2WM1/79wn2JcdfJCevOtcJ/bz/4XvQBbU85tGaBwJmuVxx7gdYTdXFQKSMaRLlteWVMCLq9
yi/kzPaEE+HwYIBeDJN5ffDfXm+ZyCi59FxvXTR/g7RrB0XeQEwBIO6rGYZeVcYwvGKgcjdlRXMB
cdx7jhIbn+xwgryaWPrZVKL6jHEng9ukGC+MsuPHGcXGB8QItUBUtG8nMxbvUHX/84HlKqq+YoJW
kAneQtc/v100qWgrzQ7qQc0eGPGpgayOrRtHanN2llR6iiRpOggpu5+GHBnGMwwzEC7Xi9IPX1Bm
WeyAzkxKB7M2AVvWxkGGsHfsaFTClmJcSZW3uRfMpakaLRztQCh2GcBaMmmLjk5QL2X6yTCS9hGv
SechLwb7QyNqcbD8XjeEJsgqMIMywUoevn5KXDuxSpVYP5tTpFZIx8gls+SuBBnhdWHsfLBEMpIF
jPjqWhndc7NXD37E7pteYV8g+bgdt8NPqUqAXg10P+xYV3BOtfRLh+SGf/sQ3F7FkTdHzQCvONE5
twNJa9rHvi1QDHCk7r88C3g5BYAZsH178z7p2uBRmrZsVaXHaqBXLD+yEXH5D88ClgW9I1JaoGzX
X00YmZbr/cDexBKbgGx+KFBDPAjKe1sTEB58QXhOqwb69SJ4dnZIBhMNp7hQn4W9JO8Wh0RMmu30
ogkLzZAJE3boV+rJAW128Ix7dSqzLn4BCn5wS7cs/9DSslJHbZmjEVvoTKXNAs876zE3qG37W2c6
6Vddy6bSxVRJxrJQNqSMcW5U6/dUnJnjYt1TRbjsFOHPfqDn5jpSOdg+QCOLWUdhoDyqzDxHVJcK
anuNA9PXTHUxeFltVc8LPnGRp/X86UpZvU5SLCd/JXxGr5oj2m+3P+pemUKuzdyYHAxk/+YOBJUR
V0MtyGFK6OFA3A2yB24FKJrjJaWmPnVab3hYls4fbq+8d++tJGEmisQgGBbXXzpT1dpkoM4ttETx
+wY7CL82s69K03ywe/s1tpYjUKTJv7i9kH5fcbOBdWEDcJG5h9BS9hmj/BCWulxgfnnLuEgHZ/Kt
XsSqq7FiwJD1hde2JezVTZ/0Wc8tK0ap+Jo35VS7Fbrep7pFqyIm83hcWtRni1n6HJudszqxF/6k
2ZnX2/0/oOv/2CCQX8S1vrL7QEqAJ75+440j2b3EECSIUH27FIU+3P9/VB073/Vqlc0JXoa4iaI1
sM6IEpxRE9cDVAFNpopt+z6L5uQZz9iPt/fSTphFg80GwURTi7Jbu34y9u4oOWuY1cplpBBYZs9c
mxu3V3kr4MULREcHm5X14uQlXi9j4kuolEAVaS6pw4vROzH5Sl77U6zEpzZSbNxtuzmYcXT1W33W
7kut0L8zfxyeFSMU93EmSd7SA7u4/cN2giaFwIoKpXqWaSpe/y7UYvVuKFGoiRezcQmS7eo5SaXU
y4aXZznDM01SgsHQvthyM3y6vfpbERkHSaf1nSCRACN/a1mRU4gsDDPCgJJxaDwnjcanODSGykvg
byDRh7+hn9lt9KrUq3bKSuqP3USSrIelqw2cHsEMu3ZBgeJLTI1PmDGJOEjLRKxngdPlZrbQD372
TuSDTEttvJJCAUZu4o81qYaUjmvHyVHHp7nv8/taqvvPjoiRF8FX3LdofAVyG5oH3Jud3co4glkx
VHUgI9vZKq7CNM56RBHoHfX/KOnUe+mw2Afs+51VfkEgOenWqnxrXG8KJxXpYC62FSgzXq2uY1da
6xp6lbu3P//b8w7dFKDlytMjym3bybKwGq1sBysIW0f4spTFr3HapJ6hT9Z5ouxxcyfMXv940XXY
AroIKMwKirl+OLZjVWUK1iV6qLa1u9jO/L50lC+hqTaPZbUUPxprMg+Sg52QTtsQEubasEBXbDvm
wdMoof8UWwHi2dE9Ddf2dTboLdiRoqGtSr+0xu79XeOAOZkm03mHfEgVlCZDzNZmeq1b1Z8XDLTJ
OPr0Mleo6xYTFPd2GNmtZgbCCcVFy+r+jMNtfbr9ut/enKwCzxU9PnBd0OyuX3clsBHHu8wMcLwT
l4Z8wkdJxEdRb6JIKY9EZI+W22zdVnPajl1lBrCATK+Vq+bkDCB4ZasPfTUZ/jxL5/hT7DFR0xCi
/PXdf6tUEyE10iLNZjBpVXOeOmawopLGg+3zNuCwypqgE6Mxe9xOmZrW1LB0aM3ADNXM18J2ehm0
SAOCJ7EelsiPFogDb0mmI3Lh+r6uEx8ajWCxufVpCjPwvv58Iqoc7NUrMwABLXmzaJHD00V9l2TW
cDSKeLsUjwecgxcKcWjb2awE8jgkkEaQlKN6ByMvvJOnrE4Pgs7OE60CQNhkML0np9ukMvQM8gjS
lRGIWIoesiRVLwMwoqCsrfIgWu8sBauWQc2KZISFtblc9T5GbKKI4XUnUol03lJ7OI84flUuR62g
3aVWYbvVqwx41uY7xW2ctM3o6EFhJGUgjUjgRqM6nhV4hAebcSdq4wlmyrherICALRybQVrTxYuu
B7hgw7PNQsQf48h4Jy9J9kVpFPlMy245+Go7kwleI6dAh1ENCWpLmZcViibcqTV0bCmC6xFpu6my
/VBY+v0gsgYdzEF/HSP1R+poyYdMA0aIF0wSTIvjnOPMUO4XtER8U+hdENmZCKq2kd0OMaNHKxw/
3456O+/oV5OMfBn3OITOro8NFUlIEbgwa8h1m2BHbAg8HSTapcnD+HJ7sZ2YR93J+Jl3s+Kk173x
WwxiRufYyD/pAa7o2gOph3GWZmlA5xADlFnKxz9G/ZNmAe+h2kWaE4Tl9XqjqEaOMIjccAG22Siw
nHM7Tw6eamdH/2IrYei8ylJsD4+VDmldiYRVzFl/NR0xnyKxdMj9E85vv8D1B2+CHIUsBHWGR0DA
tzBVHMlFoaUWXcG5UZ5Dp40QJUiOUu0dsD/iWURxRLgZZjPSvn5vdW5NBpKtaoBZsXQvOXb42mZR
xVQKHZPMTXSpPNl1Nd3hPjb9m5fNHBSTPt016EM8M6IxHhyTcaiR1OWC6I4Q6FMoGd4rSez2Vry0
HqBI870h4jn40xfEcJh25trz5fBZm0DWaXXZmZWtBplBk11U4Q/bbqL/ssgq5YIYKD522xmaUi95
j4iyGuDnPQCRK9tvZlQXH28/ytvDgk0yZR7aUjSJmLtffwQ9j7IUMQJayyjsucxhYm/pOsoEYBSo
RCdHzn87Jc71gur1gtIIyTudTAuxC6m7n0VT0ruM83/HMkvu48cYrp/SDx7lmYXUS08llkxxgCzU
+FeO0xVscMt5bduyPlkJPU5qyOLcVgjs3X4vb48bPxMc+to+ZqCyHfhpyVID2rOsYE6y2qt7EsFq
lHsXLIB28KF36AashXYATVziFVfJ9SvBt8gBw4X9dhIhhQj1rPGVslQ8qU6nICwqOuXId9/JVdn6
KDXN/pDpkmcWdXEQY94efH4I5gZrJ5eCbkvt0x0qNBgfVoAj2XAZQ7Tltdk5ah7tNK1ZBiYB4wAI
M28wSlGxiDZkfM3UIYLuD1npEoVx79Z2TXVlVKi/zEg2ClzIHirQ0ChEKsrB99171NWEcp03gqPb
4rLKNKbsYeYfxJGl47kal54m9/ofR1IS/RVkDHyB0mI7YpQrWylXQ6Yg6UbLD+dxvqSFVZxu79U1
RbuO16wCiRcJoVXwY7t/5L6ZYNGoK6XNAgRoK9NFWax/x9ii6FYVGE9jlt+r5AAHqc/eIVllztcW
76rds/6w325aJGW7UNQ6L3GprIeuNcJTGwqswpXiaKm9OEV0IvUGYoo4iXa9FJ4KmlTNfK+xnwp/
SJloKUqS4qrccakb+p8XMr9KNEZEIGhXAs71egpK1600jVZgqnN5p/aJcMUQ2wepw+5TEd/XU78G
4M1TDcq8AvcnOguFZXtMTSrK8KS4JPn4SZtq8f72RvlFEXuzU9ZBHK0a0sftAU/o+8XgAzl5gJpO
ZVFPXuj0KhjkOQzUSIvuFm1ghEQnAvBqMt2reENC+qjEJZ/Q4yVR7HxF7vQ7OdVQjcgH4XdS8g9M
RPWJSZ4C5NcoL0qnVPddNvy1COgVjgI2YQjz/rkoLO0E6SFy0QKJfAUpdr9TwKFEaViA9F/i8+0H
3nu/dNFIzlaqj7ydS2t1r1XzQkdFaoQaCJGFAW0H1oMTwPhRU44wpesH275gwtrqrckcAKn/622T
MQCUw9g2g7krC3T2e8ezeI9+jKeGF0Va5bbQYy5o7pqXkfwrgHmCMcDYxM+JPtqXuh80V4qWOTAW
DHVEr4/eLMMkGdpccdHSH556TH8eI+5H5iZ2e++E9nSxzWH0+2UFe47RfGctTuMBAZNL10FN+FI1
If7IOHtoLaq1Zmm7rGKb5YTtVmqc1VlLH8oJbYH/qZSmi5KmsYIsh0BZSUt7L1LuvYUh45fbH2cv
bP3+rjabv1LqmD3GgKh11Nptulz7bHSG8lyHqebVmmqekZczPAfQlHd75Z3gD54LITmHkpcmwrpt
fotbU1Q6emslhOXBqB/7CW11RbTt5fYqO9ERdBxXOnqma4zcpFagZKfMhN0cDKLD9lEY1SXRysfJ
mNqDMPK2vMKO67eVNrsuzzWkzkVEGIkiw9PUYsQSA5C2tAA5siQscxtZav7LS4Q7QQ68JqlbZxMJ
PkdXtym3jlFM58KpJGYG6RGeee8l0o1nPLYOgIxtozCu46jSKxqFWdOjUCNLBXppo3rfScYRZm53
KaLFCqABy7s1Oo6lJokMRVgkm1nt1476AbZvemlLUAq3d8bO+IOS57el1g362wYsc9GD2TXNQDIN
68mx4ipowzJ71OFgBZMTVt+kUvxM7alzzaGO7xObXK8vGsuthdw89IX5QwD4P8iJ/o+fxfwDnbgd
6k43FE7S5TnnQitk+WwpmGb6s12q6ikpZdO14X4hS5GM83OVL3rjhkbdPtijXrV+jQPGxZxLoGfo
HNVfs06ejpqnOyUj3fd1yAk8GC+prWgQAld8/IFPpMcm0hNxUJXTw+JY3xRneY4lUFWyQgGjw3yL
0/daP10GNX4aV8RznyXv50q6M5Xic2l03qzJ71pL8sYFAdrbn/dteCHbo3HHxQMbBnGw66/bMn7s
1NJYAgT1wztU3npPRgfwYBO9vdvWVajQV59hisR1lPXbHrJD2egRI1sCo41rqgHxFGbhO2VoTc+S
oXr+6TNxG9GyBoQEr+VNB6fqw8SAqKQGvarVAWRCAYm1lT7dXuVX2r25P9fyA4Y7GRGdh81D0SSy
llbQHrclKQQZ0I/zg2NEw6lLOpS/8KMKcrWtLhHOJ261lOMFe7vaJy8Wp3nSxpOEZcApy+f0Igmh
v3P6dHk0RxPsO9frKTUX5cv/QMdQQMEb2LVXmF7LhTWewLXoLoypI2TjDjSOLUu3H32wFUG8leGb
l3qOrEw3g1Vj78dctaWLvs7gp7KOtns4dZ6kDepZUvPlfewUgC6dhOZHnhsXBvuHvPu3e5OfQ5Nq
ZbbD9Nr6cOC/O81p6phBvGJb2iZHxUiN9LMR6rmbigXBX1tKvHzVJ5SF+W8zFAPEc5G5ZPaDOzZy
H/wvc+fRHLmRruu/otAeOvAm4swsUAa07Y26NwiqDRLe219/nqR0ZliousRQd3FvxCzEKTazkEjz
mdc00Fg3lpd8r2fvnWIKUHLyTi7M08XsKaB6MoKFYyvCO0Ki4r2dRvX7bkDMuFLVH3bsVFc5lN+j
saBQ+fyquzQnZGm099Dpgqmzuqj1cUgTOwntI6nivNfiacGsKN7yhz7fr/DVUAKlXkQ0iirj6SP2
Wji2FL9ptJW481phP94Vc/bRhKdxSDrv5UgmhsMlDjymQ362hihIqkYfN4597EXoHMLJiPe1jpL2
81N3oZHHMHhWmNSiyTzXol95KwxNGWkwFWna+8goZTtK7p8Xvfb2M//9dZyR3Gga68aISnSn3XtX
sfainz49/0XOZxeLeWQmkUKCoYaw6+nsNnqr2VE26sdpzr6QrOo7S4EAHXmZCySt6DbW63mswHBw
xniflP1RWDsdrrYGk15qoR/NRVF6nwJS7w9ZLm51uzRf3Ag6HWu9PLlTUX1MKQSG6nRn28N3R0dO
82/Mn0sVgaiYYHItLpKVYWo1NsjMeYaj6vaeejDmqjw4TUdO6sxblZFLE2hBvpaTCHDflCHtk9sL
S95ZAoa14+RUnV+iV/eaMLI4tJY2HZ5/tEtDUcBTKZBQ06b7cDpUoeYoSqDtBTyhUA99DIRM7Vys
15ww3Rjq0iq05WNxiECVXLc/0fWFQI4rBKmmab42yqq6Qea3OkTAAG/Dqqg3lqFc1afHJncxRREY
KpKcucb4cVzPqYhLHm1RKQmOlPUOMdavZHxdfgjVOt8rsBL3U+Zt7YDzQ5OhdXoEMHGJP9Y+lFOv
x3obZdoRo/smKHEw8QsMbjYm9PIo7GdYhajvrcs+S6fMtebGGm6+mrnreipMaB/kG9N4aYXQAyUV
RHYIcttqhVR9UyFfymuTrgCwvOYF684KExmzbjYe6NIKAZTDzUviBGJltZmR0tZgltXaUU3azE+i
yd43otf3EZm/30Ei3kgNL8QfwIM1bNWQ8bKQnJLP/mSjSZTeMirIXGdaF79RXASDTDWy/BRPhkPO
AhK+gZ743vZC/Uqt1eXa1Ot61xROuwvHqtiY6vPn5+uQ+yAjI0Xd1q2TsCVNpamtHqkk2Ye5dHtQ
fCmmbtBGD9CtHl6690+HW10LhVpqA0cQvoetCwVKrePjyH15hGX84fmRzlcq8T4bXyrGEJetD7QW
JYU8LxhJ6n0EXh2Oh0wr6g3rmfOVSiuRm4d6KxkkzLTTt+m2BRK7pbcgNtcW14Tk0bEA/nlN6W2r
xfyIkD89XECiIT+EfiywIFpQp2N5RZ1HZJvqse/b0NiN6hR+XQrdMvb1iPKPPyhtmO7HLFyIynBV
v00AmlbHqClFf8OvjNGhbHWhBEqYVgPChErzdp5c48tgJka9W0pn2Qs8+17VYuwLDFQWsMCd3TWo
1Bax277Tlf6blQzVR7zCEs0Pq375nCxhM/pd00OJFIOi06FIxix7LdyRPCDXklpD/1dhWtIG6Ovk
lB/VbNTguxmj+dVqe87gSfZb9i99/Tb5PFAU6gaSub46QnB1omdqD+pxavMuaKZYJUcV4svzo1yQ
zeLMlfVMOhYURdbqB4LgFCoaGvLhpND3jUfxqiiWBgE9VBGSO6ualQSeQ2Ele6zMaiim7tC98ZLe
oOYaGvNdrFjjbdqH3etuSUOYgeCsthJTeYadLhzWDSUv2VjB7mkNvlggPWVNpXVUlCe05e1K7Oh/
uGgOj+4y7afSVBbfUnRXDeohw64zDD0gvW1mWyN1kNHs9h640FtKIuGD1TZxLs2xuuy6skMjv3K8
jhgh6WoDbEPcHqzWQSbUqKv4gUbx4AVRbDGAQER28VsD50goWS7EzBLsVeGTzBSaDwShqndmW4ZX
RkcVEOazrr+C5rPcxU7rvFPNCQcyte6Kdh86OIb5qJWJYofaZH/QdMRKdlpoeZOflOoAu2vQ27s5
qbJdAl8VpnCeFg+tVWDu2qqK9iUmQLmPSxxXruZ8pnqDwrx+cNF+L4GMgFTfhQl6xH4rGnPaZ67V
D3eGl7dkXIZAL0XQjqQSTFn++QV1HkCAxCEAA7UAoslcQxtHNY31qUjnozHZxa3ktO6NUeSvmk4B
0JJ7AjJ4W7y202lLePb8vGRk8BlUEEkczpgWuKXSBvZozTeWOlzpwFL3hlsMG2vxwihkjQbuKtx8
DqoVp2cYQaapjAlFkq5PRqRkF6wPzMl+MUAU0wq59yX7ksBvdSprVu0gzNctx6js4lsbjNgutnP3
bzzL01FWoUNaQxU3mmaBXFT3+7yey6NnwOd6fkWc3zA8C6APYgUmDAWJ0xkb3XRUUL5ixtKi9ssm
NnwzLZZdxAm3kTw+Wg6uDgqAdGAFOTMN8rZV3brOGmOoZx1ch9lTXBBTnn1uyKqam0zRF04EJavv
2kmNilslbWBNC2PEZyZS51LxE0Nx7UO3mN1DVYnhznNNEQZmONcfPereYtdUCty3ClIgWl61p/he
s/SY9pWF/qoL4czuh1pLtqrIF3YUq01WEqTxAni30/lLUwyiZqqjx9lN3Zt57CLaOK0k1qp6sSvc
Vjko+UxFXgjnxXeQRNUxMBgrgpg1ESsrxgRHnIRXF5nqPkugx1NCVv/OKBIxKMFuLqni6QNG4Hqd
eHbnI4kQdVYrH/eKEW6lF+dxoiQGkK/9LzLldJRGbXJIjCYUgNkQnxZr6AJwillQIgC0yz2E555f
9hc4llT4aNTIKgZ4wXVgOi521vT0Yo85yOfbrNOHcqfFy+fICBHeZnP7U0U07M2a9Qm2lPcGF/kq
cMBK+oY7FO+aYmmv1TIasALDu0EZVOTf4hJM06jXV2ZTE4FXyXezU8VH6EPFxhF0Pl/y9OE0pQIC
bGHdSbbbyunV2pyOjamNx7Ep0jsxx/b70Jp0jH17eyOwvgBakZ0tOIcIU6L8YK7OCYKbIUTZZULz
yQPBncTRTSza8GbS1Y/2ZCRHREogkKB5eEXOke+00uzv48r4+Px7u/Q9aNjIoFt26qlqni6Ueg4T
W526EcBqUf0ObCuDHET3701ZRc1PRaEoA0hgzIuDUY/z20JzGgc/OOehMMd8S6ri/PAkt5Nab4SB
kgu5CpmnLLZYGo9q3vQUjcbp7yyE5vb5nOkvvg2AC1HS4NaWiHJrdec4icA0KmOoYRijr8Os9PsW
+M5GvnFpeqleUw8iNpDc8tX04oPl2YOdjUcK3B8Q1Ql32UC3dl4QjJmyu6WzbiZnNHeKPlxbXfIH
5YYtINyFFJZUkaSKtIrYGlD06SvWZ8sZslmwrFM0lCxWEh6LevQ6M43ap7ZX0gTwjONU9PmuG+f2
JkzwcijjqNvl8WBunBRyYZ9eWnwbKlZ0d+i+kFaffpu0ovQxKNZwzGPbeFe11bIf+zLaYBNeWElo
vKOmJnueVOtX14hWu9AjWkZRar1GiD9q33eL3Se+qhjtxhOddV0kZVEW26QkKanrupYzjlDCiadr
6Gx5jdeol8efs8qYf9p6LIiYo2YpfRsJ5Z6QtepRy8d/Rs/z3jzAfU7I5eoyNQHuRUvu95ExfmqK
QVNucBNMGpQSsoIIFibL29JVy3cOCj/fs6HE3qnAEDcZVJYMzl/2VrK0vorlY1GD43iS7Q7Auadv
Sq0KxUQ3DBMbwGYHsk73y4Q087e+MLDh64T7Ngut7KurpNG1WY7OvVkplY+MM82jGJnryhya2yZ3
9NlPUtXjoTTnCvgtCGkBp/z5g2y9rOSXpQxKhQa4kQQMnH7ZpqoUO5z6+jiahbMTy+IQtYzLRnS3
viYYhbWEiAlFa5Tr1k370GmkQEBSHwGNwRLtyXEyUZV+GM9fC4Akzz/TGdhTDkd9F2IZGHyJgjt9
KIIxtxMS1YR88TcrsrvjUhOaaJpS3RjNlF25i9WCqayNt+YkzCtVxdTUyxPlqrXqP5Jm5DbVo/bg
lfA82il3bvNJvfZ6Zd465y5Mv05XWWJ60fGm/3/6TTMAdmIgGj2WwhavnLmO74xMeG/1zm6uNaWk
OdQZYYMRRVO+g445v0ucUhb9ZyAqiZlU+m5pS+Pt4plbquiXvhoHMPUysgvKMKsDp5ixQ7eqvD5O
uLTD4jPEMS2jLVuHC5uF8IdR4BVQX1oXMJxaxREmrPChnpvsFers7T02U8OujwvrvgoL+x4Z2vQg
0NXdyEHP8KCsEpwEcFECbw4YfM28CnMd8T2sTo6ZlX/K7dLzI0NFh6VJ1f79hEPYq7CF/2q24Zcq
tRFnTqdx4/2vj1t0JKnZqy6FdChFVFhOXz8ezpY+OsZwHBZcyOPGbm/qhtIVShpb6uIXh5KNKqlY
JIHXp0MhgarEnYvM2pK6P9p0Nq7nMv5s59UWD+JsXuVD2SQDJFdkBGiQno6EVHiZV04+HOsQH1JV
4MrjpKnx3p6b6FCnKLVMqObtwzFrPqRqsRxM48VcAr4DSbGMzDxCeWN9tdgRs60NXn9cXEAXRpx3
XBbd1uF5YU5l6u2aVF9VfJJXc5pYiwdvMuxhuhYpOMo23JEh9bc5yf/++TPt0lBwsizmlXo6HdbT
SRUtaDyntHugJxknmRllN2U51zfTuKWFt96RcuqAhLIvKJZDkl6tycUyplFE9NuFoxa7SKHN0rtW
etXgmu0bi9G+w7y3OwIS2jLJPPMNk0OjJ0WlmauCttnqIfFrM5qxavpjFM89nmGG5ltVD6feixpf
E0tBoVYU9ftWyORbXQK7B3jWa011Owuvugp1klu2m3U0jDzF3tBcPtRhkWwkPZfehTRgl0AbCbWR
nz/tbdDCCAV40qM6gkiwUagPmqgaDmCFrY3Xvj6EQUxIjDWxBEcEbfxV1ksoP/d4y9dHr6vU3WwS
EPVjuHVhPip/PA0uGcaiLkbdVMLd4OWePhEFT/ARUSmr6FMqDmXjVV9DgOULvO1Eu6G/Xhe7NLW8
6Esx643mU8tOYjQ1jTFEBtc29qJO5xyVPCM9qJnQg3GMtM636h4mSTVAYffzMhsgqlFjn4CH4rri
K7lTKHBv2/hzZ4VkRQlC/2/KhEIz5fXOAmuVNHG7y+zC/c7fUH9YZt99rEwjivbJ0A4FbVU4cD6r
iYOmVdRPvdV1hBWJJQCbmpOSHPS8sfKjF1qId7iF1r+1Bg1rXV2dBs1XtLi8rZWlObZFbu1q3sJd
3rcYBtIriJJdDK2u8nO2w+vOHDD1eH5Tr8Miph3BVHn3S2bn+fHvJeZoJlZ1zMph2qtGWgWj5+PD
VGmxszGWPItWr5jwi/I9yTpAKnv1itEImYFm59URiGuzzz093CPjmwKtoUVdOUq4R/Nz63Z/1P86
HRWKmo33qqwQEfetgoi+guIJtDvmCVsFeGhsZuk+txtpPD4s3murzryepuCYgPUN+RiFw0b9ZjkC
L+llhpcS23P4FRGeZTzMdjy/qvu0tAKz7FpxNHUUbsMmtFMaU9lSHSY08+dr22vidzNE3cFXBCzu
Q1x3oe4XeDscQk+glWaQn087JTEmfIRI/vQ9bVo49k7eRbCiiRj7ozNGcYpQhKaiPs/6T33Mwabl
MLqxMV836TR/U818oLdkl9emtLWcVaywGMbsPyhsapzkl8EruRcsWCbPr5zH/unJxHoEZuwSBPi4
YokgT3dsUXdqrlRtSr2D15koCX3TvO+XN/FSpTmkkjL1dbUxCvZQKrqrrquMjopZp3xdMmSprtVl
KH8Y/RKDb6NU6vd5jk7TLBLH8cN66N/1QIdfq9pQH7x2abuDqYW2FqB4xTzlg5GOsLmlfcNYzGX+
5vnHO8u9OYZYLNIKxgAAyAs4fTwheqNL+yY+dvhhQ04azH7Zm4ZSvwlnT3Hwioy9apcqgnsigzXX
7Iep8rJdNUEeO5SuqVGpDss/Q8b/OhFkbP/53/z8raxmgLeiW/34z9fDj6brmx+/3D9U7S/Hvvj+
0MVl8d/yj/zrH53+iX/ex9+asi1/duvfOvlHjPTXN9k/dA8nPxwKgIbz2/5HM7/7QU7aPQ4Q/Sjl
b/6nH/7y4/GvfJirH//49eF7jhgN1l1N/K379a+Prr//41fuGo6p/3o6wF+fvnrI+Ye7Miubh+/l
+b/58dB2//hVQVnhN2hccEss8EcGlgq//jL++Osj7zdZ4bchEFMzfoRVFwjain/8amq/SXQt65ku
AGQiueAhysqPDPs3LBPoOqJaRcZMvvrr/367N39uiT/fEdPx18+/UHJ5g0dN1/KHZRDxZOdQPaRS
zO1NbUeioddhP0rmlRqiFnDrdmGdoOAJynzuf28GD63sm0TNkZD3U4TtBebZbWfHFi2xLB+53DxW
KpdaOZtVdGNCgUiNe7iSCOHPvtJxSySV72ZcWUGfJt0UEoHEVhzfWdEInNpf+H/D/iqsORbMjwj6
jvWCRHKPbq+4wz3WmlFMGl10q4WLeIEy2G6R3yAAZ/S71BgzVLvrMBzUL3rRUPku6VlX8/ukXoDq
HFwzGp23LtwP4b2O4+4wdlgdZX7u6kq+syg+FOBaG1QSfGemNb6LMM11qz/PpRftkA9lzv/WS/1k
e/wfN8TJbwU/Srnm2vWf+n+3a76VPfJl7MGILf90B1C+em7TvH/4g0L3n/tPbrLHX/9rv9jGb1KK
BCHjRxlLIFX/2i/yI8CbBAd0PJBjkJvir/2iOb8hfKk7INl08hvIfv/aL/Ij2I2kP7KVxnZ2XrJf
zoop4LwpZAEykftVghxPj2ItqWxn4ZbZL52nBHPqXHEZer7bjz/1hU73+MHG92OXGOM3FJSu8bdT
r5WlemUUmHyUS3OXFYN+T5J2zBTDvLe6P+ttL1py/9l6+g+P7v8Pl5d0PXjmSO5PV5f87b8Wl2P+
Ji3fZYAJF4i1xUX612Hsmr8BbdNpGrqo/wDVIjb7a3HprDvqBBi4y1qdbG/8e3F5v5GGADRhWUnZ
GuMla2ud3ZBAwf1GwgkMHMNYqyCmrLsuxSp0CFp8x4+NoUX7WOjL/slkXDjxZWT75MCXfAjoCvqj
4i7iaOsFXCmlU412NgRKBf9somYMU1Qk+1gxtsR9t4ZahS0g3Ec69fkQ8I2+WR2qWaEbmjt0h9SN
ypEMnFcPhWySFL6iCUP5ajWS646Zmel6H5SlAqUROY67fBhbbq5OVMHgeVWQt2pLq15rv4xeY3A+
/WuFXZjUC6+OuxgVdjSMpYTT6tVpehNKBdCeFFy36Q7gPe6ERvnyV4c+s4TPUk1iDa/Sh7YSrRZK
SSStUpTbJanjmyjXFb/pXs40gZJNEZx1SMdJmpysjrkxd9HGx4y4nQaXMFei14W31am7MG30LVmM
HMuedcaELYy+ilwn7AJdDT06SZ3zngrWFtrx0ihSG59lL+lea5m73hnjOKvMLqjczrydyynEj6Ld
4kavC0XsK94LMRnnAwDEtWde2emu5MR1QUQ8cl1rZudXlHOvgUw5N/isOjvkMLw9NtJbIp+Xns/F
ChD3JNqQ5yo0iUKiVnRd0PfE/1ACq8NInnh4fomfb2Z6fpR4qM3yZWm7na4IZ1GRCsz1KihCrdyh
/ogP2xTbOyQymhdWlLjIOWqRYOOdsaPXYj4hBBC1raYqqLXcuVn03rnOS7t5VTtWcf3yp3KIGLgP
TBiOa+hVVwzCXPIYDAElwH0BFWdXYo19VBb9xe63PNXToWT540mdzKixRO3yjKG61rgqzdS6naJ8
64HOF8PpKKuTaBiUvsJErwxyNjiVJVMD8RalGz2lS4uB1IMYjD4Z4dvqJIrzZM7rKOJZlmi+soQ+
IgtrxfCp8nj//Bu6+ED/Hmp9Eg2h6ELcnssgnB33GrUD6pyx/uP5QTaeZ30p2j3ARQhpZVAlIMbA
1TqofSgazfyh+zMnIFS/nHHJ13x6VUniv9TdIKO/kHCpWjiHqlsGSWs1QdRBMYtVnDNiN//GaZht
vKmL00cwzbkAyePMWl5EypLAsyiDzImVI2kZlUvFSV/8kiQEgjY5ARTKiWv9wnpQnALKahFQXPnU
T0N6qDxzPL7wJVFbJnij/ksZmN7XKvQuu0TH4FfNgs7FJdSGgf/dwF0F/mCDvd3zY51N2+NYjy1r
KcOypjxwW4UlkWIWVIM9PYRROPjgb+JyY5izGj+3OTpSsEakpco5A6cEEJCLossC1U3FK8X2Yvho
LWYQKaaVS1P0rzVbTPeYnNd30ijrNam49bnviyXZaYpbAq0Vy73TK4KAY0puuQHa9wWkoQ0Gw9mq
ld+TSZdEE5Tj1rTsEO0NK+7iLOij3vvadKH1SrPLOlAi09mrKHNutCMvzD8lPbAXUjBCUhVOD0sT
VcSijZws0DXl06yi4JxRX3vpqoVoAtMK3ThYawjtrKLGdAHHn6p1FqRh1hydvB4OyLz2G1N3zpeW
fBbw+4jQSM7bWuggQ/9CVXolDTCbFA9VJox5bytGQQ3WpORQtUk17CpInbtiyaffDUN4QY2q2gdO
ct0Xelu9d7VIvxvn2rnLDSbCr5VhTKk7tsuBanN5HKtSK5ESH6q3L90HAH5Av0hUinQclwfnk0tL
h4WDDqlJ9yjDQj3vgfk0aJdv7Oyz2AnhMdlbJ3sHs0VmdjqKEnlq71LKDugvhF/mCgmTcpyj4zzY
8W0zNM1dOM4/HMQ43j//eOdQfjky3kEyp0ffcR0bGhU9F9fuqG0JkUyonCbGe2uZrYeyauZ4N/aO
g3eHbUxv50RNy31dzTUC6kikLXeVi2iUH3at9zUFPfE1EvY87VILPewtY5Hz7UduQXwH3YBC95nU
NfhObZwowAcAJA3YHslXSxQYg3f5vJsXY6ueful90AFTpTYT2cYaVph5aHM06pIEcBSMHSLvuBrI
1GNnd3EY2Gllfu3T1A6q2S4+Pv9Gzjc+ECEqh4AZpSyJRyHn6YITOBjPreiTYArt8tCJzt7h6JkG
z49yVlFXsZsBNQnRErCiVE0+HQatTXuMmywJ6qRpKAWqaNraQz4hajaZN07cGDfzrImPixDhrsSy
53qsh9DcD0U3XVPA8l56TcvvI3M6S54VQAVOv0+M+KZWVnYctLmasvgpeDZxv7WMLkwuACDEoalV
cF2v8WzNMk9Lj9xL0AtlOoAzqw5aApzt+cndGmX1CrU4nOl0Mco4O/kh5T739SLdFKQ/i9mYMrrX
1EpoknOAr46msDRrt59NEcxD/totVOO9iKMGjydBG80XDnJxu6qeTSQKFDv+kJUqTfRSL8XRBax6
HaNbWPCfnv5dZ1P9rCYn3rLhvTQTkDqoK3GAAqlZXTBdGSsavrMiSJBQuMoXd3ljZkZyeH6+L02E
jZir1NqUKftqlJSKd5TgcBLEaT7eWF6Nz4PXiwOR+7DxauW2OAlemXN6lxo4D1D1rKTTZSrGrIUk
0omA6srPKXFet7GJ11rnfKyq8Ji4+h/PP9o58pXqACUVlOB1FFbRHFsN6GrD0kyFCJSuToMcC73I
j8Oo29ek8K81bRkDpbG72ylBZmmxogJEiCHe8Cqtz89/lfNZloxiWjEwWQBkrJUDEBRVUeGLBRFh
tnywAQLshZSGMSCZbBwG56f96VCrw6lcjE4kA0PphNVH7DLSKwvFwWCKvejO7tGSev7RtsaT18GT
S14z20GtQ8ZT5yI92mVlfI/TdEIE0UaoCqDkxnUvg7fTVcRblbGd7SKDcWZvkBDrdJ5aisAQoXZV
p6qZ+bFD+xFby0G7V2jE70YHxfow7NwvWRJqP59/4EvLiimGJMFdg5br2vtFGKlStxrrOKr1+m0D
dPiTQ7tw14ehcTvylg+1k2dBNpvpjRfV4aF3hZf61fDS8gPHMZwb1LMf61NrzrOYSseLskYE06hR
x2Pb7fqhb/zIBtb0/DNfWr/Uv8DXyULpY1vz6UsOp6HRojISATIQ6W5BUdNP59ndZXq1JRd1aT1B
TIGrR69Pp4B4up66MkGgM3OioFaFuDHENB6AnYSHZI4VfxZZsrGezo9ZSq4kUcDsOJq4EU7HS4dG
8erYiIJ0EeVt0QzaT9Uptsgd52cfoxAzUGXWebQ1CL+ekqpr8ZYL1DIcPleQoyTKWjvqziB2E3nZ
HvuurZLvxUdjhRIcWKBO18i9iFojoWYRBbT1q/dL2Y9vhWaMGwfAhXAIrSkYNyCfpUrO4355cgIo
ijtNmZJEwZKZ+dt0SedvEcfCzZwY4St9rJ0b/GfFwSz0ivpYUuyGwpneQIzIfacsFv/5pXquZ8Ku
AJwD8l6WoanMnb5QUS8cIEnOVBte+TolgvtUiEXhBm1r/DhS453qFlbjW7NR/ygT+r1qPptXWPol
95UeRddGkYqtu+/Sq7BBUXPDwpik3nr6pXJVG5VYqaMAuI7xA5D0sMvtAez2xsOvOvLsTx4ecBL+
tmS+XDen48yjMbc27fOgZz38UeoVhuoNmD4vX6zbqgdeM3uNuPYiSGxVXlVvl2metiLFM9jq47dw
oT5IIg3RyyogZS14fegoyMnNyfJ7MTbmDlhnv+9E1qLE27mUgL1030EKf4W1XeHnsVf+/vxUXJhx
Sg6P3AHq6dA8TmdicDiyQOMoxxzXtLfIJ1gH10ubjcUv/8rqNqKBJ5GrHB3SOPF0FLnthF2MCvay
3Selm9r7WOTHorYmzi9vI+G8NBjbC9QxGYgLd+h0MAPu1ZIOnXKckhTEJMnegXjCQh+7cG859beM
RS5NocTUobNIDxxFudPxwCXCYs56Hs7woMhoKUCK2Ek3PAUujkLnFDEEScBd+zX3BVoSdt8oR6cv
MwTCEmLBcNoq11w4gAHHk/6CoWN/rOV+aHKIpakZZWis5E00uzlYLLn3cWVGt7Qeb4EdxRuPJt/+
enU8HXS1DyLU13tI+soxgeR631Vjd1t3sxcMbWn+4QD4vGpddwjCKtxSCbswqdKvnkgbChsyA6sS
WFoo1HPiSDl6kTADdeDUX4ZqCZ7fYxfCAhajJAAjScZ2l58/OfljCeW3GmzbtdzOdlOzRDur9HQf
1+UtG5QLD8Q9RgUXWiziDOtsaAgbLRtF4x1hLbofXeA+tw2atRsh1SOIcvXGCCthY1BsIzVct3T0
rlSbBR2zo93AMAKOKPKDFiYo48ST+s3QxuK4JGr83U7cbNlNcAW/wYrUsF5X08Cx02GPJ230pu0N
JfKRcAbfCyBU2bXDUt2LwnL3mCuNG/JSj4bx628NEAxUCVgqMrlVDKOS1IROGOPinWbVKzMb2zBY
NKNxY9/NQSNeJUovACs56vwuzhZz8D1VxN9SpUzf6akVvhGzo8d+h9smllm88sq30TgrdvMY9dGb
Fy8aGTrLahTlfnoZp4umTr3eVrQeG8ih0A5e5cWo5yrZwWmA0P5fDbVuO6oj8NOmk76WbTy95ppo
r3V9Gu/raQk33sGFrfD0qdZNjHkYw9Ap8WoUmHt9QLpEvXLondzVoh//zlPhMQbfBbwCGsWnE9iX
aZR4dIePvdo0/d6oEiFBbY33LnRz+/D8FF7Yd1IJhDfF8SwlRU8Hw/PXGjACx13A6padItzl4I2o
cvydUdAqQE8JHYa1DHnG8HPSsCao3Pe+V7SKX4liSyTqUlzCw/x7mNXSS11rUaesxhpvqOtPWIXS
9g4V806r1J9JF2kPRmj11ARia6f2GDL6tg0s+G88KjEgtHt5Lq/jktHJtNBU8SdVmlzxVdRIfFTl
rd3fGAU9cqgO4Ncwtz19bcvipVqcVqx8DVtSfhLMah5tRD8XFwexgbQuf5QBOR3FnRPMePICw0zV
+ymmOkIFvR42WiAXdxaJtuyAkKitOVA9RRzyTZZ7XPfmKyGU7BNqWFbQVuFWyW1rqNV9XTb4UwBY
xzs27fJb/AC8oDPHZZdMVb5//gVdGgqcgrw8H8UKVkPp9iD+tP0d1AhFmS5pb6a5iPfe2Dl/YwvT
nSAOABlBmrZqkLQ03ahtsoVLyGZEcGVzIOrQN7bwhQAL+QVwxbDV6Fet6TVh0SI3MiS8pnGwbuo5
jm8y0GpX6B0Yfqy7ze1QiOrz87N4cVBan8Ca4I4hx3a6AAfkHoohxYokGcbqIDtg2ISb423Zdctr
ysYdrQYj3jjqL4ThkD6w1WNbodi3jvmrxnMGd2bVV0lqv8rH0TjqrlIdrKx37h1hbFlEX9hl0jOc
UI7qvsTwrx4ytZZK7djLyM4V+z7uyr1VjluWQRemkjo4/pGgBwEXrLXOMWlTZ3VgFEgaw2GMVHdf
kFPstQq+UpN29cfa67cu6Eu1A/o1VJ6RIJVEx9XaTKA3NgMzfSRgSHJak3r7Vo/iojzafeF+6TPO
SLMyijdRi2VbFcuO2ghk97ZII/0azsIWt+fCvgRMBpMUVCax8/rgNHAQmXGOQBO9DGNUH/pmp6ph
fUTt+O+8V1QmIaWB+oM5u7paTUCaTYpVxrFKm/jtgBi2b0aDuxHSXlo9FjqykhsLRWrNbrGVclRb
itLQP1ijvZrk+7hvX2ynyxNwzQBARTIMCOXqPUb90iZhwigVLiPHxOkfFnSHg+d3+6VHQd/AJKWh
q0/H63QjYNCnVlmOg0jcJgvipgjDNviGvPzq5D4DOAYSRebQcqM8SWpcb9HjLMM3xPAaDFx1vBZG
V/Qbr+XSOgONAhFRGunQtz4dBcndrLFFi3VCO7tXoxJpN6Ei8reQm5v989N2aShyQIwIZfeOLX46
1ILoDqJLCPA3TmHv7ciODwpZyLEQqrnxhi4NBTlNuisC+GAhnA6VCm1wlgkbAxAL1X7Juvyq0px8
D/V1M5iTN+Qq6aGNRDRH1xM0/bpQrGkJpBdgHketsa7jVIGkVSoHitS/O0qHX3jkfCw8hNvrQuXM
aPWvY1f/8fKZJZWBMwC+QXacTx83HOMwTekFcnr1BT5+LlW91CwOTe2NGy9RhqZnT0t0TOlCcsEf
2YFPVqU1uV2aq9hytpWu3Ealpe+rSBe7MtS0eyvWYYKPRX2AIDS8det2S8Hl0tbjfsXGgfSbEH29
v70uheeHqnuG+bDvYByxGzgrN2KI89aKFGXh7JXXqglhfxWglxhXz/FQ46qAvwd0uDgsfDhczncF
DZ5ba9EwNEEi59CUSfmxH83hGBd9+8ZMFv3lZrJAVigFyAhaWpbLGXky4Uut6ROaefaxc9X81rTj
7AZxyM/PLyDJOjl9rVTXsFqlTkn6zm2zCmDGakI7Hlz70bTLfj4sda/V8Ehz4Jfq0E9HaLbz99BI
iaZqVAgnqgkIRs4ebk2+Y4isgQUca9O+G8t8CoZO9YZgsNriJ2IoKVZck8Ot2oTVcKv2WQ0lCh7o
8H5qdPWj09K2OwzaWOKeZWlD4SugVDaOOXlYPl22sPlpCcgrXjJlgQKdzmI0e2Pl1sMQIK9X3rdk
C7uicGOT1bqoV9VAWKEmuvLj+Wldz+rjqBSJsCgH70Kr7nTUyorSXNcgQ9hN3R6SNIv2djeoftG0
7eH5oeSfWj0gp5AUcJL+1Vwap0PBuAgtl7sOLEiOR5KpizfLYjo75I2UN6KSarLorT10i5tu0BbW
U0tVlJjJIQSVbCcE3E9H9oQiLL1YBvAB5vyTuuz3RcV4LW+i+iq13ehqWtrp4fmnXU/s45hUniVf
loHXQibCmYtGH3idZtbAYor+h7MzaY4TCdf1HzpEMA9bqCok2ZYtj21vCI+QQDJDAr/+PjjuwkJ1
ROgsuhfdYWflQOY3vMOMmlFW+xHwuuXgGd5H2VTgkPfc5AsQF0Ema3cVOH6upVbltnHCM4r08eYp
V+t8/yAeQ82tgoPl3F+w23iU8jmqm5w5Bf3Hy2ki7SmnaWzjubJ61LDN9XZK83YOR1HMZyNTeUgL
3b2debdf0WLHWe/5td1fsX9/AEUW5HfpEVJMevwDWkzK/cQt23gZeg+eNA9cKPVZioNL9um54fWg
MQFteoPN7W0F/BFWKDdvEwe+SKuoqczp5+xOG+WgrsStb4zWSYIjjZ+f3tOjw7DU3Tc2FM/2nmWD
NznZIy2ZuJjKb/he5VHXtB9XAwnh5we6so6UiyBcUSLbFPV2G2k1vtJaY6njmZD6VrZuHS6pttw8
P8qV6TgAojfnFlIyKACPd2tNle42U1fHCNKoL8pKtFti7+qkV1pxlJM8nRG0MjRemQ80CtBtu7GM
Ahf1Ja/iTMMGx/Z6IwQMWR6s29MPDszeZjVBdE2Ffd+00+tFFxQRZNymI8R9Y7AjhLliZRtp1GvJ
kW7ttUmR+VDxI+/bqJmPJzXnXVNUZHqxVk9BBGgovZTFoU39lUmRuG6Sc7CdwZfvt8ko8lVmTh2P
boFCz2pFeWHf9IPMQ4Xg3cESXpkTm4ziKu6+WwS8C38hnqPF4Zh13M36+mAN9XJRgf5SWO2WYFkb
2pVIkAOxdyu2E6TrjNaoY9yE7deqNObPVq0fGRM8PeCMQkVgk54nONF3L3e5VKhIDTZUg1VPLjCg
KNOjxB7P0jqUtmCr/31DtwnRZASARiaEmMO2rP+EWrnutEWh6XU8IVgT6uD/6NOPR8Jp1zaH0w2A
xQTI4u5DEY1CtlPOJTQNpYzIbNYBwoF21Hi7duCwwAFsS5gcAFJ6PJdgrrkFmqCKVdH6/2VLb5zH
JXDPRTAVUee1yUGAdW1Wf3lpvBrU5/dY1HI0ZNGaaxWPGMhdILxnkcQH7cVvEyahVA+IVTfb3r9h
7D87NI8Nhj6qrOIabNG56ktw+27tHYxy5cjREIIwAVGAxzjYHTmMUdPOwGAvztSESLhdyfPKsgE4
HV6sWMaZI3HcBMtAP1JN2N2pTTkIqeW8ElRoh9DPfUDK1hd6tT+6rPwjy+lVNlYf6iV41YjuoC18
Zc+2pwPELoNvhMzHZ0R1SakoLtRxMKZLlBtTA+K0OpritdWkEgYbmeQY/andBWtyLfaJXTNK3QMI
HrhgMax4EH53dO09DZ0o/mORRb7016ViN1Kwtq4GGaKOgaFnl6QdndDvrTFOyj6/t9bUjGrwHTfA
PtP3bWkfuTReW056+nQ7IGlC0d7+/z+HE0qv17SjqGOvDpao00znQjP0pXLG24GhgLZJDNOjegLH
JdCQyEzAUsoGp3+Xrxogb4FPHZlMYcmwKvTp4HN4Gqhtdt4IX2LKxDW/r6gXhqw0VFOruOyX9hX5
IdlfWttvOgOh+RApUTMEYNAeed896ZJtM0VAnJibY0PytDuezpz2lZZkXGHzSnNqFNqnFDXiO78z
7Z9I/4twHDPr3SDQ+DCJFD+PoHxeHKRS0PkLByFYpP+4XbP/7KmwpTJGPZCxgVLCXT7n5Rtbp+bd
OwP80dyc3oAIeCnGgImD0dteB9TuuL53dwKE96FTyO3FHcixG3x5Aqw30+EgcrxyXB1i/I2cBFef
92g3NW5r35GmjHV85R7WrEFLiMrC+fn4dJ+XbnNhE1Hn2TSxAQY8HgUXvmqsSiXjpB3E23ptzLfw
VdF/64fshGmeCvM208K6HdPT8yNfuXc21bkNem2RF+8dswc5mrnVtTKWDTLDOolSWFgo3a+mfqT5
+ATr93eWJE58/fBNCIYez5L/CnhINTLWXPen0VSvHW14M4jglJfdO3OYblwlAyIK/7Zd2lOBhllr
pTddU395fs5X9pSyNDEzhUgKgvvyt1m1aTXwaMXj2HEDykqGQ1GsByfnysrCASbb3zIp4M+7e7Zw
kOFGoLeMNeV2N7hs9DeVmr5oqNEf7OGVKIYFJevYcM4UwXfrOiylVhUVIOa5MkTYe6N/AsUSLgJx
9erFLXF2cSPScVgJMIhjdkG6lczGODQeAqFdg+p9W3Vf7UmtB87OV67TLYmCuMKji2LStof/XCnS
S5WwjKKInaCYv2Wz2Z8xlu7Ces6Du7KdjLt8So0jLugTR9ZtcswMQTj0EAgMdzdZtgZ5lcHbiIGk
1gqXl6KMJYydG690hzjPU3VO5GI+rIY0kNVdaTljdX1RvU2v1vHLKG1WC7PB1juIQp703vhlvGb0
fLfMe2t1PF6QRUM7GaRrEddWPYW5lnhhkVVYLdjBa9/O75NEiIupp2+9TL7OK3UvW98Mc2f+9eKP
B8wHdUICTALnPeYq7yob+xb4aZo7GHdjH7RYBozTwYV45RPd8kyX1h5ngOf08WwpNc6jU2l5bLeq
BxHtdnfJ4Px8fipXvlAIjdtWb0KToNUeD9JXpd/Yi5vHCWi705xlaxT0cKTGYDwY6coXSkuHg0yX
ko9nD7q2ZuC3a77ksTuvCFAJrrjeS9k9gv/1y5oWR/ngk9o8xwW6FJ64m/cZLLUnc1MFqpOw3vwV
pwDHmpEQlakmPmCQ4cRNMJcnbRbdqS/9IJyXJXvVLXUera6QByf32laimrPxiZ2tp7X7krdgaTYS
mceGPnXntZZapAGufKGQxDbfzQoA9CuNd7A6j/fS97K0zGo9h3lbp5dR4kUZgKg5LXalH1xNTyf0
t4BL5WCzM+ebfDyUvmS28hIpYzhY2q2dzD96Zeu3B2dzS58ep9mM4sGy52Gmub2fUNUmVjBWmYyb
CoWPSC2NaB9sYrnlDM8s6aNK1UNyLrLZT0M1NX0b8qSabzdEPRjZRK0/KP+WU9SDHDepCdEQO2X2
3D3ofdHPXB5188OpvfRXgSA5LFxNJsOr1e3H5RQQrrqRBG7/C7Fb8VHJbkY1WS7nSTe7t0WuOgsJ
UavHs6jsKhkrb0HQDRHIqb7RuAE/60Ov6rh3li5iYKxJE8P61loATlAksOS5cVv9u0AJ+be22Ppy
8gY1W5HfBfqPrNUW4zyUY3Jja87ans2mlms4FR7oTROx1hC5Ok8cXDhX4mjWm9SLq2CD4u4LrYve
5vlgWjDE82b9MnWB+7XNHSzQDWzUGpkZbwxp+xcgiuadV+HbZPjFSxuyRLL8BuqGQPeorexzCFLQ
0kR9nCfHXdPLbE6bCQqC7YPtHaUr1w7xdrBoaDEgRg+PD/GocOTrA1QPzNZF93bBWY5E4+XJXkCh
nr454gaQwPbeNUFjOVUbdGWcFYl140g13ZdQ6w6+/WtzIZ6EVrspMtGkfzwXOy1Y0lVB4mrqj7iD
pXGSSO2g4/D0sUA45p9BdguWmYvIioVBCpHT5sz9Im6Em0X0zo9ITleHIpHcRJZJ0fePX5WuY+11
UxlPqd5DEMN8NgGwGo7zMhzM6unDxKxA6/yt6dKk2F2bK2idRXdLNghLzru+GUz4tLXUIxQTmyws
q/mI9PI0sGNE3nQKOltKtQ8f86QTQZczotP21huPqn/kLMo7ddjeR5s4y2XKrZfXqhiU+uvGewLu
sg/riiKnlhlkZexOQt1NtSXox4qGR3g5athcOYwQTDjw5HObU/OuLObPalqrKijiRUj1ppSm+71o
Pe3lVVi60FsTbHMPgzS2e4S8XoIP7CyGcUx1b/Z1/3WoUnnwCl3ZLL4ooghyC6iTezhSLyXxP1SS
OK/LNMqa1rhthW7MEbRq442ahHuaOs8/gOxdHRUD+A0mArB/H/vDihzdpV2KOIWddmltzCuNYc7v
3aTQL3Vq55/dNXDi5x/ca/vGHGkAYa5NWXO3b2g5m1thqoiHxphuRDAkYeuJlwqUccMbtKEomgIL
4VHf3SIspW309VDEam3T13OTlDKsnak+uBG3z3YXPDwaZpvsP9nTMmSuPSO+FzuDn9+6xLleOA/y
J7oyxQUPRzcuczzgo0Vm/p01JEdu01d2EBME2sAA88h/99ivHku2JGuTPF4re7ifEPmKZjvFCXTC
enfq7e5WkzL9/PwOXkmR6CJSO6UihJoYAf3jWYt+kXnTtmhZOJNozzw0wb1oOu+SJb31R/l+93Pq
dO8VYdWERnQ+32SaZsYuLMc3uiySgxN15RqnCQg4BrNFotM98l9yd5qz1uRx5uOhAeeyPFeIap/a
zMoOvtMrhxdNwk3ZhMMLRHd3G0g/WcxyJikjqhjCHE36c5WPRzHStQmhuUvtmIB0AxA+Xl9b6J2e
wLyMkyKD0b2uzaXScx/fEvVSUSC+E1pLfCnEvyQv+9TMq/XEaB2GytrgW4oc8J0usiPC17VTCjAC
QjFvIFit3ceI+DCkF9/MY8tPBLDxdj431ZK+trNFi7LUdW+BfB5lZte2avOXIihiXjSDHi9insh6
xBc9R1wgUaHhm+r9PNXtp+e/hSvvOu1AHtm/RdJgn3QhbZbYpiTh9Byh3hY4Sr2r8gR9k7HCmXxI
LOfgxrk2rQAmK900eNOgCXfTWtpmmNKOwolR+7Gj2f1FW/QjZcJrUTqZJOJmLB1o3H31odR0OdnF
lMdBOak7PVPzrZIG3kHNWLxLUyjbBDLlLYhy8b3vV+eSZnL9/2ro/6uu25XvgKVFYw2FLMogzu7c
9HkP2nlNuWf81f4caBhCtDrCFV0yHdEpriwrH5tDw4ZJbx6Qj5d1VKOafbmIuKr16nsgbE5nH1Sn
50/LtVGIxmieWXDesT97PEpuKjDcS4FYjGZ8ayXATAs3npdfh6B1mIPL2UembvsR/7xJVJapc1SZ
iOci1SLKelNUGeiHSxN9/ufnc22DQIODRN9Q+E/4NHJVFU4LXhYbmfa1TefkJJT5TsOCNPo/DMSx
Z4jNr+RJRTuwmmnxEKapPTeN6qXXzzgrZKGRvJgXwo0Idedv6Y1++BM9FszUTIQVTDRw7Jb6H4bc
F1tL/fPzE7oSOCA+RbkVkfhgg6/uNqlzJmkC+YvpAyIbAXsiERcPF6j+zJ7OZ7W43hIlAGDWUJWQ
PEjGNeeAQ/Tk8iL3ofKxdXY2Tuw+N90gpEPa830holm/FVPeRxPg3ZBI0Tth+p4cVOqfHP9tPMD2
W2l142DtrmTsrTskr6o8njwPxxRdjaFvD+nB+b8yCv0AhgLntFWZd+ffdlHVJeEWsRGon602Tifd
6JLw+f37y/B7FPkRplLzIy+gzgj6aOs0/fOV6XNHCVm0ItaoJTT0AHowIRpyd2XWW+99ERT3rsKK
17Q7LfZyYxSh7Ez5xjORGUz7HguNwJiwj+rTPixbVF87S83nGTAhdmGadupE5kRZO65a5Fnt8k7D
9fQgkHvy+W5zwKiFFg35Gn2px3OQKEt25sBK2bhU9Ke2rWyiZN8tRTgT0J4OluxJ8w2vBkImDj35
1BavPR7OFnaRp5pCmcU00XhIlzY/+wkl0jud2kly13sb6LbsZqgFydz+6tYlvQ9qVaNcsxkj+4nh
30Harn5lrqXF9WLOMuxxGXgjKm+6zwo7PY9jIt7Uq/JAtY5VOCEeGFXWat8OQ+7H1aR3N1LZ1m2b
aN9BVR/x6Z+ePaaItAN0SqhX3PKPpygMvTJARiDmVJfO/VL0eVjYjTj4jv6yjh4fPpTWiDtAhIOt
hTP5eBgX6yCjzMcsTkwRhONqXvTGfJ+1WDYkwed+NF/ZXvIOJb4ytKV9ISu+DWyMqJOqi7JqeTdX
08dkorOhdKWHneoubTla4YJcT23NB6WPp2uyVaQ2bgoBJsDD3ZcC+zvQbJqNF7ualimsalviszqO
2sH5enqbMc6WAAAggd25D1nSAskMBAx8jI5X6wMOndWPmrK/pFdfyvcrVdyDAa9NbKN10NwEDcY/
j3eh6L25G3kaLkkwabdBTt5lzVn50oAP3NyGdti4dVv3eHeknEDASqTZAcWhU7fYU4nTprT3f5kL
WBEC9K0asOeEu1Y9rI1kLvmwZG9SvVVhIwtxkD49vXAIssATb2kjEfeemJj5Zj0VCmbI0DbtycWx
ZPLr3xUAlYPpXDkLWzQHQA+RM8qVuw9ksNKhznrfvVRpurxSbUkKbnnkHpOjPrWLe/TdXx+Pt2bD
H4IA371swnYG2RJlXSTsnm9qRGgT48MlHBDePKvacA5u7itHbyPiAUjl3YaDvvum1qIaDHS93Itv
DuarJHPyMzWj+fL8jX11uwiFwIlCXkM6/PEBh7wfIF+2zcoCPZSBSbnprWVGI8g9ItRfW0DeIi7O
DekGXOnxUNbiIz1orVBcqP7erWtrvZ1m+h3ra6fLm4Nj+HT1NvlAZIDorHOJ7sWtBuHUtZUI69KZ
ixtmXcdGKc06CPGert7WhqOlSjGUx87c7VGNeePMMObFb4Mfq1sYESbtwaWDcnJQx7s2HwAQNtEx
SSEo+ceLN2BEzI2AD14XaCVAeWc8ybRMXnwRMR/Ar/Sk2Saet8ejLFaqqzS1TNrQeR6KYjQ+ab0x
fnzpmQMGRHsG1BrFUHigj0cJkKDM6kTh6bcgf4gWjbjkjaN/6E0nORjqyrLxdm4kW/AH2Afvztxq
I4Zc+7NJ3N3e9pPtvBqldyQEeHUQNgeQP/a79DUez2duEx2JYgZxy2qh2u/5d0JpR12mpyW5Lerg
RG+2V2zPvqpaTSUar1Ia2JFW3ccuG0qEVnC+zR4wMpvyd0ai+j4s9AY7ay+pGj1s4Fant/XarwhN
rch+nlfXwSTw+e18On2ioL/wQACdG//g8fT1VA5KwK242Klb/C4BXdL/19uDTvHT24OyuU4le6O/
0vbfRZaBXGRfOpXOItNf8/0Fmfm0fD1lbRM5suwOvuyrw0HnpDONthWwwN2kcjy2wa3oFz6Y9bZq
bPMiXLSZ0klm4Yxt3sE9/GQRNw4OAcDWet/ERrab5p9cY0qE3dmV7VzsyQ1CIP3VWV+xm35+q57M
ilGAifIqk5rBNtzdIridIkA3Ym3aL+KXPQ1e1PWLjXzA8FPTHHmQe16bE0UKUgEXkzRkeh7PaW5E
3red7lzmxi4jVOibcxpY5cFNf21O4M4IOoFOU6DYfsU/K9fCVBSNZtuXIHPTeMZlLbSnVd32jQds
1M6OZDifiM//Jd5iMsu3+FdUYncSxUjbZkQv9ZJjpJaEzToNCf4hfdlhD2wDB7DtpskoTZvou/dr
aTph26XqM2YcTn5Ceq5uImsyzTHyMzUY57I2NIuHo60HfFkHQNmlapajJtd2dT/KJ2gdkLiAZaca
THN+d6DHnEgqN1r70qXl/KUCdHFeKs09WQ1UNnST/NczsIGDFPrpnfV3VFSGqYBsZNLdgzLO/qp7
KflJumblfb1MwasAsY9XfulPN1mLfURYuLU6OWmjVayB618oBNb3dp0nPybLHW+e/wCuHEkKG+DR
IE5vYs67zyxF52Gyc4j6QZXZ9wsqQqFeLv1Ln1FmjSAhIifUVTeblMdHknLZoOfagDrGYC+vbdW4
VLE88+WfFxAL3gNjU+KmirsbxTIF4h+FfVkw4YicCQXs0eaEPb9i184NKgqAFEntIUftVsys9MKz
lG9dMHaok0j65XwyAohSYYcX9w0pkX1LRe/Frd+t9A3BjM6FB01qTzCfC28xSov4TaORGAJGgLA7
BN3BEl6ZnG/Sw+aG5zbk4n28hKqyR70ddfNib8regcE4Z8TWDHzFec9DwaUYgkwYPj+/pts1u/sW
UT/ghIBKIqLeC/+5S2mjt7kQMBhzGo7LXH7M1eydjWbxKWklI+ajif6Q+Muf5wfeNuvpwFuzBPbH
psr5eL6t4aFbzt1DVDz252GS432BNv3tMrrGwZf2t0CxHwttgC2D4c5BveLxWEU3imYcF+NSCR2e
dZc1ZYQCW8+s50YrTgklt58ZzsUnENv+mSb1eHZzL7cjDKqHM5Jy3R1PhhflA0WfPreNV53Vdndl
muH94g3I/eIQeAnGWrxq+UrCbDFlNAqj6Q8q01cuDRqvoHS5OOjg72lnAQpdOvtjXAKnc2+0ucij
hMbJwYd2dRRkRExG2Mgku/Xqpa1TRRmMi+Z2b7s+8d4NSW4cnLztL9ltCk/kdv0zAm/BLgCoewqa
sz4aF6Gt3Lpi+hE00kRybLpdenL154/b1SkRE3p0BakG7MHhlbCyMekb4zJghBLqg+XdFisGVc+P
8tcmbj8pSuy8yNyF1PN3k6rwBurKudEveuVUTgRDuvuKsRhlQaoh/g+tkNnnOjNzEc0WWm7UE2fV
X8qJQmWY5qMONdI3+j+tNSdN2CH7+dvy+vW7SrqpCGe/EPYZSkQnIq2znTLqwFmLGDE/Hq8SS+EG
we3A/e7IJgiwF17QNeNfkG9ry8CsvLESXFNFblffpEr8XwGdvd8GOfDHyfbVp3nQMKx2Fsv+inVD
MYewvJ0vdtpDIYAGMxihDmsPdKvpA2Er7VSfI4nU7Xu/mHQ/wtKE9gj8zvpDKVTxNe3aOY0sW5pT
NOk4Z0ZG48/VRpoph5Afvjjn//Frz8v8vjIuU1LmbuimgIRDvfarHwdb8+S4gSXlgqXoxGMLu/rx
HRD4ZbMCftIvpGbe2ZzLJsTtucEgaj5ScXrKiCCTpFYKan9TG8Z+4/FYujN2Rb+26yUjGWoj8r71
lrS94u2VUnS3c5dPGmqBWT6eyjF1P2M+0vwwayVfjaJKxmgpFVVSu6jqny9ehU3kiQYMUkcc1N35
nOe2yWuoS+A1WzMKIEWeaCAaodm0RwX4pxc8b/VmBLL5pW+3/ONF4O5Lg87J1kuXGOqMWq590XRf
gRmcjhb86dvJUFsCz0u2AZJ3YfCoD9rg186C9GZC3mm0SfNgrPYCptROtXdT4WDDky4WOlbPL+fT
W4XKhE7fmoYktbh93OMMTpkl9rxcFhWsd0Wd/AkcpR9EBpyap2eXR2uLWTdqBgCKx0vZrJj4zkbQ
X5JaFcFNGwyLdpa2sRZnK1nmb7bTgh/W69SqQ3cI3M+T8HOddVAu6Nu2T5JTVs+lcZocmZshwrea
HYrBakVoGMrIznPQOOaZx3+2z5kztx/nYK2zSCVizsEoo8twg3UgNatWBnN7ScsePrqDDvG5KpPF
ullV1hTR3FNuDbnwUUTBMyBPI5FQ+LpvpMQIZVlLL4+kY6b/tcvka1HjT5l/CqrGfw0MLbVv3LQF
Tep1dRA2hTI/6uPYpuGkpEYUkuTpdJ7cThbnJJXiwQVFLOm4pP4Q/RV2PyWjnm6T7hQG66QRW5/T
SMqTZSxuE5qJKf8Ty5B8AKtfPkx+6v5qk1H7ACpNLxA9a4wPXmsYX0Zr9LVw7vxyxM6pJsdu+9px
AQab6o1dGiaIYWcO3lZjVydhUHi5Ey1L7c2XPmtLxIw9ba1fS5SC6KuuNWSWSWhjStfNJyFrGz8Q
9+RfUr+skzG8o3bdw/lYM/1TO/mliIrGmgpkL1Ypw1U4MgmFhdRG3LpNJmFxmUl+oh9ovLdVJ6yz
Ks2+uZFZN362nMz6TjN0QKBjQ32Lzp3uXU3LytBP+Wo+JaLpX4lsNddzawcq24hhtRUPdVNVka8X
7in3Z+mHtpPaf4IucR0EcJwFbJmdpRYuYYvxdlJcsWEhlP4ZLxa7uxCDpMGZo9I9lLU21WjqG9gn
Gas5UBdxs2DAoDvXbvqWDmSIqKOWcMuvy9eiL1oWzdf4TrNRW3DTanrysSlo+IaFoJ0UJNb4008c
+4c2ugPiGJiZ36386R9T2i7sTOcTtKm16F9TIVmtS9NP1sdpCsqRGEzPBr76VAWRa86mi9HWmP2p
rNp+bTpKvKN3iJKDVvriXUk4+t5P25K4MPCq6TS0PlV7PTean92q8DEavVIxNa1P6ojLTiEtPlrT
XZ0Vzo8CWADNLYp/zEwGq31O83T503SF88FUk+shrW4adKEGd1En5RHpR5imUnXEAifjkqr9cb0B
Z9PLKBlS/d3kavDUXVr2vB0qFecaSvut9P0Z5Esumj9m7STfUPtpv1Y+DENMq33roafgbUVmQCoJ
oN/o3vTuW29KX7eiST6qptX+kDD1RdROY19FCK96vxXEga95PppG3AWlvVzMyZLyVenaLLYSefcT
dpJTYVSX+dnFHLNChJ0/5fcVCNs88uzF/9607fRbUGF5YHES6AKcoTnS0T79XQfZ6EWQzLUqVLhn
fkd7fvy4LEpv4hrBZP6rF0zDyZKGVUcjSs5JuDZF/pHyoSgjnf6WEVYQ63/0AbWO84JPpXMal4QD
UpRO8h9/TIDrGpUbFqnKs0g4rXcG+OcSkjua937QFlTjnLzwQ8voh3el1SDQhbOmx6nss028XQRs
QV95WRNawFFfBcpM2tsEOfLpwhcVvHVT28clbF7ojdtG3aVh75o0FQXid15IaUx9JBRau5AdVDnx
k2G98mt3eW/JXI9UbkHMVfpi37VrYHBmjcxXd72pGpitpEBDhLBqKkMmqDCL89z+lea44iFxh7k6
FVXpYKgy6faHJEvkg5u1vcsW1gZeXu5g3DgU/d/VgQvzx6NRQniFdE177m28BrRgqADAjeL1igjq
x9Y2jfXieo3T3lXYzbUgdTR4IZ3iKo3EVGSvN/sWzoat3PlS87VNl3Ue6iqexrypKGZVfnVTNN0E
bERIMJ9z3f9XUsXvo4yuYuwnqc2F21ToucteOa/9sYOSXZqtca+DcnIjJfPxjdH2aHpJjA9jrCy5
RSsc9cQdnsjpgNFIpozYcSfuzBamyMeuyMufmampNHaEP6eXYcorEZeIV5EHEddasXBUQIzaZFxN
eSqabwwwU7bMCE+gnwbGBxwwCjrSnUYk0BGJVSBXtaWI0GM3v6wSv9C4GydPv8Hg1cxCh10s2BgB
x2YO5OyE1pj4dQi3cfhP+kJHqiDXIcdUnr3+h0U1LmerHMwH3yzKW2uk4R8K1dZzaFkw8M+5l4r+
JuEy1k9mOnoaimq19yFFAdwNA96sNx0fnXfneY2moxFul2Vo5lX5uxRjh1AXKkFf6Xh3r2r0WxOw
VkZHGbPxiMOXtVneJcGqTdjBVJI7vEucOfTyHOp0rtlVG/VoUt+Wc+KENdlAPLaeHq3p8BraUf9u
Yvd5i4jl8tDE8Ku/OE0zsQQoPuD7lW4elTSFx3e2mNM8BO2Vfu0dTY6R000A4GlJ5Xf66DS/akps
JHDO6ORhbutE2MTBWnMq84ooOFmW1gjTxq3FaVk87fUokfekqOJkXy17cN+sS6tEzEVpzadGM3nP
MiPXQi/IMUkcpd1yX7b5/M4Z8/6rrJOyjqzaEwt3qVNAllJGk5xWcBpFWCvlTCc+mDI4p3Iavq+0
H2IkpRf/TmWiuGk7no5T7hGkfi+cwl3PolCpcZtVWvbN0ye7OTVqMsaIxpS4qd18PA+zqC+9aOBe
2VbRGlG1NPI1a5mTh4m6ryOxamkTmWjV3a8ldNMf9jJTYB2Lwf3YdI71OwtcGK5uXyr9XA4+mvAV
kx3D3OC5DnW/43oYard/W3Rd+3toeehixARBbFl9spDcce32v1M1+rxKOnXZKtGXL4Y1y9/TaphE
B2232B+LSVM/h+5XVl6MXK6/MGL2v87lWhHRNVR/52QAnWECI/BDbfLc9sS+ObQ/MYZ8aEd/+DmM
5fSlRtO6DFs4u5/F7E2/yE8I7xrXaFS4mD3hnY1KYPlhC08esnHRsngqMyQgA9yvphBEP3yMzhlG
FSGCMWfROq9wbPRATB+7zvS+NL4z/Ff4oh/vofhXP2H+Fm7k94bXhTLRuntv7sUfZ6jM/0zLbroo
tZPkDxcbT3Nv2pRdcFGVacjfU70f7cr4VOjS+zC1iw4QRmoostP5L9vTLAjBTnyNZXBLFOXO56I2
5lt35TiBot1OTwFNALWRDMaonw7eA+5ZRRnOWZPBnkQk60GvSys9KW2ovjZJ4fwu4OMRROdT8Elz
zMyCxe/I330SaG+rbqne5MqYz2IyiuVcGZ3czAvE+F3Kuv25tAOULJkkzfpRwUjjSIg5+1CrgKDd
SwvDw7AQomA4JQgKModigRBc1cUnFqyY7iaUUT5ntSZKCA211tyvbWdop0mnQHnyuO+bkLoVD1Je
CMeLG8OgbomuQuqcynQwBYlKL/O3unKX+lMvuDSivrPs9VTMOlBHboLhASHxromqwFuGUHJU76uu
0x+gpLs4S+iK643Iq1rChkqoDI0Mj9TQH/NgCYsA4b+QJpyT3pgBtm7Yvc2dCGnoNuO5GPz0M4ax
wa+aHhOoOW/O1nAA+/ahaF1ccAZX175JHEhWIukye69MXtFQCCpRc2cna2hmoGTCuU7rOtQStpPP
sUqrO2cw5gyfiMm6lwjkmnHvjuLPPFQjmbVZJKcgn6UHxWveco/cMoYIl4hmjDo0NbU7hf+UQJTB
zz7mXjnZ3H+LNn/GwXeZbgJ/HZazJAvEDlF3WxrSeIzyzASm5lDBdMfm4iarqG5a8PyvzW4YllNh
5ZSL1zIoLokw6x4hOcv5s7ksE4qqyndu67GefwG09Jo7aVtpF/aal1CaMVMZFdAM/rOsmi+pGDwe
krob5/6tiWevvEm7sQyiTjmiOBnzOn+urGH8ngBBTKNinLI+MtXQfBeB6NIIhKL3s/p/7J1Hc93K
te+/iuuML85FDlXXHgA7MgdRlDRBUSKFnBsNoD/9+0GkfUXqWLJG7w1elU+p6L03UqNXr17/sHJF
29OxrpUb+iXjF2W0sXZCWxP9vdABx6BKVf5D2YzY7aElpd5UVU5yhu16p2114Rr51hralMZurMxW
OEMLTzalm+vJRlOJ5PGobPXnSwpV7aVZoVgwPZln9CXBymPveiV2FJM7UnVN8saaLvCNqKcrOXju
neZhHRMZkyBq63rmHaSwxiHUY5+qFd6xGNahD1ngi1IHi5xEdvqhG0rL/FjSLGS80Iah9SNsiurz
dEm65hgUS3pRkSe44VjUdh2yDxUfsd0RV71BC/JwVo2TR4FGMhoxs5GrKccc46hmm9GQsAAkh363
5GTteVnc4rhUWuEo64CmmMM4TKGL0XINBhEM014w3P4+C+h0EflJKtNTs7aC5ZTMiE4KXmv4x7Jr
ddhoNZ6qUZl7/W1pFOPXuiAibqZi6W4mEKLraizI+fOE7eFpHg8lsQNVAS262kakZ1qr9XPoL30r
6Q9ZFbhiZzMzbk6npg9x37EfkIIP6aZwnfZqnukxctBIA/ZFAYK4baQef1oKnvSmJ7UrIl90+nU7
diSN1qQ3+VaOUuvXR+ON19Sfm2AjilEMoa+Czgrz2uLBCctMWvJJvRnJYWZeJGo8wOCQ3xzjtMgI
PCep7EVDBpK0956mi+xYINz56Ou4DGyUSnq1qYKahtzltOBzSAYl9mKk+olxcExzTbF481OFV8HJ
IB02r1LRMytEG4b5jt52VUy48isZIm1Pzgc0m1d+2rrXpuYTso0uqfTt4nexGUqX7Jkyal54FEqy
NOBcY9FGQeoHVATUpH/xZY+9mtnO4rHLwZ0OKMTiXTOrIN649VB/GQer1zf/ZaWyaWkfNu2KdUPc
FCbJY6fNuhP9V+uyZe8qgHjK8x4pu5isd15L5SlxMFWLcJKlvRZ2CkEaUoRObMbNKm+55uBX/pU/
Ft0w7IQTivU/rlqIYF5Xilz6SUvfLClIJYC4RA7WArfxB0hizq+8rX4sfoEtojWmtIdE6QfQb4Rp
Mhl5u+yyRrI2j3ZwmU5p+fi7JTbqXUDpPuxqiqlvcTEjk0tjLfW866V9jp+mS34xUDH+7Uqe50Go
w+/YRZVPifT1g8uXUZOtoU87HU0pDGCkT7W+/Mpq/0fMg4bFNFZEQwdeyhR6fRZWkSFNMIOnI9SY
n1d5Wl31VVCeGLFj7brGt35h0vAXoPfK+IcQuxooYLL2pjKqss5SjpNMu8mm059DZKp6yXptze81
DFBCv+7sqMPIOXQU25Eqv85d9gX973ZBdBAPWat+z1rRKyh+r2+8F5IcJTEFBkT5dJha+jbVOB38
9iByFhxz4Cpzx8Zbc4XCRFiTWJPYIdREV917AwkPHWR+/kb+MMdwzAS0gouvryyGt+RVKn1l1iQS
r/F4kud5SRsZ6svOng1CGf38VD9MMTwZYZSCDX2zTXl7KjGLNlGyrHad8IaoT+vsapiz6RdTbC36
vwatUNRAlsIJjxozJgmvB4eLt6uBcWFwSnAdSfLq5l/mWFJB1D6iOIPf/StS+Q8PEW8v3V/VcqiG
KAm/mW/lSL9HoTsMVZ0XkVHl2saDDxfh0//b0jy0BrwXJFdMAVK0N3PAVIOjYkcsO5tuNWHG5muv
sOj+xVvxw1B9OwtSDwQaANpvezSVeVVPo92BQbSa2rIjUKEymt/29VrPwn9rc3Vi71seU1J5k2eI
egFKmd3QoS63ywQ9HtWgvXg///crPdzwj//h7y9Nu/R05xVv/vzHpXzqxdg//e38oR3+thvrxweR
NfX/rAf5149eH+If59kXuvQ1X8Xbb736EWd6uZLNg3h49ceWPr1iuR6f+uXmCVWQ+HaC5KlZv/mf
fvi3p29Hebe0T3//4+GxyupNNog++yL+ePno+Pj3P2DVrdq7//7+DC8fXzxU/PLiST48PvzFT54e
BvH3PzTsDv8E/0EdoYN1wS/jPZ6enj9aYai6YX/+9z9s80/QKUQv9ERdocHVkIHGCOtHlsNHwOAs
b7aJ+zxg+z+v5up5kj4PCvf/8vff6rG6arJaDH//A17P68kMu4CFjNePShSQFG/868mcCnuWdd/i
wRAP3vtlsp3jQqMLWq0qOhIvadWxH26bE9cIKMc0Bhoi6ljDdnL9cj+aQ3fmwCE1P5DVFReNR2vj
026Wlk21qZspvvb28t6StvwAwNFvRLKoMG3RxpB9+5K9uMjFZnbTWu7HaTFuRmtoPtYylpcK0dkc
+RrTBLijp31ZF/fTLqvs4uD1OXyJvpBrtryIvRtwiVAB8hlbpaSx8422WPMVXWE8d4c1zpQc0Hyp
cQP4oH/OR8wZsWEsikcsGbrLLEHuRj2omi/juBkoIyYx9161FQt6jp7aOzZLb6udMkYoAAMia31j
DcTBk9FPlqsudbrlmGj1ypGrllk78bnA5pTdp4ZiiUzPujb9trkO7Dy5UXkhL7uSygj7RrGZ0spP
onho8ISfeu/A8k4FLrcblRyyWcxXvc+OZKPZPcH93CrMO9G2wgO6n2K9Ed0hNpxs3FexmVjenspG
key8PtOVvpnzqq/1qKj9+cLyVFUbkVjQgtiD0dAVqE261MXCwfbruthmfqnBrhuwJ0Yhxs6ooO5J
7QZ8LovlfFF00g7ibVVmPXBbk/TVrvVbTIdGoDtUj46W5vFlbCx064wbA/dSZ1hzf/YZ0hNng67J
dJPAdvGagz5MRnxqYtoab6AdyvXF8dRBzZDSd9qcT3SqrtyplCdCjGOrXxhI+oXVh7QCwGOOutVk
ToPxIYlT01QfWUfxOHoUUyfAwJxCqTK+/jaLfyu4vWsq/vc2Sr2KbP82lr361v6pWaPF8PZQ/w8G
PGNVO/ws4B0fH9Lm+3j38ot/xTvjTxqNrvarrKhk/tC2/hnvDO9PchWEVwDhZJv/G/wCIhwcex2N
JCYDOCH9K/jZxp+wsmBkmSsFGKdI63eCH7nDm+C3HgEhJIb6Fqa71HRfB7/CWH1vvdi9cFJbOyZx
PXen1EwXc6v5xuJ4STibVWHVJzNCxfJWZa0TfIYP8pQ2yrm18bByIqOx3kFpmO8LT8tO2ZvMsGBN
v4ReW7sk0YEagmajWeAsN1ppJl2YJtPU3el4e2lhjTubVZ0WuHHsJTT5/MIzU7AJREF0ZRvS+lgB
mEeQ3zq4M0ayweDRxnIQInSa4S+wzYPxumgDips5ZbYzAKv2DImd2C+u7E7MoJ8elVF+sinKPdrB
oH8El/T2egvoATauR7ZTuUfXGh6sPoerM/vpkocec/NULel80NvGplOOr13UmA3OEN7kLqVpVR9H
fWAmbOS8FjtruXOGUoyhSUnnUktT814u85k9Wu3GAOuLhizVb5ahbm7E2NUbep7cl04W3M3OvFzO
9WztWzO4n2ffBYpEWWzJ6tpGsHqwx9686KuqP46+FUd6nmVnlWymo+NiBIGg5CEQnTPyrOnl1rrF
aVcVwX4Flj8PhQc9cN0pFbVRPq2Ra6ugSz3BfvU76sZ9cwjM7GkczZ7+mNn8AfuqqQ6TLCdqEdqi
rir9T7Cdi63j5XDn/ea+yqr7TuPUddcq+mhM8mMsNGdL5abZ2oj8Igcz2jr0plqinK2kY2CIFlS3
npptN4z1tIXa47qA9wP6KIMqw6oAZEkzIWcD53mCq5feBhthaa1NgN1l05YziyAaneTGLozialkG
dQnPU49SzIzPUssEV8n02eEsVrNFpWfvbdxUUdVrFl5/IAhncLyWs3RxrXP2f/nOTePpagLV2NXD
MH8Rvl3WSDJAF0cgmK8BZZIxTCbb2FdePp31Ks4Os1MPZyKG5BzO7pQ8pibCtbJtnUNKjpmgmmy9
U6Nd8VFM9fWLqV700O0DVYZ9berghK4MwsQfgGrmhRarnQWRtAAcWaIZ3ASkK5U7CWYbFVql5WFT
mcGprCpo3qK1R5rQd02/C6b5LOu4KA+Kw8mglgGrY4+qlyzM9Gszqmbr+2Vw8Gh1fNY72qOrHD20
0hRdkBYnbmj1GsjprKiaWq3V7rxcD+6pGxQhLkanbcyuCew83ZWJo3+WrlHuzMxwvxRdrE7UXMk0
ohGku8IfFIsMMX1AFmRdaUWMwbrnx7tRNEES1cW0nDaTZosI+XBz4rvFRKcXGoZtl9FUV9Qwmq3q
ghpcFuBWzJZ5HMyivylxw9xTcx3fOzRBuM6ymjbAeVys0FaSnWp4dYVOFfhV5Afcktuw8QzNEkyV
bL8L6WuzbA2FOcYs4mWbTb66k5iaQIzpjF0K622TBgtDIuz4PEWPc+WC6Bix37+jIZd7E1jjoUeU
fDmNOrXO2TtxRqZ1mGNjc8ziajr4EByu8srUKEsbcFRIA5bbYijb82qQ5jvT7PJP2EN1WCQXbKsn
hKE+tmnxsYbOfDvnK5OsGVCjtvp55VEsrpvpOrG7/mzJ25xiKoDYMDLcjQMEVVewVqTeBRu26vpR
dcajMTnuRWt39dE0pHmsQIfDzIANMdctaB6DvO/NGMvkrH2nkSDG4E+WuFVBujxVettGSvOWw5JX
9rW3dDRrAUiTG5SaaWRkDj2hSfM2oBBgbKaCF5OO811d6vauA6mOXF+65/pcY8TcEIho1j1t4iLw
P9LQIT0s7VRGGsjRtrehXW3ywXE/sgiqA4UO7cnIO8hCU2pFi2uPX/NYQzHgZM3N0LlG1KJwFw2e
iLB5km1nlOUGTarc+3KgPUAbd+lHcwVi+6q8GZpmPAEhrCOr79tTE6jmStVOs5uAVa90IwsuhxTj
mlCMsdqCpff7ym6yyMSGdDMUvtyMXmo/JUtN50hv/jKWqYwKYmYZxsWUwidxtLNUwyy9aZ3pvp2D
DDpDq25cf6LQazXux9EHMkRgRdc4TG+PNK+dz2uoOQSsZApBG+xP2I/Woe912QXWCjUb6cZ4mKrE
3sxC3cUjIR0M2Tw40m2rUMeR/jZbW2Mh9/GPpMI3YPZHsgc9DHqcngBTVri2Nh1Ks5m8ntoiuddm
2Aj5CDdncev0igLLQlusDuBST9zuJLA67ySh4usTQeMAC+aU1t5CPxs8zbpRarwak0yEHRX705EH
Rt46ju9yGNkncZOFTAlsVwKjPsOMMT0GvnZTLAGv2tTTZBC0HlizTnxydXfcQS4rt4M1VpHux2d5
0eLTi5XmMcYfKayVnm2mtkJ0MJop5qRNtk+oY4eQS7vt7MfVWeL0hO8pnh7SDBADGod7qkA8vhhe
WX7uh1a7cIb+erAq51b59h0skeGiCOLujIam3rEXmtr7ozduO8eTd0OVjieOWz3kKhfHFE4BPXKx
3JfjUhxG6HUulNZkOMlMaPt2ltg3Q1I3V6pzUKmxcuEvkl8bSWt+1EBeziBXAfNbIGb3sK20Q6mk
c1ahlDoxM2fXWGD2FIsuC9d+P2sTvdD8qtxmtRWDUcryXeAn7X4UfnfZ+sKA/NdaO72Ln/yChkZu
gpWUP1Bln9KhPAxNqc5Sm6awLWDrBxkMOPUNstm0CniWspT66nTlu7Sq68gscu+2iLkEYRQi4voW
wBbrXBJVtzA8PsWDrYUVzKnLvG3Oyklbzmd3PsOL1L6jvVp90uWWvbU1+oHhjRDssrmIP/VIG/Y2
1rifZg1QKAnGAEDElEdvysdd6VIhN4grgY6oMZnA3Oyk2pZj+qCNDgyZxQKZ9XN1EoC3eEVSns7i
1Gsg2cLeqiTt3huM9Hy9iVJQy7scwt4tSVVxWnc+S72D5gY+SOHnl00jjH3gJe1Fmdi7yrXavT/r
/flk2fWmnh1tn+Z2tdNTMznDVICwY+bjIYnzzCHi5+5V57TzMYWIuJth12xQxzrRZE+fBoNYi8Gk
0+6hQqjLdoJuWTi9cQIUXO8cf5ofRj/2YYt1tC6IiwF6H13ZujrEls+mna2av9S4xn5yFwl/Sw0P
VQIKwoV8pX99t6PCFTQRSq0egj587yovtEOiejB7ryto5mNAWD5vZ7OIrMJ2t5OsujTS7OQxFjQq
s2s1saS5vQip0c03uDdekvdGItNx2jZdtdNjNC9qio0TSGD47thkmynl3kNsafpXH48jFO4wF0Ya
7W0aVyRbI6vAq5ax3w5lce14qrDCQV/m0zgedJpOmvlRZ6g/sX8FjJ7jeIsjP+SxZBmKkx4cL0pS
DSuSqRxtfAFj70OX6n2wM0bPCTOlX4PdSTOcliS/AJ00vsyYXFyqeSYgSLOMrLiAlFKrsjZu/Tke
cWCJpZ82XzKsil0b1nwZVO+AuIvCPqFHXVacitkPmnfTgiDPa8TjrGkLXcHJlDH/cQ1lQRQ1sIWt
J4iNuDEUHjWbhHoBCgwRymSZn4Cb0scJbUVIjuB84DfNJy2Z4t1iyvYYL6DtoSF96IuDn52M0u/O
u5ZvN4PbfLSYeVaxQNsEBj8vqLZu6H9i7jPPoeKStHP92MeYQDbZ7B8psitmMJWsC29036kUjlzX
O+6jXdIBMlRULU5jJ5i2jgr6m75aQUK36k80Si3X+pSmG5we4C406TQebBgvazRYNmR95gbl9Qzf
aKjCJIGQ4/alvfVKxzzV68E+6fWeFADZ0tYv03njuEtl0QeC8+lF29xB6LDvB6OA5wQjZ0X1Dc0M
O70sIp0ndzNhXRtlpVg+Tk58meQ+j1Uvg/l2noJkI6GIxZEYlX6+0L8TVQ92NL1VIgQYID+MYZy0
/qXPKpyHZFrjMR8McuShrauTucrzd4lfio+C1JM90yAvllolt5Wjhp2/Puy4SvM91Dt2X45ZpRda
DGwdNvUst/AE9OOCFPUWK1tdYK3BV0eQzWMx9PWNgDEfJp3Rve/T3vhg0LXxQ90k7+PK089ss52y
UNW6drDMth3Dmq5WQNL6qRdU7a1M56FG/tHW3jkWePZ1nXYPnupLCkN0g01DLdVV5E/QbyAqJfbE
A4ndy6Jcyvtcb/M7P5/iPWASzO5lhMvHVkjcIZ2aHiWe0BEgQXI6VEm74YrqXd7nTMK5r1XYu8JZ
QrYe5Dpd1pnwrpzpsyLrI+PX8Dnum5mimucX6aYOyuymT+AE653qu1DCPd1CATa2pqeCIxLC7Jgq
lZ85qcyOFS6UF9gTsYGlpLiBGfK59Bt1l0IEckJkB9ycheRwqzvFcl8QKkze/AlyW+6pS3jFCnkF
dDlhyvKmXvMkS/Fe9coW4MR6chKbRRahOoINsTbHwUvPoDeZgRk1j5FE1nD6MweaZ5jVurNGsGQb
wFLzUl67vOo+NGLyq0v6mw3WtoR9aZ2v7E49lA0QZTSm7qBPISUR9agttT5dGbjKHVyceDmg1JZ7
Uc/t/E5NWs76qgk2vOIKA2dMIbEW8kyvhUvVz9Mpj6T36R3/rcJnPZf7/quy5ZDaQpsv6AG5j1F0
vCvLan7/XfnnryrKb9Ah3JGRTGG75pGVUd15W1Cm6jvlpWVMF4k2OBstgB1pmJIRqY6a72/i5BNc
j73MzROrcHbUNXdOamzhN5+3o9riirrlVveByjcF/lU/v7g3KNLztaG4Rm7l4V351g+xMiTkkBin
3LaFLdaSK8aHTP5C7v9XJwHtQwSq4xLxQ0XdycXMpldOF5kJEYn/XK3c1V6z+3Yv/78k+YzBfMGD
UqyITgKA9H2BEWuU7wZ9xXheITAExoesf/rhFy8FSdf/czVkBnRDcwUktiLgLwVJPkIXH6we5ZjA
PYMuL3iMYf7JN6FJ4JOCEfc3SytWsRWP4SNgargAmLVgFrBKLH8Dj/km+PseW2XOI7rGin2FiDjZ
G5krbNRcxybKQJEhjPvUhbQ6A9EMocp7rNkKlF/bwKFDRV927zF01297246PQ+b6p07QweTT1Qe6
zEBT6wp/jHRjiL+gnYQpOqZqqtB/oDCZHCvdDdA+I5mpccsiIb7YZuHejWPSlvQynoOPRVn75+jf
3SctS3I2hZ3fHefZBPufC989n4hfu8WXC3WfKt3xYJD9Tc0Uf/RY/m6/G8O/iCpvggokCwzdQWO9
ABoPBiJvZellogxsDxGIyC7eZp7VbMpaUvIbLOApdi3HQcX9toKY/hwyfmua/Wdl/f8Q/Py/V+X/
t1Nq7dP77zHN6KF+g2mu33+ZT4755zo0VHwtPDlca/UR+meBfy32v0wg3/oTsBMzEotOGSvsybR7
mUDU9AnGFt26gQf4wPmd+fOt68b/zh8YTP7KY1rxA2xzHKwDX1f0/VbpWuNNyS2YuFLL5yFNsUvY
yKGWnbirfGd0k9BjjaKcBneRXhlXeULBXcA6T9ph2kmqb9QPSAFyDCcrhSzBPqIKTDx9L1xl5Q+l
gA+LNWYGZbK5DKQNUeVg6S2CuyMSKyevzq0kLnwkUsqj4n/t0jwsu9UXw+Y0TqEtrbqN6xFv3Lin
9mxc5BMARUqXHs/gr4TUjDTj5bKGhd46+c7ODTLOTalpQd/f+otmsm0i1+yacmPUA0GDGmsw2EYd
xtTycm+bK18ZZAmkIn38C57QtzD03WNerX1Xlgn9s0CNYVkxnN87l1TQA9ra9pN7w03qCUBQDdLV
t/TE82E5FrTWSqjBjFPcfaY8Q+k7yqgWw8oqyEQz9Ibu1LBPQp/BIxEVtaFqMwozpoierAnEcpTa
t+y2h49U2aEvRj/oo8KPLR62WxUDIwCpp4Nx3pbVZLXgvthFz2GZjF2XbPN0KrmuRF/d5LbIpUFV
9piJruLmAEqgKU8qNNMFtWLP1L1ri6KU70XFYkjvsW8Ko7mzeY5cXa3p6wHdvtE59Zwm0KmpNImS
rztOlQjzoA3Ufm81q/DYGNAuVOjGqbJUjUikoMCHNY7PWtRW50nd5u1jT940wp5hWzp7m9weY8+L
OrirHL/rMgr/Z/5c1jyEQgjMhM/svMk5W+fYNbfdtYbOJfRdhyRlj9+3oXWRi5iRr2TjmHHbaW46
3efvJv1fhOA1xL4ecqT9JtQ926ZcSUr5esj7QjhuCUT9XpFiJt4R35xYYb6cT9J1sIxhg51uzdWr
f1qJyoqXXBPFJPIDagXHLQ4/v5zXKwLJFewcUC6AQNYF1LxvLidzUgFbfI7vBqA5Xg2I48mcbgx3
WrS1scy8PioJut5iMmWWrSvP5mykefEvKFdvPHXWCyH64WyFLYXF03lrpKZ8dG/UCLw7rykap7qQ
PbEm3/d9kbn2dcCAxNSPRt5HyFJmoYAwqE5Kg1crw1duWnaxGtd/5LSgsdxUYws1/dLL5WJpl9Vc
Sv9zA107Kc7nJraKc78qDPcZ3wZ2/mseyMryeDW4eH+R3jCdV8cjMtfXg0uqRGxy2uVupnifsleS
yuIx2uOE++E+tYYO8SKyvKGZf0XCA0R6e3L4LRAxTV4tjBawanl98qo3bHITK7lzKxex3rtRVoXX
7cTgdoxhbJXrySn3rnPAbnokyZGuDTLozmvlDLV10ZrAMnQsyZJ1pkppkOmE49AY63uRaGkvNn1q
eHlw2YyVCfXOxbmbzyaZNhzT7bvFM0OKFx5RuJFKBh/jqoDJftPWNDX2cKDtSwAmGMWaHewsVgAm
2dDmsUvbM8SV68Qd4JfLk2VePI6MIzQy4e0i+5Erqiis8AMtg0wWhLE2uww+1vc23+zlXIghyjw/
7b2oxdKFO8EzcuEz//koq2qGQ+siz7iv2R7WwDKj7uX/hLuRrLc31+s951nAvEdk13Fyu4GNlH6J
sxJmzemARcTUho1b691ngmjNE65xV+PylD6kJmqhkqx4g0GsnrIA9kGVW0UoIIq22RFVLD1xr/M2
KxiSuqWiG1+3xVi72kPzHCBLD4lt/G7uBIYWH6UhSg4NE5fnfa8XvsiNszI3m6I45LHZ5BSdlMZs
IMAqKfgqJM/1qn07hh19gjmP1G5tKdaoVj1fZwedWrtF9Luuow3oPFobczF7SrALLL3BQBPplk4Q
sscbEaawnFvdZzcXGsP0cqhk5ZK5l85zRJ1F0sw3VaUP07ZLikGuksFyFuY75Jzr4GaQZPPyXsjJ
9yGleBCY4xMa7q3v2STGwB1PTYRVxJgaAg6P9OdB7pu11at56UGZoAPh6r+AK+Rbt/TUjfVBKV+8
b0Y7o2dcrKDW19FLzNO6fuaRuRIJBVl7jS6sZH/UTVzdy1esLBtgcFl5JbRriMzrYm01Zs8oisnr
p1tJ+a4aNmPZF7xVAV4jPPCW0qK7R/yfDPTKLazesW9zY3ayBC+UYGgb51bQM12oG33Oh+Rmgrkz
u2edpxbdUJSx2s4bTynFrwuoCVWqOG8w0+IEz3/gTLm+3zQyXd92Qy5r3pP7+RqzHZtKB1WQrJK8
B/3idIN21RpNqeNFVQMCiPT+ZbUzZnPh96jo8jGAXY9ndxdp7VIzHiyPpFUhLcKSWKAEyxNd39V5
OpreWTL6/fBFd5CImgdDOCZrrAU9rNU2WikQzJ441PPjYItloarnfeUYteXuoIusk3olbJp5+POR
/mYC+N1Irw07WVQBSDCxdInEb4IgsJBFTHKKW89VdqNjEwwgDVpX83JScnxODWPbrvCCEVjFoSny
jTw1nFMcWyaisgI3xI7lF5f1miFDJk2+Tl4PTxVawI+JHowX08mWrL9zhDlx8wruBf+UQxcPwblo
pdPeEHz9hniNLGievgQo4tsFF20foO3LogudhDgw5hElqTk1svOjOi4lq0s11yLH4qCP0cacaz5U
tGOP1gdR/8/v4u1N4IIBWxkmPRtrDwOON892diZtbM3OvDVovUzXgUwC/mdo/shtya3rOHc664hi
WEztvl/Y75vvfn4Fb7KV1SHZJl12eLFxHcEL7vUSp/recOj1M90mTV14zv2kzzP+I1pgVLzy2JQV
7KNTsA7Gmp30OrqY0ONmu/3d66CJqoM5CH23EC+8fRJFB3Xb7br29jk2ms6wBmRmPsv+TsT6zLDg
EBGsE4JZTzoi0mrNe39+GW/SDTaLkGDxEaOSAsPLfPuy56iE+hTSEQMyaA2YDEu1Zo2o9Mba9L+6
Iq+G4jS3Z89LfrF1+WEkODGZDrIXXgWewpu8US1NXzSFam9TLXPZ/REsPIKURIjJPy/BBxkWYqEj
Ih65vI9hWJbNL54AqfPrrAcFDJ0VmFU4c5lrzenNSzlRmcZmP2hvG+gFhD/reYKlec3oHUohCOd7
v2h6pttLEgO5lN7BZzjQ5pMeFrXDdnRnFOkasgtNJzfMxowlLxXOuiDYrfPtnp4PbJFIpuxQywVJ
UYRJnNP7Ydq1mpjf4RbXjPmliCvRUMb2CjQvR99O7cJFmibXRGOKbbf77Gj+mjj0q+N9vymp8Wf9
TQIXhbe41fsxX07YIdFyNGy1GO/hXZ7qJpeSPW/HVvHnmgi5kG1ZqZ7Dfy55+z4PvVqTnCGYunw4
k85sZfG+MPR10TDMLLHQvRNEnQDPiUE1d/UMJ3g8NWoYUJ9fVsBG7xdBERwVleAzvBAqLtZuHLZa
p0qt28QdjltabNxrjlMWF3UMujqfx+BILEcCQ0DWfMcS7GnO0LwpZKhiiWM929FrM4a8NNlFS09R
KLNzLhFGju4iQA9crb3juTSstFiwMNg79pMFl4CYJuUSmuecZeor00Hor4SXLhEBP+MzfE/WcgLN
Bdb1qpVoDXr2ccrmwkrfoV8sBIg+5WBw5VK+Yj5vVTVmF998+YHBtOZFqVlz2UySs60POLaWhEPj
VpiRI9K8kpRKCnstJOi5tOfqwEK/ZoD1RLpALgrJg3/M5zdqqN010aKaXbKeli0rvL6lCkcI3ZIQ
rGu1ARzJ6WxaKPX9TmU8q3Rn0V4ejXRYw9Qu5YfZM9Ejn46Y3YkxMhEzxt02GxvyEV1Qyix2g0QB
97WLvW/ZuyEWnpGWN02OpDIvYkzOkloKNlOIvnnHXSvL/SHynqeGoihDfBJAua3Qwzit8Ao6q1AN
Zki/kmHpdLnJtNxPv1bsB0AioKNiQHENvqggN/WoMBmFvLaVlxwqvy6bQYQBjki2857OAAoWpZaz
LBm0QdRzkux+Hix93MWAW+rUbXD2by8gaaKsvGXGoGfsYHnZcZDu9dLN1vTVtDuVbSC3+E51NJ7n
k+4JpMtbALIKEWsuIQ9ZEWkapenNklkFJ/KSft0ovOxuXsbbcNM1Paqf0ykk9+tRXlZlbdTWyB14
i8YjeU6hfx64f4ie2P4An1CbJlVxfgBQOoxvJrtu0pvn9YOKAamdxR3N1840S1Yv253WnYit0RwM
DNmTzO2fX8MPiwdkYZYN2vviJo1l3nqN37vmZl6Ty16T17o5lvN1qjducQ7NoFDvtdpir7Or6fHI
svbz037bhn6fodFgERDAW80212aLq1zj+/OCVFOvgmh7k2YxZJa9UQVZkFPyQA2qbScbVteAVUk6
BHpkGGnnNVvmYrE4pwGOP0rdBfR7GBPUbIrR3v4fys5suW2jW9tXhCrMwykJkpplWbbi+ARlOQ5m
dGNsAFe/nyaQ/992quLa30lK/mwRBNDda73rHeqW4Bx5tlJF4XqDgbjDs87WwqLqY1dLhuJoWESc
f0wXvBthpBZmVqiLLd2uhHOSwbul/aHVs6pLztYlnbjCry8zf9ODXG1S//f31ib+WMCRw4hKFBfm
Xw4qy2+VSv1q/BghBre6b8WMFkF9zzUfwsZSw+JDDxa0FTaEJoefBXYp3NXq4pz1Fn4a5hRi7BEU
R3eqFlrx9Q2LL5O/IOQM6yQ2l6QdsE8JRg06FNsvdhEUFN3dMFqzq06R0QGwwuDCGLBlgm35dX7K
yAcS5a2fMGQtzvXUt9zsoTH0aWQ5Bu6HPxB4+LN3b605V5JKOWeEXedALOpulmopq5NplJ0bHizF
KZQcZWZbM1Q0jNGjMX+ZJdIqeUOHj/vFOeD0teAN9NFooXzwOG/QZujcbP2U5ZCs1+8+ELRyZu3W
CKX/+x38tZClAcSuDiUhWjhSNX6FXQvEfFGCLvjFwTZ9kgx6ZDm/rJmDsehB1yzs3lkxedyN2XY1
ivzfn//r0gMJJYoHqAtnWzD2X8tH0bLXLmUdvgAwV+ubt631xakCXgE7qyY+kQKePeH//LmOd7U+
RniI//4vRZsnlZ8rd3VfTNfgc13ZaxxX2ULvj/3sAKXDBbH4s//+3KvA9qd3X8PcOKgiWdZDjl/r
9irLm7lT6/oyWbz6fMehrR1iaLZylQ0qs8WdqJFYGdjAdsQ0f2grejYopUWG7Tstrot6/1bgj2Et
B7unDvoCxBAqNf6mtL9mD/x0rYhLAbMxK8UhHerCL/tThLU7kn4ne5kTnDXyI/wJ/SK4nd+HX6kB
sF2L7aJOus8FdFITNyfYQcV3+r+RWndvRRKJM6E8ZvmACw+UWGm0Ku5koG/0f9/bX/BkvDXpg2Dk
cHfJdwTJ/Xk77Vs4kXNTex+8ZZnZSPw802/RjA0pP2FVxMGRqzYqYowWCDG8mEgSOVlK24HC+ZuL
+deLbaNhQMWN6oT/Bb+C27pMGMhRn14aTEBYS+bo6uLK8Uh9yuI+XDng+kbl69t/34RrsvLPD80N
XLqhALNotCi/bq5ROsOI61x2mqA1htummzT82iBESUqsgTwNH64wfSe4UC5h7eXLXnOlvaMPjCHC
6QeubbjowtqzcphVhLhfRxa1bP0FmxVr1kCoPS3pCA03zdZhjaFjCAoHF48eL//7v7/U1bf+py/l
hCCU+tlaul74dbniOpyt3lRMLzsiG0kMx55Hq13CjOHt6kt5g9PHusJgLP22ROnW2P0gcU+q9Cgu
7VXLt4EFaFEKTvQtleA9Bq76uEqyo4wjqKzvGEfy5WldD447R3Z5xg/GrGDJ15lXjrfB4PqlQ3ic
QfH7eXKIazZOW7FgK0+DtLmb6clBB6hz/Q/NcP9ntjL/B5sMMCyaT8FiysohGzZ3vYWAKt+cmlNV
4mgb3Y3tNBivGD5X7vC+P451mTQitY6LfnA9ghdEeUiPBEZPflpZVXeeNlwahI2AwsOOJVdzxhEY
jwyJYBVLQ3KmoOUR+vpaMtIWdaHPC+sVT8MydBvEShDZhUUVPFMNH4PJyrPuN7vfv04bxrFoVQF2
sSL897vpe1m6onEaXia4UKzJVYC8vuNgGrFOgYL1PQysKhmgH5Tebzfff3+8XhRkgxPwyXke/lJ3
UGvlBTC/fNmhTNfG0B2/yzH0+fz8OuJyvdLhKqq04KH/5utfY61/eo0RTWNXob0IKCj+tTaRxhaF
tbbTh9RPdVdVVNRvYKQOZgy4malknaOYy1npzVogBx6gvbq8IycjagVNxd6bGbbSuOHIhswfJtLQ
MH6zzQT2cn4REe9S0nudGRzQ0uCfdzC866fub1btVnrG0aXjUHs3SzA1OJpEJvxxPx4s/NHkgR6V
XSM/VChG6t/ll/1ru0ZyjEYYwESP6THU/3m7niu/tHuGtx/2LYp2xOWR78NqMuys9h0THfYwTAUd
3pYFUe/8oogV/F0D8DPBCvaHT5wZ2zU4KdG29q8Tt8SaKy9dqvlT3QxG6mlqGZ+hShQMcR+FvI//
vZ/9C5uF3sO3QZCjp2Rklv5ysmJ456ciGdNPmUsuk3MkRo6G7WChwzIoGUUWTd+UG2C9OvRDAk+1
Yq+r5mOJy2PQoXdmYPO7xfkvpgOTR26BrgeZDfz7yOpn6KpC1NmnNEr1TrI4pcNxj3BWF+JbgaYY
Es0v0hi5J/WMqTow8fWc4Vhzy0cvW5Q+ecEouI3IpOiu+9zQT2/bKOvUqde3oMDtQV5W8r7sjy18
axMDsKrW49atAG2pnVmFvb9Qje5zrRzmMFflY3Mz3FYWmrP6kPWYsxyi2mdQd5CBmQQP6J8GBH8p
Mh0v7slyZWkTuD7SvzZjXtPFIVu64hxdpOtZy60tLi/EfoX/oPfRq+6/H/evtQCLnqEyA3mLiiBC
D/Xzmz4OVm5iRGq/7p1l3QXDdBa5OSVnWlMdLwX3+fefCx7Mb/7/Gw4GL2xzVNi427PzwIf5Zccz
lah428k4GFDTY7aHI1LjMvTBIaVlDjPQ+rRApXnkk9eiojlJT5ByMvGMXa0+dnwMSblxeYC927s1
gjSArKYhqM8+19lHlpOg95kOdTBgngntO2PZHrNsFdhKpoEipr0OMvINOF+J0GBOCN8dC8oKuKZ6
Qpg24BTZ0DQttWYhaNiqSh092nTJKGEjirKys5vDqAed7zuwJSqcVI2jaqLVmi7ItJY+p1dBRf+o
Q2TKGgq03dvfmJBXQmDdWjvBW4kRB4dx4Bpjj4/ztMK2uW/tBPfjyzrSCz0pk2+exvgnSohrjYe+
pbhUC3ZRj5Y+IWgPvMhQXVwmk4wWclN6pqqUTfnK+wOciT/lzTIxsV9uzZ41MscO3sRGieXfoNEe
r+/D2fhjWcC/xLF3OqgFENRRmH5yFURY5m4i6pbqXALg2MElD72KzV4t4bBSkK0oEFJ8/freeA3V
wD6Foak+shLTiILv4EUwuklDw2/0kJUNizju2gEJ12HdJsm5D5TIh3izgfGJbSyUsPE090GbHgdH
c/2PlPRZ4dwSiYuy4VMK/lI4dwjmaHpfVlEUeQvcJwKzh68yyvLbmM3KfI9aww5vR9lZMLjLOUG8
Amk71AfdPn4erptEHmYjD6QrE2RDD1MoNf63wa77TD7aBtoGj5SdZ8CJsH2fMNbksgckUNzECct1
/NmkobyxPgAsddhDXseCaQHb9xUXW8Uh6i/A9l2sHDExhylCo/hduU27+PMa4ySH6ADPE7oanSSN
x8+rm6XdoNaW3u0kstzBU0xGqSg+WYg5GOzWTZbcXP1U/Ax+GHKMDt//xU6CG1Uxy49nCz+Ie3jc
CRRN8D2EV4MEyx2tFDY1TqPHyK1T9WgHdY/JLZrfOxQIFAloqj03Le/CdhaVKPGNHnozHjv+P/JY
7dIQz0UJ5ezOkMC2lxFAJ8eFPZ++JX25FGeHBHcURrbVfaRdysWpBe7ESXQNKUyl8G2FVaU5Vwix
kkjGbZIGOAUPc4DWzhrK2bqPsE5/QvgYTAe8FnnfoG1iLx2m3oqhboh2BrlpdIcZBg5FbtEEDzQX
CIoUsEnIly2D16oZrUcsPSbcHVbH/kp6Sn5XzV6P+GIMCoTa0Rh34B9vc008TDl03/wsa98Myy6f
KteYrcM6uDkWcXZqJvUEXp0xWX9oOa7sMJ6RSebRsXC6ujcfwOCMv6IpdS4M6Op4SbL1JCUva+D1
4Q3f1QK7oclGqLKKT9gploc+ckeQ5mh9GNbETQ9RFSyfzQrrjqF1XXGcrKp/xltOfkgc2T1iTbue
SxIJPw6h4VzIkxQnUUg9ivO85p5iqrmYbrbEyFoqDUEFj7Dy0hvJRP6TKT3vz8UOs89JP3Qvi9El
Dyn4+W3Vd0N5GNvejUUuLIA7tZ78GUsPvACK+RaR9Xgvinx+FnZvnVbVFaeycG1w90mmBxwZlr9k
qMrXFlrQh9o1hztQ9uxJBWaNuLUr2lNVd+u9uVTRK7AxdmBp4n0I7XVxDwV0BLytq/DeJDfrc+WN
3eeIucwF3oZxnLwuufG6UXKaNH59tJBZuwhEQ/fGxfzuVQ6qEUdwZwYYOIV8I/1bPERC5kffsodX
7FZtFIydc1GBsB9tJzUwU5/WH2WXiPfUz8HwlsSIiVHFm3JNrHckXtVNQKj8jZN7y/NqG8Ojn/by
guB2us0UGiUnWXE+lCQQHPNOuB+g2oTzCaJOw6dYyckAH7iX0kUDHYZdcA6rMvk7LOe3yBfju8Xx
dqmXIiKMy8ElecB9vMYg+5PLBnwi8CZ89tIguHHWXICv48Qdp9h5fwrpOymxFVEzsQjhlI914SF1
agvxwKuZH3GVR/LiYa/Ygs+yZMLSekgBor7NuWvctXYXHhP6R4wIfOtFiLw9cGY2b2BR60GsU/Et
a0oMvpTdzGjwVHNMZGJR/DDLwGtmQmlfq6p5Z0NFqmTzn4Jcae4gDBabsGPbaL8s+FyevVUWt+Uo
R/YMPHZemLENL4rD5rDCBLqMUEAP4ew0r75CTHNIaqy+y6ORT9lIdjd6kQkhe93/aQVD85QxHzwZ
qsZgIJkCMz+k2BifgDfeVMFAax7FH9j9D7dQMr9PvfPmIxCBvFbOZ2PEAXKN7PZc+oE0bi1sZqOH
yE3qG75Y5RwZ18gnKgoUlBW90RS3rc2RnBnFkBGOLdleGxIAoFkV5rfOMOajIvziR+9K4098vJGJ
yC7HeZOrqv7yUTLfFKiP7wU2z1+jWhh3ZTFMLC53fsQpWN2NeV/IQ+N7dUwH3P6pODvuMe3wPzNn
aV/qpDXduMnK4YyLvv9mWz3+Qwk2wXfB4AXQTSkCfxhZjbgejd8ADmBDsiXOos8f29kZAb+SHlvn
UpsxRkGUZOEXt1bh0e47rAIa7jBiOUzNTaFQ165+/1EwhTiNdpHl5wnN4se0hFpyaMI64Qvhim7C
AvhI2W68WAwxfghnYfuJcucBPkSBVssezDsFV/gUIiH+BNCP7+i8ht8SR6SfSxwa+4OA9IrnGnft
1YoK71zMFrTCnBShSyrC/KtL9X8T4GL/7vZOf+sSNQBygpx79HFrO8xJk7A0K1WfmVC1SH8xwgKM
Z7zgYnlLVkD+Vyiz9ljNYfjSWVh6Tr2b3lThOh+rqR9O4LTpfb1O8r7Nlycu/HvR+/X3dsUHHv/p
PBalw97dOsOpC9ecf+XJ6K50h+gpD4gLWXKvOzutSnHqUeTpFJ7hPbgSd7JAml/B4Nz7uZwxdquc
4aIiAjkOBms3zjtZfVldO4O85mlz3HKIbqQ7dZ98sEomLmWZPxmpYR85hMXHppunGz8yCNJhN7uo
ZUluXD67iIPJNT5m4TQxnWowEDkTNZM3lxKJePHDoARf39oe5/X6tOKJhDnqamlsIcdhGaDNL30a
J7lSqKGLgyJHFWljy5COz21WQnnZO1DZTjTEOzyx90K9agbpfBxxrNY4BhsKzJitRQuHEs3nTVZb
TPhPxB6U+PXOqOjX/C2oeJeHWIfT81e8DfumuNKtUnDF4TF40XHyphzrcjlYAzPItzkf0vYP1Jb1
PB22aV20NlPoUPaHbXEbETjlfmdtarxxNgYdX9LX0DLiZZym9RGeSNrddIlhEEoGfLUgLXGU3zwV
9Tjgu5VG3lCcRoju2cnoO6eLDQN72jcjIeb8hwlnILmDc2nV9zaBY8Yrtk64ZbaBK5sXV7VJ8WXw
UjFIYI5e5B+ZRicWBgiyrGwUioE9e/4FTCrFFGWEEwFbR8EAXUh+S4wQaKwtidfIGZ9m50QVHFwH
mnSvB16bGT9UW7NbYKaVxaNFpRPDVuP/jq4Tk3Zd5RIdaEHq4QeMmXIcDkNm9t5f/wyrbBmWj8rz
ZHq3mD5LLAyEvCRl4tTVcXDLldSsXAX5aSzUaFza1iqbDzuttF4tPZ4wZdqsb1uHHMmVwKQyybiN
QTYR2UXXpDn/5qJ0uzBj6MFPpcwFVJCtNM5NQ+O2OyuoLpWbsJHqXeBlHzXtPKoocSsirxOHw697
opbiFVY0WvT0OEhoNN3BcKTGmDw0+iW9MAmQfGY+ObTrxsqo8ba68kZK0hjAua9lf1M5mo2MPQYH
5Zn3XHfzTJjAA+p2rPgBVrD+MyaumrW0s5eFsjWpLsOLSH+7iqPjZesjkAprZrbmecz/IIotskZm
D3RB0g9uzQ2WDTKMToHguwTz6sN2NSXqoP7cbNB/T0vHL9/a82HCcqw+dWmdNJXefMIZW/5g8jA6
q9zJyUHJAm4Npr0R9C/7OZlEhxshgfYd4R2Z3U5AzIpJhbxbUzjk09EmzU7WpxEiJet0I103cA17
qCUZAizuHTFkksUIaKgvNQH840nhKGDAZ4NjIGx0oV5pwZ2uXU/fHtGGvG2XNlPpeEviBLdx7F09
n/FNYlZeyk2EMiAABlZJbbqD4RTmjHp/wEBMBbB2EjZewNuD1fkb1FNglTZKhwyfjCBjVn4QUN57
6PlqBaC5EDwyLjBFt3vVuvY8m6cuMCab8RloO09s40lPWKjhA2KIMnOzQ+NQE5mnoh3IKLrFH/z6
+jSdho4aIf3rE3H1m+ttj2mfASIQDpm814kgpzmeskg/0ISCpfLwwXAlCW51zuQKm2en5hYUfqvx
IzoLPTPEyN2ai0utYCFR+yRlt1ANMj7mUghVrrjHVhMu/GvVGzCcUUroV69dQCfel23SOa4BvudH
k7c2rTUw1bqfGRnq+fLAMMck7KWgc3icUw8jBAa8mf5O4zLor20Vrh77+O000aPMbpShla6Yv8x4
WTDpfheLiZDlXkQ523/lo9YHrrKDIOcqFHPn/ph4q8aponyJFg4B/CO+FmwL5icTCgphKGBKRX0e
EZhMX+na8m+NpsmoY9FFVvnRJOkGzszsdDTPfdcW7lu2Irt7yH3YieeOfsx/2faSwe/0nJm8GU6Y
Ia2N/JvhTSvfAlstIFdcQ4AZtkXXTrm+52OLrSr/fwV3yj7WeI7xZe1qYKPYh7flAA+dqvfavKPk
4pVs5KgpHBBkQOAwAaix/z+EuWeXj1gMCe8rrjFW9J1II1Ce0ht0o09Mgx5F74v2SknbUKA+MT1O
O7+tMo0REEo9fKwXkdTfiBOtTYzvl3HGLmpxYQTlJJFrHtsOWRbXH+Dg6MupDFD1y4KROjZhQeNK
+sEr/isjxXRiu0VdWUoSdzxiSBPeBdrH+UuAFUn7bvXkTGQcZVdy43odJ28Y5XZilxH20iyD2dWn
vR3CzMyPDoAKf4jhoh5AqiZlU9v26P2YX0hReJFRuTg/ek+4CrsH2PrzS0S/zr9vNpx6clNuq70E
mhFLFiiHXJx2ovI+bVsZzJqCNbGjoFVoMm7sNwBFj1GN4Vktnd5o6oFUAs61VgHYJqhO2vfRlnoh
gXvpS7RmxJmI0iemUONzgviAy+9qhh2CYCKKANSgkioWKvEGBJe5/huilfrLb1waKLv6+FkV7Tr7
V2PPQtwWk13PUPa3jRiB/cI6WD1LD9AwJe41+kggOBeH8Yl+XNv7MrhIR/JLkSvFluigHlvf/GmB
jHk7Y93IdaQlbqk19bwoCz84VV69sJ20c4EO6HbyK70TAA3qmietTPa+RUYm36bh9BEt55zI2elr
H0dz+7jNa//hYyyJnolOOBqz26owv+qDrosnyEz90u8P24fes74JTSYWB9yn9Xbjq0Qfz3nda1JT
IAJd4WlG5PyCMOLKNWIYaMCnXGGQUvyObPuP3fWMc9dyGrubJG9wBDpliB6q6g74M2y7i9Uj12o+
NBHB7Ey2/ZqX/wLKX5rwf/GJQZ5G9OcEq2SCggD9biR4YY5C8tyq3C9u0MhpMs2q84cF889Or3JE
d/pt9U3hZPJYNZUcvvcVXp/2q9O5tZvHnjktgSLSctGjApMRMnfGqeH5vYsp0kRzJBp64s00x+E/
PnYk84t/PXIMfJX0+X0F+VMaUC6OrBfUJMSVa3rAPoBgaqlv4Nw2ugKQfs5xlZSTx+Pcp+rb4cWf
+9hsOCC4/ON9uDcJYt7xnmBYK+QNID9DpzuyV1wuDVdPno87mKvheIRNVERHTQYtZYydIiKiJ0jd
tKbYhGVzUMY7sZeRnZZYRmEQGfbnYggJ2MCh9LqS99d4W9BNNg1O8pjmxrxmxxb6smgxyZlVexKo
GaYlblHs8C32SgffZf3889oInOEdyv719boOXLCgFbzaZTSRe3TyAzJTvHvT7fSum0GMpTCbfXdi
KUgfHOgl36pw3JA043q/gWWHs3zHmLHSJ5MYO71CiySD1XHIZ4boXiw3tkAfhnpq3hkFRDgm1n1B
rlyJlRH83isZZyS8LwleurTRmwOCWH1QdRyl/EayYfRPduPq35FP/swv3gdDRg8/AROOjRNBr68X
gSRlg5fHcU1aF3Jv2rZ3ngRFH+pOPCL177Q4gvl3qagxnjoSxzUC0WPrqg9NQiVSeL5DTQ8lbht/
STsY+APVEVOd2YaJfCRv0TdAnDEAqtFJXcvofUjfdBDpwtvJcHLM2v+ZfKHm4klYmz6qpWjhwsS1
DN5OxCma9OFteOA/XjyEkHkwsO9rPV3HDsSTcM0Xt7S7b2VJjAvb3FbaAsJ0PEBmW4TCiW7peZH2
d6aTth70KkjL/OGQoJhfLmGUMGO45MwTy8dschrKMaoyvWxmYhjXt7Ay9SLb7ysUQb1SIgQcXAgp
S3r1mortxCOzIPBHLHw7iLz1cTvbgNI1kY4Ar0qdAsdcGxEXvlPAn9jfmb3zgK16bUB6psW3+7af
b2Nzb+NlQow2uaq9TVqg+/RW3OCQyfxj60hTAb2Pk7rIBu7ZdsjvaxpB4/bd6YmLc7sN5hYrQD9x
mJBvTeRdmJjm3e4btlEpTVLly+fwqnf5Wy2LjPdgLMAYlkuwcZXCxdG77j7ycxd0KYwVt6NtGzE3
g9BHzr5lF9vePprZyB8WeANzfzBRFfy0zZ+xHXSxHVOro6xbea2+w8Jd+RBDEunj3eOiys53Glvo
NMV5u9HbKxdRGXKPtj+yp1LXNwG3gAMAM3o+6J+nOdr6cEu7Xj98053Bm0iV060UNut6N3VGynsq
qYajegHFGw2fGLYoJB7LdDK/kYeUyRYwPpCTmR72d317Dg7WnPq18HpO+S5M9aUH16HqXnLvB3kE
pYWPishk4p7tPwEf6Ee0Uw5oCPUBbfUenjMn/OPwtwRevS6KFjs2/uY/VMJs0Gd/OU/6dcVtSlcx
mdXp7aODdakrZrAWPm+XjuyXPMgZCKBrhD6FnazL1rcssfRDdDyGfJRQ1xIImq5+1bdzwN8ADTDK
qyhtXREAnHun1fcea66y1Qp9V2sDaO30S2tuLalm6HK/U1voTmxXYU5WoHGUaFGSLRc3o0JBwwDe
gGo0jbN+GMsmnBQg2HzQTlqsQ7LD+KZb07t6le7Mdk7uOEq9PkeY8vxO3a7pa7nWMHu1OEUKJmSs
yT8Cz7FEQWA67GuL/otqHEWE3vyHa8W2gTapQ5IZ8Y+gg/gME8sheDY0o1dsaHuTa4PXlibpOr9X
WG9c30BNdtiPbsTlVJluN1+7oQwBFGXYxsTdmJItqAYvjH+FRuwr9ZYxgS7ytiqqdxXbUr1V+qkr
NbOu2HaKshgnCTZKeZMYd9amQyMBlf6HxFbdtv/DlSPAhMeyv+v7vTMyZ+aDN7hlX3FbrTnnV3L7
spFWd+GqMyzMIkD9dfmUJOhC35uypeUP2Mj0493gLjMnUAqYbDtDd76wKUsc7I9T2RtrDzEhG0vs
xypzVcfWnCOLqke3M6LoNMthK7WZKfS8PN5255w1JJYGPrXZEX2ejPokDBSOwOjJibjgxdjxOc8p
rusisTSH+XqxHOSL5n+liIrenKjQm/dOgUDOpff3rRUIt11+v9XQra4QBigWTz3we82lCWb8zOfH
EDjRd4/+JsG2bGp5Lwazmznj3K0T13FKvIv7BgQlWtclG/61NUDGDHHgEZEGBk1nBs5KhPshQnJH
3mKTvLW/P5Gybbz19foymQ2ZFKyDvkU93nwB3sA5CWJLc4JuqNuBHdHcW3p6MV3r7z+ZcD35K/uT
LTfNL8uULnF7HXYIEz3y0nVv0Imh79akds4vO+Qi02IIbCjMs3nOyMDkljKFu1JVri/yRjpDiThw
85ptrwKvpIqlTvQg9jkEfF22trDD/b9/rNm+xQtte708Vy0MUEKLZ4e3DPKl1khBow9YFPvpuAka
diJ1jwaUzSBvaVOsk5/1azfdWbKmVjlD0e4mJB24aPJa7vteoIQ+D+aw1qde65q67Ol8qSscea3R
UtYr+9+Op5AtAOfiPHWTXqp7q+T4SpcNJOJqJcO+WQVNogV6XUKINgyyrXITXqhZ81kN3iNubSiR
/ISwzCHzaFLI2iRV5tUNobTxMGP/98JsmOHjY+k4nParJTAXROnZnw2tiGSyrL9Q6i9YTV7gAIfW
EoPRaf4ddoMO6xJmHD/4uvnn9rFI9Et6BcfBxnjUzmpYfCsWsebmqytwuMECO6m2vC6ioAD6pylt
XV1mdKavi2PNc9ZLEHtP/nBQhuQ/LVaL3M+xV7pIRnWjeUDgpWQs4CfY6VdhL0ymDWBft0pqJ4ZT
OV5/pwl1iC5mK2sazK3ZUw2k7wETsQE/NxMzSo8dNll9UKYb5Q0BpePeS+JKr69oqw+sa4s/jlZt
p6estdyhfAVd1oU53Cz9CmAQph8peeIpDpomKvgwgeWBzgk6wBW0yAhIxOUsHK6cRheaKd9765kF
WfRsQLJERomhNgwbNvedabUviiCtgYAiMF1Wn4u4kxsDR1XXfj12iTyfDu/ogJVZOj14+Q5AbAfA
LtSJ5j4dT3VIFkrP3Olaiu6Qs7mBxz4cTR5htlV94Rw0DDEQQuhmoFlz3YfORAHq0310Utc8CtX0
y/RmZNBG6SjDxrLmO/ybkGQdQ7+uxvWRWNF29p6GKI36SGOlayKr7MfcmdRQ56DEifPjUMKu8S+Z
7U9eiKTKSkcseIi2C6jdu3Ucya4YlvYH+hsxzTheghw90WpbVYyZcGmNf/QoKNwwRjCXEcznratD
fnMCOHRZp0D6sUajrMe+CJr2HpNJLBUuJIFjPrhk0+jcNksjqreG1+hvz2Cs+1b5YzSdffJlmWsW
9UI0Ygp16k6odvxiyrYTT4HlJPUlmbg+WFROvxTiUtpklnunfrXdC5hfNn6YO96tc20ni3mRxGOu
9/ZaTHEpChtmkLBxYvVStl/oJm4klsNAGMIYm2qG/+X0mbrrMEwWIDX0d9ZDs5KNFUvIXf4ZU+9o
PERk1Yn7MK9Wszu7fURG4WEMEfDlZ5LuDVSguTDGRwP2cEUebmUvCa8YI8DZOHhNokpywSuzcQKm
tYbwmR6uncLWUIUFaR0HRtidOx9FjiKIaEs8l3xaTfYHPzZZBk7chgSnPSRU+DaFdlZOQXRndXlO
QLAzWea8xhMzK/VcEVzYfcPmG1ZLNGWeuresYBTnxV1sov/yyrzJC6JeePe66VniBSFvyesz3Meo
6oVx74lplN9DNmX5XZq+j0k/iMCwfK1X+E7lCWUt0TOHfkQcCDJMwNS7X+GCQZLz/EfGk0iTf3Bs
6aQMiXhF9GjD4+AmDJ7Fuea81QGOqd5KeQWINs7U4bu4ZgMOAytNjQeYMbb/AZIMd+bQudEiHHjs
ZAU/QgmmZ8iX2nNvCHqXpKDWowmKKrZt2YDEwlKV20GxF8pbiW9ft6Jc4A30RwjSTnOwlUgEH2ok
rbgirPYmwdr4m5GNO+zL7ECIf2QSSAm1/RLyPPWhwe6na/Ptt1jW1fEE7RXjiH2WgQJRhaww1kGy
xLic64J+O3A2yHMbkSaO3V73ZkK5eVmDUC/8UQBl58eAdC4EJfa6ep+Tqe3M8Hl218YIT+VgUW7m
eaBbpNWC6fejR00mGkZquhD9fz2bLo5mq2V360Nc1j8NMkya93wo/eQvhcXReDubk1m/DNXgir+3
8eb2bZcdd+q194cyCM67zReVgzB7lTnYDIP66g11Ezm7AnRxDM/oRdPZiZ0s0Qd1ubUA+bUqSfmS
2PYqzFXy5oEgaRlelnmAmpmYxG27z601ptVywbBmQDUzEuNV9fhrWKqnpBib8tl3mmT9grsvFK+j
D5FSe6yX4AUnZyhxxPpmV3ZhGRfRV3kqpo9Bz68P2huoPlY03WegV/5EykKyZCIynTjPU1TXx1ZO
BC7MtenJ09i1OKNCmsKWtKUKF09yjlrIT4sif3tSXliec8qiszcQt3iJhgV6EiTvAKtrbKNfS9No
MdxnUBijHJsZGVXVn+WQe29DKKk97HD8zuEzyDhYzeWURF4yxDAP+dAqyIZ7QESYsd0k1Y8pB4O7
oa8THzNQzKcamvRdWEzTaVQRC3EAX3b/kthvNHGPsrq7ZFM1f+9cKGWkhtoqP6p+lO9tKm3SAOAA
xQFgymvnhd29Mgv3AcGKQ2a9Ql11tr26ffK9uXhfUF4/s7tVPOXCJeOMyKXPmeyMmyBhn/dcsUw3
dmXhq1vQZJtftZdjRnaFGP6gDEnveh5+1R0SMTpBnML1vLVBv/8Cg57vnDTFnNXuIpNskCzj5pWy
t98ZQZTeo02b18BlVoV1zBhot4euI7YptvzJv6QBld4hZ6zl33remhM0zkIpIIPZ/fva1DCQUtt3
zAPRAMziaV3UcbFzlyh3s32EYs20uAkqu4wLGiTmdiTVBsQhxIXlqIciSa0voSmCr6Oy8u95Vo53
MB+dZzVbvGWRn5wjaWNr3Vbuna2w/D8O4Pa4KJtJd0ccIkFbCvE5eal9+adhuc05S1l3tHqfx9rP
viT0Q9ipqOIDwQ31ebCH6OJ55nx2nNn8atd29obtun/0ojI/K2NNPmYF3J1A2eQWgDrPR6zT26fG
ddhSc4OIBRh2dXtx6iD/axaG9dqHfUa49mR23+G+YoYGsxEA0M0I1zzg6c3OkkhrPradSg5otBYm
1UYpn8Jh7vqTOdp1HU9R40A0NfPpEviB+lZE9GJxk2LobbvJBDFkdgnH9YxHjzP+fk1HeIPZ4r1a
TVudseDG+aieo1uvqVM4kYNSyS3czTE9sS+J13Bc0gfRItc4SSq4F5WSp2jLAYfkbAqZyDuF7LuY
L+K8Olq2/8GckS8xiS5C8yjTOXnkYzFRT5P1jGKo/l4ZzuJ9KsIJyxr+xTnU84G/c87Mb3jNNcmN
aUz++DlaIDN5j9iwB0F2ov1eI/+TF/KECDnTfyVPL5WbQejF6YEBqiGOxpjZIyiGSCzntC5AwSjK
B2LN1jIth0dbQcO/hZ4jrVtwtNJ6X5aBxG1yRFTovaUTjA4C1SxWmw4+AjKmssP/pX42TbvWCc8s
SHOu43Ix/Ggl0zlDals85+VawiQa9KBrze+gK3O+kz6j4rpJxuBxNgvCX3qB8u4Ba3RGu82EScrF
XvL1gxg6FRzM0us/5EXkioqQCbz6sGnHmLs4FCYD9psFrZo4Sh3zFaOJGJYL++7/EHcmy3EkWZb9
lRTuLcvmoaQiFz4BjhkgCQa5MQEZTJvn2b6+j7oqqwlnFVhZvWiRkAhhEA53N1PT4b17z230I8Mg
tx7Ic3PW39qeX+uEBXTJdlD/4TVBZoLg5LVO2KyXBC10NT8smk663Hcaa12TP4MqKrKXtw0H0E9e
v5mJDtlkcJJg4ZtYAM5tpvYM/brC4PYQV/R+mk0Gh4RpIXbgFJdU4+1xri4Lszexw2WOjmAjimoD
kH/oDOI/dR5W/KBq9Fl6OyP5PxG0RsNaxM+d/uCEoBWdLe06KJJ4Lsil/OKag8X/S/H8cC4CDiK6
NkNP1lt8bWMNRUreTzzv5m6gYcFPYlRb+Rg+1Q3tPZz8UNSc0mEYn5mF0nXejymKRdSNoJ3Jfkjk
B9Wo0PLFvNkULw4jUg/u4hwjPfEtU+vw6+t11cXX41gx6+jerC7gPSWGqwQz1IYHBxJ4kH8s5YWY
WMXn5RPPru8RN2j0g27dw1Ebk+WqQJRGHgej27Gba3fuQIg9RsBH+AKlTcvC3rttFnPNkq4QB+0Y
TrVIQGpGNGuXi56K09aIm9YtLh2yKux4D20b1hXDU9fzBB0cxVGTtIOwGbKbqJkabtiKzTbRjzGm
vDV8yG03MdJDNdp5uG7pPAmOSpyTfec9huxP3C9h7ouPklilA00p46iP20LdAx6qTvxKkXMTPqmS
UqBnLogSsoW6uN5Ts14t6w5xvV8TqMg5FASplRkrW0OtjcTnW2FmQMU0AiR/BPBwCOaWa7P4ykA0
Jo5FnQ5yxNrFXSYKtBivRIe5cipQa3IIafgWuTFmaQSDtg97NufFrgJV1cZ70sEaLiK5MB0jlHBO
q9Aus5CmDolGEifEmc7Qw6tE1y1vvgSrB19pFw2a10W3hCLAr9u0YYTo9SJbknHw7mq9mef4Aw3T
gv6J6WYO714DTeFq1N5AI/EI04uReUxqWnLo9H3OHEDUrYV87D6pe4O4weDU3OGcQitm7tPGudTS
YI72kWl3bnKfotbjMw6JU/PS3zzPJ0PYT0YebPIYiHiqLRuvgQss5/XkwbsDjZzz6mHEl2e3dMhN
S7PowKO7LwmoJy8c4XPvUureSmYftQRRw/UlxnOJB8Mh3baoCPPwLkyXrEbvWQNi6Ed/Eg8jTvho
zLQAb7bkl2Q0cNyLBk04cecoSsqu2uE31kpvwyLBxug4153O1R3BQ9Gxgugo3k9hUlHH0DqcnZCi
IUoAwVhdJdjV4VfwczGeAPIpiCtjV76PbfS7xaY2R4B50aRlMLUoybLhRIBdW1hp/HAR56hCGwVc
Je87QZlRnLcmLXOYbBuUbgFjOaW/HXp7WGZT3V/nhmEVwY8XkrTZaOise0ZswUZmJK5ph7HG5j/s
JHvi9VbDm8pPqsMRWfVY1IfZcooRl47GqIe3KA2XsYnaH2nECRik+IzYXQSDkfJR2N4TIgLTFKly
RmLUhzINGkqg6F5OeKWqi5OquGafOlfxdnEXYeVUjs5ujUIt6bdaMYhiCHNnUUX3rou7itFZB2MP
yke5ORU7MHU6e20e6EQ5RnOJcUawjMxmEbVILMdWG+6cEb4EmgnQMrxcIRBh1wsraUNiHjdRcZ6U
q8usMS/SLqON7NV0X0IYruyLGjf93Bni3Lk3STbOqdtn2AlR2EYnvEzAkFssCL4aeLurt5+E1xZe
iA06oVk+7wPczjPM8zD2Vvg0syhY7yI8XRQU65OrX6oCVVNAUSuUFOPtt3/tWeXtTQo8DFeKLoFD
Be/sMRzp+laFTfqp6m4rGZSyrsree5QUokaHK0g8VKog+D+x+p8SnX+eFHgggcA5BmmYmOKtc18h
YBSCgGIn5bbZw4ICqGeQslNMmA10bTsUnZVO+7GuKp6VYBJesTih1QsvS2oY1GgFyBR66UPMdqJw
NzGv43EN6Jnw3MmCAB4+4RkbaNwkL0PlR8VIfE4pljQF4kpYgN1iHzFxs6d++6qDIznfzlBcZhW0
POBmwGPO/bI2LWPsr310X0YVhLE92xG/rA5sRRj2+w4gBM8FJQix0qAGdTEVyik8qOK68NHlsoIV
R1IaMydFcDAMA7mDjlYeQtdJeS2Pywzg2hrjkmA/0WZUVXrZkxlydAzOTqmlpOLUs4GDwsoMCvGu
SstghKmo/3IMpPWx7TSMvMuekpK4UoQliV/iDjWcgE3WxQbtBbOnUlLYRSYeQhYPCq6lbB2moAfA
yQEcNniGEQeJDmczpaLlqE26UG0owSWSHapCqc4Uf8/0aJJ4UoIqWG5MJCrUmn1Na1nA8zE/4W/n
yFqQZnOQSAhCnkdczgel9pJNYX2K4S08WsiSsvf4OhFHSZHOXFDxp3Mh4JViaGdWux4GlLJVsQ8k
tjzrT7K/ZdC6iU0Xt6G+ltZhVY7CdigaAn7Rukl1NU6sd9WOngc1pkrL/HiaN8RBx+twTWSdkFV0
aSD0JFInb+v1SUWVo6hFHiGb/Epx2Db0ZLLLzsgjpKJKD9rPpmjxyjZ7WtnEOJYBHeTlKpXdZ/WB
vcYQIpSelBOudreQGNCiuctExyo3u9A7ZSnlrWgPVUtobx1Ox0T+VCmn+eHe0Us43hek25BqeDCb
2KabRpiMaKTgUoj4XIu8eENJccN7zJJsjoYtmowl0YiDpFgC7KjyhEi2R+PME5hG1Diix2Sc6qg9
EpPgxscYajkbu5piNW+gxDW6Zqe8mhW/YT+4BHQAvo41zzJHnESPNHpiqlukdjG+NZa07BYvLPlg
RsWial6qi2mStLa2e38gma8/MKX7TPDtqoktoHq5qQ9EnW4s/tJOtjgEouo+9Fqwf4GUJ1qeKxos
qmHVzwLzQ+oEWqqnJSlmqrpSiqDaTyySDDH1B9X5gTgg7npPYhrCUVwhYkstWVaZoSFavyRzde1n
9LZGjWQfCaKvv6/hmWTsoR2zhRYeuqagG1Yap23r2okMOntbpYtWD6OelN7obeomMrR6pzS5kbxh
NGLFIJN9laAGzUVHbsipESwkmJ3G2oBK9jiRp1T4uBJEg2fhnB6ddiNql5DLzrusJY65zoR0gLWT
OM22w2QbvscMaUz6VWOW1P/3dKYmco3UN3amti57XFQzZOS7qipF4xA/ftZTcXVJtPyan6aRiceS
+YC1v54xhyWrR78aDXK0hj5WOHYt84UXR1D+SXUt4uyqNslhrHd5pUdjcNdzCGVM9pzXmYZS323Q
O02S0aEtSAh4vB3GImQE2TWWJVu9XzHwEV4qcVnjqJ+kTpIsq1QBLFyiS2YwoUD6KoNGzNTLNIju
ntK9EfEklKZaRswC/XG+Ix9CXb211zq+clQ3+nBc685/gNLoRJgDpBtBqqzJ2GKfWYS1eCUCmcFg
g0kPxtT3lZEjIILdHY5oAwutTcgh72zTT+v3OFlXXpCxz6ARnRFV4hFvqOBBsnMW0mjhiczCVsg/
FB9KtbqtMjeEXM+dgxcbf3p2S+IJotBNT5xdRNZh1+EBfjTmeHTHlFjn02M2aVMo5IbJ1K642jZz
2iZG/kBRKoYKgArm9CyPPqLM4japMjGCLbcTqlUS0cQXBK2tA8RuTY5u+g8ss7fC1yPJEmm7ULbW
YyCkUVWqsxIdvATiQBRspIiqcQY0lhgeha4nw4/BVBDRJ2QKkf2HNsGukF277MPRyoQBSlTvsTFq
VM+I3QPxd2o7bkupjUb1eyy21Wimuf+8eJ6Pf01KKtTnUXIYKRiZQ82urSd1vwapITdwl3Iupgyg
iQk7BgonIhVSUPb9gX4baI5bBZKlc9mIaVIeB8c6FgN0Kmn1WU9VgLvSobkO2Pp7JKSgX8NE8MNQ
zyGynk/0kFgqv1F5ijmmkypMpufTRWbqp83spxTPp5uioFGVXtYz51x9P3ouLootydTpNF240q9Q
S0V8JNI4vubUAzAQBGvlC5/ZyfylvqBSCVpS6kWlXrS7pZhHTTFScKUkH2q5DKXUzTEDm6uvZuxi
mIRARj/hCrH4iA1II40P6B110ft3gU+XD6MUgI+ym0rDTBxYctmQUPaZQS6QSmqA8VnsX5RQKWlx
3kNPgo5Ai0dVDJqsFoUdpxxF+ydy+pPOxkVNxmOOLp5vpQxp9JdESzeTM+B6wre0J7Wv0uqsNqZm
Rp3nLdDbm4HWj38wNV907h3pAlK7+ZQkZ36SyivyYXM6gSELqSJTzpIcYAPLvufmQuSsTDJSgZ3M
YRc6x45ZU5+vTAigMC3V91aDSF2MHyIWNMDi5kgZsmpQq6+vJuHA4zG0Nj0bMTfdRRMoJbYxBkBz
bxubQGaPRL5x/Q6T3PyVg7OycC+OmRbV9dzXmkeEdosJi+aq04TTd4A4TJa7PEQPY3Oyajz3i83/
ZC8ra2jNGFpWt89auj3epuwdUd2K2PnzKmrNopTm+4aoXzAufF4WDuLWmJFPYaizfBpsm7Vo0SJs
Rt+beBNGdUuxwq7Csg9ucfumon6Flo7f2Dq5+E9gJwBuwdDY4fxijTQBvkxgp/liSjxHbZePCCyM
j9tbAwdsdMPsNE0yU82s/ojxQtTprNYXdbpuncXIlWUjNhAdf1CFokiWAeu2Fg/lkNBh0hCvhEKh
//Z54vw0gdoDHArIHw5NnOZOp42feJ9x3rYYKCrrbkpYZioeCG9O6UCdeqO2HHedOa1kG9NET630
Wo67tz/FL2dJoIsBzDqX+hd35ZzN4umx5tpaZ976J/+SenSymNGAbPR0rk3nUexAlIiwkB6JWO6M
3v4wZ6AY0wCZB/kHvYtBVgdMmNf1pTSs+qZzwvE2dmZh15pHdlnMMCeRqHJsoAnA83/x9hv/ci8c
uuiGxS6fsrhBjev1G5u9T5JJYA+3jlxwPUzTkLoVUG2wG+iCai8wJkMg8qXlvv3tj3H+/SksiNnd
M7gIHKTP2YH0u8Yuwj5/S0iFrFrGQn1PCVto2zj2C5uGOsu//c6GCGD7+RRPUQHGIvFsIuHP887P
thiqItDPIdHY0hOSeyHnnr2fNjVJtRJ+osRJs3TrDH4j5mOlkbFRe4YfyN5NwZ6//dnOh6hpeFwL
h0JFYIAwOi93uAhMAKqFOsnWpxO2UrP1J6+gHKLS6vBDvSfdMo50wbz9WU4j4fV1CvTAJjPAAJ0W
8Jlej5TWxV7v2HRx6RvZKwhnKdhCzzbqT0vUN/aAMbf39Jc8c0U52rDa0nhpBgD50TZoyEugDB15
AW4XZ8xRkvyGl3kGgiFNw7Ycy7OQL3kGUP4z2FLjNovhYNW/tAzQu1+VArBHwvA7XtlZRJBD9Qu5
hUm4jovWmW7E2bXQQ50DUbPaN1Ph+2v8yXLavs6O8EVsqECsHEydHgljxZ8m94LqzzymAdupPppR
MNzNHtyBaV9SxvGGH8SlKcf2RWqZoIR9YVeI2V+5gfjmodYf3r6f5w8+fA/b8U3XhMPi2L/ARZmf
Ryj4gXerZJ3qOF5DPWHCl2YL/+QNJPkJPaexFg439e0P4bxOCuJCmqQsotJh4oPm+guOlTV0FLXv
5TbFNseiNjZd5be3wRjk4XM0zxrUnl5bEHI9rqwkjKBMJoYlkqKUQS+z73rPWUhmx5Ktox0J+yh7
iTWDiBBr43bGCCbSH9jbJhf2QgObQ0kkEFqTYUbU4igE0/dCEiuWPbXtbQrqeITd6J4guavachXN
I2o1Vn6U9V8D1wmoubbUoMTrZF2PIVHxK4dJRDNuNB+TVMamALpQhYSqMZEDZLoAPvD0+D7bNzW1
upgltfeRHzgJzCZr9NpxT0Xe6vwSqV8aU4QeswVp/oU+Nlod8Q3iYSguMmnNivxOaIByM45jfe85
bALrnY4PoO+v2iaGtLunfBDrz2/fPeOXMUT+BjOU7qBWw813vmp5PusBuvzkVtXUa/n12TNxkryi
IImziHClKQ/oeUpltiP55qp42cicJ5TpokCnr5nA4RPOu/AnKU5SX7ugiVd91GcoQxPCUd8Nf9ey
Pe/YurRrQcSJDo8B4PQctmuR40a5XG9vOEXVTvkN711slQepQlbBRoqNhvLphEg7eeXkAhGPqGP0
3z0dZyuTB6HSJWfEJbXEo9R8NqGNyMRbj6bejbdqNNWpooaFFe20+eT3/F/tQzwdhbNj0bf2RH7Y
CWj309aM7gwCqNQpblTrUm0bG7kpJNguYYfKTAva7TdF5vPOAlMAJv/AZ26myP/LpjAbGwFsnOqb
JE49JpqCE5/75cf75x6A6Acv6ESPLzTg3f0uv+OX97coWKHFE+V8m4XkbEov8yXuF9+IrxWrf2JC
EAe5VzEiheEIn0QjTdFvP02/fABuM6JgF8YuBw2m59frq0vN0iVjr7uCoHuaPezTyU4tsxFqWDEv
O5QLkgsHba/36e33F1/w5/XdR4nJDkjwQDnM/rIgZPNkk40ULdcpk8v6wfcHqGFx54ZUFvjQrdYd
XJP0qt8McvN8/8Wek3k0gEDKHpQxd/a9M8carbWo2muiLuKGoHm7rpbnoGjT9aja9mVmVNan3mhF
/5y+kDhjqeU9Cc1UFF2bdOC01HkAetct2Q3UmQ6tWYi5WekC6KSIGZ4uaMEYwoEkzEajxdKChgwx
cPWR/q3QXrx9Wc/3cGCxGdg2iwE1ArHWvb6tIXqnGXpEet0HI6iRDaLuJPM25NS1WQOSIhsd/Fwy
jMRZqM1/HUh1GUE7IJEb3N/cZOf8JnOtuc2++FQ00c4PPVOOQBvlWXot5ajJydQm95Cy9vT2l//1
7Zi5aBkhvvN0lueze5sm8FaCcXWuIsH1/PrDi5yPbJV7KWj/zRv+sjVj0eUYxSRGlqROeOzZW3Zd
OAuKRnOlzEySNTBH2FMBdEyiwSOC3cb8Ol6QRBoo6l3gS3fmgOAzP5DaFertNUSNjPqdKpGphA8n
0oWdRrpH55N5WZqPwB4g3iXKkKiRB2cd+hy/Lr+V7okjiBZEtYSL6JvU0qLLKu8xhBV1Ig5pGJAK
chK4SiuZspo5wygcA15SiJZ9H0cthRl/kILfchJlpxRSMPXAKoTr9ZjIoxlGK3hB3ViIXJFixPD0
7BmJ2Nb92K20pETraFAb+kpbcj3QHyWy2zOWmnD3rV4pjmEkWgivTktYC2+ijh9VVDrUwsZ6EF+J
54d3ltehS11RpEadKco3ip+B1lkYrpTkWJ5dcnHY/LoAbusOfqvZUb+ZWq1d3IuuIIkjOKbNSgKa
rAjo+gTNBWPshOnz4ERkvj3Ii6WORWo6TiGHc2ZU1RpVoa4Aqa3PqltNMe1k9z8VGmRBkoqOKE6e
2NN66ehLehESV7MYW4nKVWdO3wzExfSaURhuVAMOLoQInUxOlU15BeSL1JbaLu3EfsxxhY5wTiir
2exqqJ3V/2R36acbqB/p/CKF0qgJ8qTfRFxuAkUKKKApBbnkNFxLQ9ivNOlKRYnQloeaxypwrwqz
noJrSI3d8CEltJBsGorazhrs5LYkEOjm8gCZsStowpFXF1nwSWyb6hT8xOIFiVXibXuq/G6zH/Va
uL4UzEZyVHCVaREQfTyK48Y1wI1a+yrPiOLY8L8om/VZqjsXyoleUrwIkEYaRHT8ucpSOtbv3rqP
MnfKl52q/CqpABZqUe1Utc9wAEf8FQoAJvsNyRyZfdfqEHvw7q9Dtn6UliOrwYb0vcDUR35jnK6x
8yyt2DR0h+EbZRPDfqYTOw735LUWtXkAeKUtz5694hq9B24k7MkOxmtab5kzrR0Y43Q1unzXyeaj
KksTdyf80lBxhV1fYSY8iqQMVk7lrsHJrU6JR994NLvWg+pAMxsKIf9aBDgcHj0/6zUaHrKsq0yR
rZwF1AYuWFw7+YQ63Ugf5bAe3JlHNjs9uCMMqwYc7uibXbXH/S6GoeyQhxpF9staM4EqbEepIZJF
gYyUIgamdA6mppk6OgxmghbXXQ2SgMK0YjEpOJabAg1s9/hwnYG6YY6RAp1pG453XmZFE5IyxXEu
55jFVn1TOcT8xcVQoJxF0oKnAFLyUc/8wNc+wakcrX0gpy7VcFLeK/ng9CdsiX6qqKvL9MOJnALT
xZcsLcOyVE99UdCSpOVRclWUkcqGGs7cQ75qpD/PPbsLGjYoG3mAcHU0/fu6MFHfVpYzFtSNZWVd
tkVcfxajEWs5xsgLBdpZZ/IVaIlzZYJoJ1s3yqxpy/K6gmcFVM2ZDoUgsfmqkmeV0a1FUcUED3QW
R4Sk1uixISr7jRE78a2TVO6K505OlEkZ+kyixVw5jLusivUMfW2gkQW5CTQbaUQjsQ+T/H0nyElr
LYv/kdBq7u4mxEWPbZkMLwO9tzpiylvzY2yfZr2Oq8Akr5x/cqY0T7UTw2+F8IlFVqwCiikne8Y/
fI8nr6xyr0YQcNfncXDFT6tVQjV4JYtETQ+ynKkIAcrepgyKLdoZxmUJqS/PI7BxSbI+B40GMRt5
HQfgYVtqreC+GNK4L00wgPFsdulE74njVyzPwT8yl05mmf8cbHgV4920II0HQY5xn5+35KFf9YJK
Sv58fumjVjdIWWdNcNRr8pTi/kKgopY52+vZ00z+Kvowqm6SVSfGdCfxTIs0H+HSo+twa7HNoEOi
/LO9nFdqXFMsWoNoe2p71I+OXtFa70WDjX06XaQ/a+lfxtG4iG2C/JMh8R6zfHe5d0PEIg4OSgCV
kVTIOMqYUMViPJQMPrKohIrFk6kcnDgL4zbV/EW/abBc0d+p8eV8aUlViT9FdDRBflNi0L7nKX4w
Gf2VS5Oq6oTVCN5YEFXxXMIAJE2nTKGVEthtjoxYS8auBLSFNOJfCOChJBhGQZlZB81FbVhhETj5
gTv7BBay60m0yqhO27m/JYIjjMqdS6lx6PaDrpMOu+8lsF4O28A6BeOpnYBa7knwZQY4Jo05oDkk
uHwtg23UYAKIt1ijLW095FgCGAjSR6kmZLVxVANdOo6MbBF7C9UUBHCEt1mdEBXZSMk3Ao2UPRhn
ksim9riD3FQpYZFpWkLjAtVEGIjJGhKzjuRjOaXpsNEiVF7Ms0j9BwbM2rnx/L6n6dlDzZRhHa2U
w4Ymp7lqkxog6chrPDnelOBBMbxt9RvZH/IbIaOJKmwhHdZKkCSRV3gGhdVLZyngU3U0RnkW5Hok
HWjaiUIWy9lJbp5auT1U7CLVboxkc1fSGWW7UQ1PaS2VyARXbkhlkaeTO1sUzi5x7mOMARddJzIY
riSTPDWjYwrWhgc90XwRUytHs6IWpPKZS4WUWiDCRgsVadshWPKOfl82VYItKnTtr4W82dWJYNSn
xPQRrRcjbHu0XF30l60xirrxQxiNpVORRSCscrnvCQ0SRwDR5ZYyEi09eZUd2QelQlPkqNcgbJiQ
3mx201vV+F06BxDsIQnJfcFzKfmAdNLFpjqVSi2D7QX3v+kgVFQP+pRYBlInSdZzJcVLXiT1jCHQ
X9th5/vJmrtHVazQoqnPjG2E8y12N006norNrJIZRryRyQgbkk73kNawVNJZuSMEbLwP8IaNt0Q5
PD/1oX/4/GdNjEWDJZmRoy6yih5iha4aeys0TvF810ndCtR6sD97DiFzVe9sDM5d+vnt4915jSLw
TY9EBvpjjk/A6nmRbnXcuUqiMr8q8hoZuAK0KirNIntmijXzL72xhegR8wg9OnoctMnOS3F5ZvWN
X63xVZrHjf914aTgYSeoiQQlGrHR5qLcl1AWmObffuPztgvlcQ60vk2Hjv4KIRJnUSWa5lstvz2+
LKel9u0jRcneja4CQk8Ri9NXHzz/AiNyayDeWIe4y8utnSwW8aoua2pr3mQn2l6vFz72RaAFw1Q/
vP0hz5WwyF8hUhkcH2Cf6L9m8C5ILDyvHq0LpVCTGrhZ5Ze3qSiX6v5c59oBQ1UdeynUOt/z38/9
WNf1RZXPKOg2JsgD7X1bJVoVbVFqoWreFAwDq9jbMji+iYs8xx6V5FqJHtZpwRpvYnaqVrwvAFZT
tJdPi3OqqJ++5r99m/89+l49yGJY94//4M/fqhreSxT3Z3/8x8X36u6l+N79h3jVf/7U69f840NV
8M+bP3KbfGurDizp+U+9+r28u/p0u5f+5dUf9qUItn8cvrfL03d8GP3pM/A9xE/+T//yb99Pv+XD
Un//493LXwVs6KQDDPCtf6f+6vjXH+9oTouy1b/9/A7qr8W1+OPdMSeBqEq6/+JF31+6/o93mu/9
nY4SC5tIfqLFJzI+QYGLvwqMv6OUoO3LQQAyL7KAd38rq7aP/3hnm/wVmw3OPi5FK1xb7/7WVaSR
/PHOcv8O0JUng6qp6UMGNN/9+HivbuT/vbF/K4fioUrKvvvjnXsWvuOgBaDqTDYMzzk8SHTOr8t0
iZvYaW508RWxfh4WcSBiOE8X97puPK3bLPj2d/aQBu9r+Gi4E0MnCbf6iAUfUzjAwsvWKMJw61e5
e7USrBPuc9B37GDYQT4OFrC+CyP1AIVnQdp+atAHO0wfFobIBSBhvRnNbrzB0uPjweWZNnHm6ast
/KvuTZC6HjpcBGtHLNa9vSnTKtivZDS2+9EAHLkFBxNeUfqqx43tazSn0sX7But63PXAZ/YRfqAS
UB22je1C893ZEVJqmzeB2Qu8deHeTqAKKRUNT11uEovZGYj1Fhq71s5hpX5Pc3t5nGO9v2sjs3ii
Rz+XaHorLd6S+cdixnwY+ShO6ifo4OOFyEDdGySGXEYUBK5MQPDXRuxfzInZatQ+k+rglBhNiU/E
7NhPZmaQFRES7Qwm5lMeZOYmsdr8Pawcd0+T6Us0LvW9Uy3BrsQg9QCSvSXvY7F3sWE+xO7aocCB
MqktiUtFSssfLE/L76xyenL0iZiUPG/zTT178Tc3NOsL2yM7oPVKljewg7vEnZunsRX2ioGEu9uO
lfpugnbBZxvW4Uaf9o1ZVXdh3Rb/TEc3ONACXw6dk/jbqPW6JxrG35wwrHZGaIRbV4sbGo/8K3bW
T4GtGZsW9AmmPgfBdVVsPTgL71Oq2U/WHMzXFm7jhwSbx2OdxV9T04pfnMqddms0X+e6s+ycoU03
FN/tDZtS7ZHuR/E+b7NiW2Z5d2fSfcMInHLUC7JHCFn9HTEJwzbhif2YzWu4AaIz3y1JV+zq2TH3
RD5XdJGmaEcCUvRh9em34Llim7xNyyrg15LTutfRxV5bcaPDyx7+yvn5+2iw80dvLIGoL3MYPHmY
rR59E6s3fhsYhXW0rne2RhJCSmzQRabP1cWqDeUT53pzg9a6vzEz275ecnNTt5Z9MBj2t+zg189j
6znJXuv7+AoCM1Es5EygWrJGe9dk2UR8ShgdtGa4phXRXeFuuh1Jh/U2q8s60NCu3vrprF2iCcXV
SgbRuJt1kkQGGudbDtfPGlx4SD9P0EL1Q+hdIy2eURGXf6KFxXphtfdanz8bSxvsgtx+Mho935d+
/Q0Nmncs0gqsLic/lOhfCq8lGwh37EIuhXnt2FNO8CZ3avlLi5C6VkZfsxDrn+whmDm6BOGl0PDf
UisM9uFQR7tUtz8zGXb3JtChA6z1aptnkXNcsA4+2642becUGCL7KX2jWULIpV15bIM3YWJ+HkXa
9uAV7UXuNeaRfJm1T276oqda26+gXhNC0FlL6SpiM7GLXTGnqDOnOjlkUzpv7Sztnuih54+170TH
MeUyL2RtHwPQpY8FlaeLEpDBjmW5vViz2b21wSMtrTUd28UOs91kdNPjZPcU2RbtUgOhdkfnKC55
wIgTnPT3MCOR+VPbaM30YaEuVdxMlXNXtP7XqqmcveuuwYfUWuoDjFBqeH4SPiyw0+6duHsp7do+
iibXZk2MF7dma8n6rvdfupavjHa63pEbYF5HeVkc0JkxpPUo346k6eF1jfOHhWkXqDfzXQ4WnOyT
cvmyDkGyGUPm53FgDCbLvHwJljlBkJzozfumnd+X0D43EFyLexLY7GCDAGGoHyInNI5WPcXdRW3a
9P5zZ9Sp5qXVEUaZQKyUPc74ugye+tT7pyC/bCNAAwf0iAJd4BukiGhu74NNLalZsjMDDBtB63DS
AQukq6GriNeDjw3lsMTNzCNe1lM+D88xjgTDFklW/RUm7XhgbdGabxk56qTZ2LS79nM8me591vrV
sEmr2b8klShdb+BvuI8zCzaQ2JBHJJsYescWdfmfnZG0V/FaLN2mXy3na8/oJ4INqHC8NTRhspjc
2ntqcs03abPq7VXFfu+qIQMG621aRpcEF4hDR3QP3jp/72spSJl21LyLOAsZuME6xZ/Zpnb70bSL
S4Mt1gt6Fh0DoM82cBstvX0TYXVLyABD3gn4YQiPY+3zfFjjOG6sedUea6b2f5YZQFJIuOZ025O2
9bDM0K52gEaQqq5GSbBO6gzWDPZrHT7pCGVfmlZPPrMmR+VmKobbjrYicHgn+Kc+x8O6i/PQeqJW
On7Ssny9K3TUqoabfwct4f7llGgvNklsNQPbyjHfRygvj+BojgWz7bZj/7DslrzlaIl9JaFlmMb+
84DW9SZ3u/wvDV97eFUMptlt3DqZHsPGdmk42cG+BqEBJhz26LZilxwCMDDi6AhVYv6WwUS3mYyi
8DnIyvFh9iB6bQpiFzHPu129Ye/bfqael91ZeR1FjOLe9rZmUKzHYGiyv2xSW57qqXyfkwECxm0t
w2NmZMWOdFEeVoxQzf3aWARhd1Pni8DiJCz2ixnot/CZps/0uKfvoR83Xzj0jAeUDTj1tQiME8Df
RbtqjXR8AFNPw87qWu2brS/d/dKWcHYsze8uB2+pW/JJpvoLaNnSB2YaDsfa6K2J8JG0WeCzFOmn
xk9snJiV1T+ldog3QpstUB99nR955pL0YjBxFm0Xewb9jAaT0lyrfw4D0kP2ZaJn884YNediyO3k
iTQs/aKxFm9b4sCgTeLb6QXTc+oTl0uz2spM72aZaAEacQ8TiqLNbqFwtOOQQihJXuOF8Vt73+h4
QBDJ9nsnLsHtG139aAydCJhzgptcG0k28xBm7maYZkd6TS1inLxsPwPy7T188ENnbIe5q/6kOIQZ
E5voQgoiravvqI6s2xCe7s4y3a92FAcfvbgsXirizQ8WZawcei46ww1n1ooMvSBjRnTmRT8mJA/c
BqS0fqFknl/Wcb1EW5NEr3KzWIv11Zva+LoHB/EMzTRONn5hzfamaUc8Z5VZXUY+2uxNRsPEv8RY
tzz5WdiM29mMjReouQDWSqf+EhEj8+gEfVBuU/TnnwfoUuEebc3AWNI7IoZLz/graKh57UNyQ7Qr
v0rDP5OgLz8ua0/Xzirj+XroBlroIILhLLVdQ8iglR3TKHvQ1yH5sym9u2gZQc0W45bKxH7ySaQr
lz54JDxGvxs8O4L4Cztk58A1uYcJDoXAiLyLxmVjsaFlYH8NvNV0UUjX0XNpA8DYpMVka9g0LGPZ
Gl2iA/iKoruuN9f9ZK4hPq18vFhtB5Z2bYED0fXhxtDivTu0xXf6fAMNO6pq3+E0E/89dpCcMrdv
P0YILb+6SLEPI1FMGe3pAPhk3SKNheGYHSO2Wd0mDB1yBBJ4vDZJS3b6V60HY7lpxb9qLc6ZWqzp
tgqb+FMezvmHxNHjCz1xNM4H4XDTAvJJGeCuf521BcVInT1iMUVXoATQV5RtM1z6CT7lTWlG2Z+d
D7tjE4fTCJskcfpwX9emS0lsXa8zzaivJvypN3zD/Ma0k+RbuCb9oUj6/pKk6PEQBVZ5bHBr7KiQ
fKqXeRq2hokNCP+G92Bh1Phu6EkrhTz/0in5/+UA/Opc/d8dt///nZK/VUPZizN3lFTlzwdecTj9
74/I25eleCn/duzyl/KvVwdl8Tp1SvaCv3smKhGCQgPbsMWh9scp2Tf+TrnL1DkJk6aIgJTSmDol
G7zKQb5GNrdOTf8knlanZP4K/ZiPpIizt4tz2/hXTsknBe1PEiHHQYaGQto2XfEpHPdcIzXTVIdd
bxzGJOsv8IQQVFrA9cKyfzC6OTr0lpF8tnX7L38yowcPmsdFy9lMb4x1KzZMO6IZg0ud6uEmIhEE
k3rim/uxgK3R2eNMbyc9Du74Odcz41sQL8bRxXGy+enCq8P/z4f9c8XR6Wv4FD+FEsbGlihUKz+J
3Kj4ZklrtfphtajwRNlHT4QhmaLVvIG7M9wty3IRwyYiCYqoX+rr9UwcGoakSxgTCSl/a32RG7N7
Q+HPutL1qN/WfjmLdJ5xeN/6Wf00r/UnPU9/IyY6iaxf3QGTIoWNANtGvBOcyjI/f3TTz5ImQkV2
6JCQxXvDbv8Pe+e1XbeRretX6ReABgoZlwfAisxBlOgbDKopIedUwNPvD0uSTdKWNNRX5/TZ3aPb
tsxFLABVs2b4w70Dk/gR1Y6x9t0WtUtL1tUTpXF5WzfT+7hJ1IsyEsMlIJJC9w29TK8RWqsfOKfy
NR9w0URAWkXFAKqYPsfa6B7gaT7OVasfCjUenxSEyOCFzUV50zsDokTqXHaUV/ahdVE2xBw2hmuF
0VflGXlZk8cmH3BYCqOA6BSOaPOZ2MvqSZ9++v1+3A/7aK/CyNX4mQlh+/lfF09196/tUD4/9Wzf
/3t6bz+MKkSAHweV/0P3Lhqe/kVI+Zf31H4ankG9fm3prX07PvstsFjiHZAooPFwCICjsXn/DCz8
K5yJIRcw4yBQnFrb3wOLTTiiEKXtjegJ/Cqadt8DC+037KyIVX+Go99ov5369i+XtQO6FVIy68EB
Cvh3+gfpE3aJ7RyADLPvEjl0R8CYM9Vbtaif9NrVKKbGDDaXKoaLcnGgAPfT3BiQ22IbaTe3uTFl
G1KaLMYHXLY715972aNyjLvEp0wL8124diI8mxz18sUz/4d48rdNCZoORoSj0aA0eSInhsmLeKKo
S6iiEz4FMWPcp0nqSPBZJt43Eh6ih5VT+yDGGK46kLHMm3EYtFAJm9VJw3jaVY0DDX4KVIXWaOVT
SxumN5BHvI9ige6vaqNB6szXAyn1Ryqn2fSaRVeuRySJtnYVYkVq4xZHYqSUH5coKNUrimNyGxWD
pRuLOuU8pM4+uHObo8ZXwOj2+jlrdiRPo/aL2PoG8MdUBn4IJCaNtwi/wHhzQojBGBH2riQCQiZG
6n2MABsa7z4pu/WLWLh2ZF+tGS6lsW4R9uKgBK38Oooj3mKIvqAysOy53RB41CPm7Qq10YgYL4oB
u2gob/6/jTg/7Pbz2iye5Y+jzlX7OXqd+nz7yLdgwwJ4R3dpzTlcogpZx5/BBs7JOyD2VPwcYmwX
C7Ts916/RaqiIeLkUuGogLFZWt+CjUGIQi/RtvXvkeh3shgqrNcrRzVXeDdTRBP+IbJNb6eIWTcs
0D7d5DrNXD11fV3A0fFaIGpX+H0Yxo1hNW3HUEot220YguoF/zUmlg9xtZrkZQMtCNe/rKHT2JMJ
6bhP5kouP5jQSjJOYHJ7Dz1P9LaXUp2uewTKnwuVygoEYVfSNG5phqvQRAVQa7zHtcwZd5VrRJsi
blJI16X4okcIXXhux7RRWdGU0nKio50ZjVdV0armYOe3pjOFuwgMTKC7uXqFYWY1+miDDLihaXBb
vSWvsRxddEN5jz3IJ0dacQCNJ8UVzrUvrXhMwH0u6bnMaHbYozn8MaWDtjHU2rWA5VnxbQuCjRlB
hYbyOCyhG9TaVKB1WnPHiFstDHxR0asDECPx6q+8jeDT+T1t/08Q4Pv33WjF6aWpSSXoktq+wpDE
gMmAEj/C49Zs4lcFacULXYklb6f2yXxnm31fBryJ+WM4V6WHXB/2lDScozsQjKHrdQiAZEg2xeMh
sVC1Q19OfqT+EebOMqR6iEp93LhW1pW+ytRcbO3einFkSPT6w9xKhPKiBl9vxx6LI3ANFUVj06kH
bNcX5wq0JpwsPV87EemSEKJtSeM4QOAJVUiYLfNjP8yNdc2doMWJxXMhaRnHMkjUQUcOoLWQOUjj
L7SJjU0cJSiiJMawnSId3dImgSRXxfYNTCH8tHGzjQJt7qubDN3k41wZIVCzRtwopgs/bCysY2gw
NfLa1rSeJ/SgENSswMgDMMO6cKZXiXjzDKti25RKfW5EajpfqOWg2vWRVvvkkBSaSF06yHEVRo1T
XFzW10Cv4uqwlAlQA1VPZhpmdGGtlqFTB6cNl2z6c3EpHCCWNWNfIygWnt7N0CGXSvNttO+Kukym
wFakWz/k7WgDvKiwP59jVEq9Vo2ZcuhS0sW2NHoewAfC1j1H9Sx+LhpaRn6a2xlKZmSVyvkIaxu7
PUdWl53iJOe0POMzKyynJ6oLZmNZNw2buYZifZDRHJsoT2olXSqMvOL9jOBLtecUzYXXi7kXOHdB
ltirbWFvyyhJrhM5U37EzRinSJQBhd2BtLPpX8FcwmQprYbJrxmdjefLkuAIjzQH2X7M2wwQHxuF
r67IMy9VkLy4tko16fy2GAr7Qi7FdJl3prprwQEEaK1GMyvOUEY/tXFYzxUbB9uqykdoJFgn0p5S
rTYocmf6qCVdtUPNsImOhtrdLhJ00g34yH8j9FKypxQOUd9hAommeqV3q995XPTbCIWPjzKsVJpp
8xDf452kVTsUNtpyxx8ClnOVkvqfSDTfGY0rMRAwrb7xkzzXrF2OPPB0sNNQP+hV3X6ZFOO9OVjO
OWbe3XI3ZtpY7ymDBJIzkCgCp1aYAXWderGEqXZjlDgheCisMVFI6RZ55gBEDAmLdLdI3TmuULIs
cCZFynMpECy39a5c6I+32Q6l/G6TY2yu+AnvqkJTZEkDbTH0G6We1XGrDzE6726qnVUWJvW6kyru
RsFYE/OyWIp7yGUJCnjAlLw+M6L0U9vY6VOq9sp7RoXjY6fKsUXi1TDYa4YcAwU9qQ1UXpCibRQZ
fq5jJLz6PUTtGT9gDHSRGBVCKMHKIfIsejAMn7Cj1AoakbZZq146g0YO5IDIitZZdGaR2ot0rxzr
kclHq1eoJ9K+QfrOLAbjosJh0aF3Fub3Yo70B4QXPhgs4d5LOpnxbkpV21vOZN9YZiKCqEeQG5/s
5mC7pa1uyqXXNrlihgwI5CRvmeMYl3mhDfjgMUAUFxMDjYulX6x05zSV/rHp5UdIkqPr9VayiABM
1YqWG9W+84YxlcNFURficplFx8wWvxS/4vyKkEQZw1aD9ZLj2LcvdICMZuob+JiFR2ZQk3Np4GW8
/f3c6b+4L/TjfAoy3U/zqcvP078eqzZ7Vbp9/dD3vpB450DyBRCD/CTgCfuv8m1tGVmw1+HxWlDF
X2VU5jsV6w8wDSvVx7FWZtX3jEoFjgGWFFo5BHMX3M7vZFRvkn4DoXqd/QBDHQYVpdwbiJIYcVml
CVIdaPKSqWRlZF7pLebxSz45wYtU8x+KrTe52+laQI2gDDu0yDiBXmf9Y6cqGC+L8mDj/3W5IJx0
uZJHH2aewHnTLO7m59dbf9+LKmO9Hv0qxHxVlLapgN/cW8v8lVCucr0CWXFvUusi9FI6Xpe9NHCU
6NHH2OjSEfeTlWj3P7/4mxJnvTg4MpqBlOAUf2+FMhpFRYS1a8vD0vb9c5EXneXlYnTOOdDkrQwX
9yGkMvrFLf/DI4YEieoyo3TW2ltCHgo7aYtjQIHRnJDXWR73zyMzmsVzk1ZeR+r82xeEN6JSDHBF
FO/pK75+p6mqIErdte4+VkLODIejEzKmi4eJrvyhI+L/CxThW46YwQZSdYsWIDNtSGnOG2Itg1Uk
7rBN3Q+VJIkfrLDTrhbY42jW49lK+B8ScenkpXGw50zcNqNZPpQ1MA3MuzNGMZHd2bf9rNGWaMma
8WOv4+5cAOb4OGvOL1YBMhhvF6FtQkpepWd5m2z2N9+3XDlRadEPe7o4kXGvFJoZnnUA1ZstAvVY
qSCfNh1FFc95REliinv24HyLWmq718BKWMekc+jmIYNP778jQ42tnLXUYWF6ViwOTptJzOEHwjdf
xWFGcVloKs8BuUaOlUHr8B1AukvzpllDIqg2pbhUWltpQSKo1Rn8Gnkrekteh4lLL3Bpx8r85Ixk
WAHexnLcONAe07MWjeVriyhhBQk20e4+VUflA5BKN7xtWioWso60YXRv40waVR4+1kJ8ZpWuo3qR
JKm8YCwzGjdYME7nDMVpaKAfOXmjC0rQOwUCfInYpwzB5DX2hfLazZrWwYuxqR+HVKsfl1bVD9aY
kROh7lI/MkAbr9WuI2F1m1USCnFzd4MagvnkYJ54W7W50IBGhfWjHvfyVoF/dG/2gxMkS2I+wYzX
SoxlXPloVT0IGnpcVceTNeXtgKquFdSk4cwNOy7olkn4gP5R1gaDM5lPWHKwzJaR59Ya4h6GyXy7
OI37MKHI/WQplrwlM3Y3jT6Z+naukt7xXanEtdeNobz9ulbjNNIHP9aTabhA1LB7ztNKAf9hcrPa
PNbdrpvGfPGh12XxEev0pDhkjdIUtH011xmYW2rxh3ic3AenJp4GPcQbuSlmYATeWFrGU9U59WMc
1Wz+pnDPaSS5D3VekGwaZcLKQG0AiX9IIGetCpqNxBqV9WGY6ykYrbV2ZXfXjxIcSuGvrmrNdhza
NR2KhX4YsBiowdut9zoZkMecqGr3p+dvyN709cGhjMpwc4JHFHd+UzI6PP1MH4alX0ARJm4s8V7h
Xm9iux+DCY20LcpWLOB43R5Wn031vsNFNTwTUGtrf6SiCLJGOu4t3GTRIiSFLM3g9XCJ0su+YfKO
0zGKZPIO4IbaRgDxZDhu81SdvVBX+ADemkI9TAieIEyMg00ZHzu6AcoOtFSKRkGkzOFtzbQVZ6EK
Giy13tCH5xpCDI/oS0/PI9rAoz/hPZRcYw2mTR86Hn+868py3HVaXGKoouLxhIoEwAGMuqhSR5Pn
3N3XehhvZDJTN5e4K7l67jeARw44pBjb2kn1SxNMCIngtEcaUJ71USXvsSSu/LgOE167Ml8aZmb5
nR2Ljx0ibUEdY37UA3O8QnKjv53ipotAOY7mH72BqB7rq5vQfHETeYYE9rg3nCoCXqXigexhV3cJ
Vzl6RkxMXFpFYh/LJLYuaxWpTw/A73wuyqnghUulq7wljZDaRN3y2U3iBgyzMkQYLSe9e2QsLSn9
jbFzPYjF4QOOq/QCEOV7D/uVyqFtnkphp5cpuDhj30w6IRvkNIuuVUeW1IztwHMs+AePuCxvOeZY
y1pYIgtjKSGn9NImu7nr60dT9O4DSIuBCj9yCuCe4ygpxOLwAWCNuKyR0n2cOwyVvDGbniSquw8p
9n9naHhn97DJ0w8pttCL72K/eIAYn+wShA0ODj7Wsee6YRlwjFb3lomVYpLij8JtRGjmFo55NDFy
cj8sXS3+KBD6ANgZG4NzAOyx6JMvEF/f0uptsyMCKvqnBScHC/vc7Ji7dXiOfVp03eJ4dogc957+
SfOQ9y0DSDoKLEHxAIl2CKDDppeMm4nzZi2So1vV2h8oCFPtAvwA/uFO9p1mOZkdIHF6MHXIeYE+
NcJnXwKQw4DA2bqlVl5JnD+G7WJoD0XsoNIpkbr2xiKeAgNWjE0hbpiUKHpYXpa2YnzKhc7P15xY
7XtGP1r4yXUmIDNNU4fVdnGqJPcYbw+Gn6FRf17kycCjg2vtLb0ZfZxtp9onRulc2bGuBim3tLMF
NaQPg657BOhELlL3JlXrlCh+JkZea0OXfZPknUGwMPKovWydbj7MeuoAhpzdhxZ0eBHQMuieGcu5
52ZoEt4yCyKS1wyslC5SnSCSOMfBkqb3FkRxhao6vN/EayyNmJ66/J4RV4yd1cfueTfxavw8R1Mf
+yfE3hHnhAiW1GsVHmclS1DqEU2PvE6KIIKv9kSjpN1jRUYcHM0IR0P0SJxzF1g8MFoo3CCaUCH1
dduR1zWmQ3jhTE2+s8Ed7UFMJzs9XIynhcEpaLA1TNrxgPEQHO116U9qHl/3U4lmzFBP9HEG7NVg
uC2j10LwfS7Bidae0KHGcLI25pOdcz52QC3w9TCTvA1mfE2wq+5htx6hEKA///VriRIsyq6JUzKJ
UFE4vmw4HmcNQm77cR7kdY8G433hTC6g37ycMafRrJIadGbacCEssBO+yrDwEZ3UOr7STMpPLNjp
6PjTCLUuKNtktm9RRM07TgsLCygAqXHUAA6eHHVEZyeShnUcsi6lldGY8x1GqeajFQsC64xP9vlU
oy/jZTklPkeGiO4nG/gxcTO3zlGrcjrioi3u8kpRj5ijKl/6tnF38TABA+U7k+Ukiu0+aHJiWTjo
DA9+4/biXm8bjqcITky2bW0jQ7mHuQtPFFrRAhxw5lgfQFJyYLaEqrtwfaNpqvOahoIVh6sZqZJo
qBqAqKitGpgd8vWb3DFD9UEoM0MUnhOp5Z2lJ8pwN0L+tWo/wXE7dm5z6LMWR1WNO0vN0djMyRZv
MSUS71OHbDnayalHFlaQbqBta24SFYymD9srwWYRGYLJmrVdobjkIDZaVMfMaONLvehHH/+eecP/
mkAapnvMMfm44PU3t4Bp4wNzNeWjVNzkqPRgvcaOtpsxO8U+AhxAM9ZWtvkwmdxHYzFywjaHwd6Z
gUSNj3TVTeQQ0nXcqrdCjUTQLgJKlpTNoYLH4UV9Lm5LgxDjkYaApRvbBFQMGUlvFdkXxAHMrTNW
4Z75WcG0qhmrgB040TkqvwCS+aLk85UrjenAuiYxGBr1Cjsr9coswBsx3fatbi72cjCbDblxeCeR
ed6mHKIBNhHTRhrGlaH2xoXUGBHxtjmXS5kfOfmKHVrgq3gXIGansIAB5hdDZuABxqO6Uuc6el8r
1vDYVpp+WcEhrnyYxiSQstnlbg5JcbzWC3FL5oc8PzrhX7DlNI86QOZkpcy7OOdgATUZobOnQfXZ
bCxeiDGwhbemuZoDF4OaIxcw45jkK5zAkA+GcY0gsUqE4LwiGvZpdTY0mnKw9LmpL7osZ5EiGuCe
08VlRaIYy7sHgBSDmwT2C6mOtDv4eXW6Vh2vSmOHOgpWEo0FRn7a27J/QW3W5cSr97V5SvpHqWo4
f7ASf36dv1U/jIswiaCXQdlvULi9Lg/xrekH6Gf1Pi8tgvGAiuB9AxYRGpAU1ZllrKXLKRz+/Lp/
K/25LnKAwFyoTA0qxdfXpSTPdWC19V6mufXUK0W7LzqZy+1kx8SvqijnW8uKicXNuGa5P786k7C3
Txc6DFUxG5wv8VaJae5Suifor+8RV6YAWZxWu3fWqAs0nGjfR7hpeSpqnY/6mnlrhkNwP32F/0Vy
feU7/ftHSC5h0uH68fyTNm7ffW7bp/5lx+70oe9wC+2dMCiwGEehLwCxiKXzje1kae8YOq4NHYGF
Bi2zvyagjE2R5dENVRWwpKzVM+pbu45/A75LxT2FHh8aSepvkZ3etj9Mx12H5gZbCcErAB7r0nuB
VxjxT8awjsn5YOnd+3Ssl0cMjnaQO3D1KoxJHBHJ1m+Kxqo+y0Uy6lIWeSx1aAjYvA6PVpRpZwjo
Y3CSGxGYCy2/RSgxT/+D9fdfgu/5YXeYntc6n/7xanvfP8Uv19m3D3yftavuO9WEfYnmkcBzaG0N
fVtpQhjvkFXUXMLmadhOXP0+a9foDKPudmokf1tjuv1O5T86oYaoDpz9t1rCpxbai8OBQI1NC5JP
KrGTqf7boA3RI8GnwZkvcJRVFkQQp3qekc6ny1AUNE4zKcml4FvXZ51pdM9innHYhoh1jd9nu28b
pkfYAEu84OD6w1OWt/E8m9dFLTpVB0ojk5DppD6peADsC7zCw+lWQce6JB8DAeIa7+NQukW9Hwpm
uFY0jaBq1TxUrlAhYPBbtRCwXFzGROV8gYE1J8N+oh0rxwMy9ExSDqEtlZSGidOMd/XIQ75TMIjQ
NliHacYmSuHjnfEsDZ2ZcSh9lcuiHgHQhXaAFsEmMZa5v20xF/GHKU8uw6KId42toZ06lRaGRPgt
3i9M90DriirIl0H5hNtIco86Ttv4DL7SGwlxBk+85rAwI93GqN48ER4S6O1FiFEvaETfwtrMd6tx
zm2aQ4utlUe84RLTjjxgDlLbTBOikWeavRQlxswl7jlxlI3KQU7VNAdZpkTzHYJHw6IGapSl0TY0
amLbTmNIP+zGEAn7Zk8aB+0hR41ybDJ5a+UAhy9qhtElb6GAsV2Mh/89fV6wbX94+nBc/Cwe+EP7
9O+n6mVIOH3i+9HjvKNtDwgYNB0nBlC/PwOC5b4DrbdmM3B2VJU9/mdAENo7BG2RfMReCTVPgHh/
nT2Ab5CGJjRgnaCSB/3W2WNwLy/TGn61xtnDCYYYAnzet/OUmfpEiRdLC4SmKc8LQ/nLrJ36+mys
W3WP5pEVVJa9ClwZll8u6iMD7vSMbq4NTgfH48WLrCaYnUq4m6Qb9ZuELqm/0B6Ahz+B5veNumvv
IjHik12GLhD/tLL3Ina7fM/6178wHk3APoyhuakcEIbsOBwOOXsv+jgBlm9nXqMky6NjNC2oBnfq
7I0KAMR2Yn1vVKIw/dyYoIZOOPcUCAnOLf5hYxttZR/+ym/rzSyGx6XjtgsaSiNamzyz10f1sMRp
qPalFihDfqyccqJgth7UBHfA1Zfmq9jAbyV8/yUH7g+3l/vT03Y3PD1/zquh/vxyg62f+b6/BMck
ArF/4dT+2l9MaUEisodUtKHBy7KJvh24JHAc0ga+o1DdzBXe9tf+Mt+Bo12nmYBIocezY34DSft2
vbiMiRDAJgQwKWKwu9Y0L1I7i13jzvo4BLIQH5jxL15l9EkwyU56saZ8TdCATv8zbf70616c8syP
NYPRFLx55tIMqbjjl5dr2WEVXXJQNCG+KzYmif1GM9zpj6iYh+MydQ0NMScV0jMjO36uaHSUe5i/
4qBmS696cMvplSb2oGGnkud7tK+U27FqgGOkYjZutHLQ9KDUzTzzEdBWd+astztkjdQt4oUOLPEm
OS7gl47AW7T72CzqGmic6ydQnfDtKdTDPC+yY0oU9kMwm3j8RVj90bFb5tr15nDMbqY4XjMJd0xv
XgTm66/P4SXR4K2owOnxWM4KZgQczEt5s3uVMJTY6ayPx82bP8q2qN9b5BhiY2Hz7muNU9YQDpAO
hrar/MHf0R/W8BbtPUA8LjSuFPEv+uU8AlvSN7DxuqA93lXR+7QumAVBH+z8Hp+L2VvKRXiW2WSN
l6QrdW1cRrERlSWeu3FMkZgaXOuI1tR8yBs0yry+tPZS7U1IblbqnAFrAvoz6woCyAXdXnvhN9k4
P2POXYjoRo/i7CNGj94SJmob/PxJiTfV7vqkQHdipsrBgCS4vvYAXqzbZWnzmoIJqohcHG8cAXPh
WdwXUBEdZ/RmkdbnZtMpOzExphADoEb8nPu4AIGXCO2sFFLe9RNKhPgFwZLsBpK9TH1QsiLarVX7
L2bkb10D1i/swh5hh8HtZ1z+pobKI3uqMy3vg7IkEeNLh/tRuh9xHJGebeAABxUxgc2q0tzE6XRb
LK65y7N2/IU+zLrD3uxAjmce3nroq2z71w+up72bZGYE263v9Y2phLpfCnpiv3g/66/5+2XWmpU9
bP8N4p6mTePkGSYdWRSh74iYd+DIVgR5ZHR+1+tyD9rE2kCcdDyd2fqRTq3mo2IQ+QIr4189/b+H
OdpBcA+ARHBAQuR5fddmEZa2VlVQOjEOPWcGVR8ivdIYz5sTourxVNyoeojUQVn09VOqLUesAbSz
AfXoK1vrd/roLOU25bfHHONleDENLcO4nz+0N30rlohOdKTxAoSEkkp7s6ZlT67fMhcKlol8J3eT
C2jLx97CbGxwrvoV7HW64G8d31f15/Kubz9/7qG6vOW3/L/FiflxzYwQEm/8xzXzhyfMW8uof41S
X/WT+Nj3ypkzmTdEhkU/BNDJSsP7XjmDUv8KXD+h0L8XzVTaK/ZihaigjIcM1J9nuGG+MzkHT4ka
QUFwmd84w81Xe43lAuqGxU3pDBxU+xvqBzh3g3vjYN0UY14sfgkdBlWPrkfZZGq6P148mH84o143
OU8XA6kP5n5N77ndN/EjMqWR2/iX3sTKXD+WKPfez/3oPmRJzyAE3kX9GAGNeuJ0bPf/waXXwmJF
N+Eesm7yFzE/UTIh+0oYODtILo3CuLsZ54l5rT1YTF4cSd+zU1uGRx3kncT7+eVfx5D1zrEIWXMu
ZIfIsN9eXtMREnPTXL/JixW15igjjXMVvZf6mFTr5STeHuc/v+Yb6uG3i7JUwPIQvai2Xt9zWZfh
EEFnumHQp92XNOgOWmGBiIBLAahiHWoaib52ucUABYHOd/9s1YyWc4VJsE9HDpk/O0rlvkMtL9ws
CwNBkE6Qr0OkKQRlFO7CQFMq2uNMlwHPyhxDqd8KbV9vwwI1uDLJxNrleX0bzuToA2I6Gnx5hbUC
Lf8gc1wzt04HUjdPZiy21kn8z5/e6yTh21XJasHCsTH46+urkjTZqTRbcZOuI99SWRLaKWX8RU1l
c3OCxJlGLS7poMYIoayDkp9f/+8bEwdedKpoxa4IxLd7ZXTRq6T5IW6+InPWDTO7TD+jsRG/4JS9
yS9O97o6o6yqV1wQXtXrew1nuy8hdosbI3EBHdUx88cxEUyAVhOyZwgbxtOoWuvuVBknMz9ksyip
TcMsi5VfvO5/unFqF6Il/SxohG9WrWYo2PphenMz9A2bxLDDvDpHsoQRd1Jm7n+wSWzCHvuS/8LT
WXOeF4EBKyU1UfRRu2Gi6gQlqi7LV3jRCWyGMYBx0MeO+XOTsMpdhreXBXI+kT+nQkE4Ml2qM8UC
zBE1Jgbxmao55302MpxeIWpxPAI6KeeUXWbC2p2OLlj/fPvztXKaz/yVMZ1eIFLPNrkJR8Wam72+
iRQP0sGZXXEThik4vcVmVn5aN7Iv6se2LRQfHgBxb+YBnkbnEYqOmN7NbrOvTyC2BLZPvlvQI24R
llK75xMg7eff8x+iIOMJg7kaCl8GMMzXX1NhAjpaoSFuzMXmgZxQXDRT6kehgpZhwv+rlU0f+WUq
SUqlmqsBgbsO9Ch4316x6CMtVTFIv5mAOJyZfWE+wf5Z/08HODGourxudQuMQpiEjNnUcZXcnabZ
vUtQdq49HQWJZ70CNJeqRABVYRMkukHgXNfE6RFBWODwEsmK0qC6OjuBgxXGygfN5oaWeajOfv4Y
uYO3t7X6Y1P7s3JRArLeYkoXJ3PtBirNDXyPGb7jvLQBRibpVaPnc78vRxB20EJGcmiM9XKL/k0R
xlsXhlDq5Wtj3sfmiIZ0qo0btejt7XjiscRWNwhy+ghLdwU3iQUOxOIy+osnhVF0QeqPS1HVesjJ
rjN6jBGpojSVnZGCcttwBKwUmpSZsuHU5Q3qBvEZiqXpuVY41eWYhnYTOFUL+q3WcuWjmO3sSlRz
/m/Ml0nwyQMwNJyXpeb7jfHzjAqbBTs3RkoQhm11pA9R6F6jp/V1c+L9yBMHyFjpQKYdO7gd2rZS
Pwwlrp2BHtr2nYvCBYrkKIXAMtPGBvCQGUGxoesy49DRa86nRkFrxy+Lrs/2iyRXXlE6BjbMICCU
QwhY+lyLBkae9RgeVcqWu3kaBYbOaOm0N4yvoDalZl+aftNp6KMxHK/razsq8taXLhqtgYMo5UMU
Dxy7GWvEngcGqlhRAbcE2hRtSA3cjY3gK98OAN9T5646yqVDtCEFJBCPK2axS+YVe2N3oFhCvVR8
BwFrw5MCgtM52Kps4GQWsYCItXylZQEXgKNl6VVzDnsK5lb0lcZVYy97MKIkvgQZ2//bwQYGlQQw
G+iHpG3g4lJ42WpGu23hCjNfqR8nVV0+is5JjtroUJCRB3yCS1b5ZtJ0Oxvg1ZZhQ/VH4Xbmx0pX
IA5bdfzMQpGfoyFMe2/BZyBQB16Pj2ptiYx/bQaFsEefhVWoiACGpURhc1aUGfWe/tlo4PFKZhH1
PZy5BGu+0uky41iWuVvc20hiqa4v0a6q7KCwC/gAgAppA1uZB8gk1PirABxk1j6MQ0XQ+5mV2SoC
6CZu/VHBqVfn62ZpuYKR5sLZAoEn+VkAFeAszZMulbE6Q2uQZIgIbjw1sGlg3eWMl7wiCvP3QAx5
Y3PYcyjMM8P50V4RWm5FrEhmViVUN8FhamBPzNxE2PWj23a8WUssvNQE8Kyvqq0TTO7E8iqjjlef
jYTsxIhuEFtden9Bsv8pXEvNKFHJV4GNEo0KEL0nTP6kad1zB6LvYK3cKjTb3XPbKBhjtcAqvYYd
6vioTvHr58bky1FxAKLGRvAB8QsnyGYsSrMy0+6RKFp/qMrd874fic+EszD0csMtokCInj+JMMro
vDEh8dFUlT9Y7KzKto7Jw2k1TmpArTo/0cYivRzKhhBzQp19hfLalbz9RhBTiKinGEkO55xj3sGe
SJt2H1ZO99zQVRzQlzDEfdcN/O3p2xZYNqceoFN5XZF2op5oJvN1c8pFstwy2is86tt9FAEohyoq
LkeDzHDWJnE/CqgaOBPMt0NCuaFjDXOfotd9DcYaPNoJxzlrPHtRzNwUW5IrZfHYPeMmLG/T9e/G
dq47L0rJPlVsdJ6cHAAaY8nuuV6RadjANI9pVpD9yqSbb0+JAl0t8GknRIcmye/TLufVrrwRiSf1
s6GjqueDatEPFfSLSzVmS1tVqF52bZ5V5ywj3p22ftuyajh4OlB4J7C3mqok4VXVuBtTZPUjIlec
5nOmAZIPMVx6ws0RENhYWauBVNfyzUc+M3pQsmaJkkgLGu6U4AxrqpItaf/8tfg54TvmFNJdAN7M
yCFqZQ2g1dqCcjaZs4NzpWk8YSkDSI9jhy9Ya1gZeI5STukGBlj4KVdiLo7bPFtIhGYqtyNTRdIg
Th7ak9ONw/DkOXc73lEdOiR3/KMbCQ7g0sBDOqjWUiVjVrITsyAxYO57sHjTl2Wn2wdupzrTR8W6
TWaUzjyUkPi245C0+2nixO3X5Wni132pRiknU4aTWLtJR9JVw0nn4QK5dyXeF1jhkKVZEOgQ4lwc
fcPgmy8Twi1FkCnjmfVY/jzIMbHv08xp8k3fqMAiTyjNPM7NJ9SUeKayxrj6axDIcl3ieg8HFpHF
BDjmitZtXHZYba2XLyZA9em66/Ne1I+pqKozVGoANnJK7ZtQ560mWgebk4Oc5zDBdzjh+MGDyWs5
R9ZT6/TsVzXHYkVLFiD/EajX87bt+CanlWjIVHRnU0IIMFGBlRvR5gQfI2qi7tqVIZxMB5UsiEWN
QWjS0I/aF61wH5J+kZD7KEe7zYL3NcBNZyAH0qaouAP5bj7paSruNcWhBnBTyhDjREXSV3SUrs1i
RAEzBVQ/J24NbqMme2/EBCtivUNOInLkziICtRWw6FPBu4AuflxwjL0fI0rUhNCtehMl7f3Q8IcV
wg/6pl+ztAX2ORisFX10OjbnBbeWoM4VyKVOzL0vmD+dl5qjwMzQiqBdYbanp9bW9EqDdBL5ErTr
14kt7iJLQuOpHnr2a7lC2fKslLfqMuthYOs4/wxdLpB46yLCUQLizaf1RnSMu9bUvZglP7DAoUXE
ycrJmuAk7+fEhNBiukNu3soWi3K/nFYMp9Kq5pMh18jCT/8Pd2eyXLeOrelXqag5Mwj2HNQd7Fa9
bVmW054w5HNs9iRIgO3T14ctZZa1fdKqc6NG5YEdsqRNEgQWFtb6m/ixmW2OrdXgwYxorXaP9smE
yPgY8NvVkDndRzqaE1MkKRno1WwuOf4GxL7ZKaxjmwLtRi0fOANHck9zXoGs216fBuA5FpmD+2j4
J6fA2qchO85p7iapYYZiSN1fzGG+fOvZhj6c5qfnDMmxoBBwHJvOK2/DIWKKRPbQXwDeR8yfzmP0
MiFqlIN/yBBxw21tQMZWAYW2OvF9sP99OM2KYC5ZFGihgCuGuHEUXQN5zjfVhlJZebsNmkY0G+03
RCIkQa0tAqMUIXrfgJtz80DWVDP7crypt7038b2FRKjfcfYUd8LjEZhy4sHPgnbaiSplZaFWyg6D
OpV7aCWTBiQf0d7NxTsqpjCeM9wNNrYlwNvqiaB9ioBeqVEwbBNMyrY6scz2rQtGyaUfQTGIDQg1
vNRd4G2PmqCAJdKYHDoL05t9c4JiF4NmmbkdOugQjWEnPdNZJEe1x9jgwbFZ4rmHZUSHYXI8be0A
XcxGqNeSEKFR5Z8v9DA22TuhCru9bAyR9pljQJOL8UAejNmON/faP2h/IAlJrTJ+RPPPkBtm87xh
PL33Bif8OERz/Q5Y2B8Q3ACsg8m/8NGE2IQGzzeVafEDVlYLQLeDlR5wpN6OLQ1md2Z7hB3DjrTk
07rVlDxjMpQleCyLhXHOJS8U4Zl1PlpD4R6M4su4weECzdRxri9zKYtb11NCIAbs15ec7Gea4LJZ
tpWUzW3Suu2PeK7IFwJnJhiSZMLeVw6qDvOstH3VmeB/hfYuhUh0nsipBg9FRLpC1aWFrd1DQ5UN
ACQWPfiXFsDb4MZL/u5iwSC5/jq/pwI4bSJ3IuD0Jvh3IzlObVK6Lovm+zIF2F7NnbUdDOjndFAu
wTJfT27MUo2zrkEUAfDw+2QFoV06LfkBaB/udD5tJrgAEbEw0Sm/tyckahlLGFxmDxdWkTxirscM
Oh0MUzttJL3CAvXQXhPT2mAOk2vqaQZL3wKfjVPv0ugs3KWzH4PP1upPZ13gELmld8kZjPfaBA77
Z49+INiilGi1GubnCAYWHAIhMi5KgiOdI3d/wjI5lck3ZRJHN2jgguRFa0A8TLMnv5TVPBnlLFK1
jiWkoQoc88Qqr0C3H4LUROZ1xekQ3dQsu3D8LP/ujYGtrn05sOK0BeLWL7v4xnrOMDpgwRY7c102
WAWE4YpIFwe2WV8ozjfodQz9sdVqOFRQXiPOKtp/ohMrcHsEScsTE5Wo8zAkIex7ak2Jw0miDthY
AuxIHzIq1ru1C93LEwWwX/EKe0mZfbv+AdB/hvnS1PYhLesw2gdoqB24cvaQ9cP8aUap+ybzlvyT
HNISVZEwJjpz2lkPbIhDSCeyth3I99J6D4AaBQQorqghuD0NJkQwrT+wH/P/LOJh/Y7q4/gDGJh6
nJwJ2iN5lXMNcca+EUZaoTIiC+BQ0FsYTtoLXdcU3b6D8Hnlu3N+l4fQTNMiwHpL6vRjQI4/b4ca
j7LSKDogk77cxa5MPmVWWP5BS5pP8k/iD/lJCGI9iUJUdjqJbahtBLoRgXxhqv6tjs7/x5z5/wzS
ADb0n9s7R9pbjdFRfIXR4Ff+3dr5hwcwAfLiC9iCeuVLayd06OwA4AB+y/7iBKbq/9Lfidx/gGaH
540kEF0h2i//7u/4kOyBoFO0QkwRobK/BY18XcX2HTQUcfEwn0NtEOT8WXWzDfSCIFsx3Xbz0A3O
js0BmounB2bkDqYtsro3S523FvIoaoqSywl94o4oNtbyrSqzudb/KVKae6HmRzuXNojAgeG80kqB
v6CsEYrbzkmJavvKtTMso3VObUnXnDBwdm4VVA7Mk8KhOqZLNxafc0w3Hkio8SuMUeBqL9l4reUY
j7kbfVAW/e7Ln17vXzSpfhkyyOjoWBLD0LL0fymGQywIk9l3q1vLsVnqAp2U+XaOG3f63JLJLJQs
4KEep95J+80ogqzfKYUs9ue/fxt4yxscj5lD528OqkW7zFFV3daY8jbfenccswMCzQXokTpow8MA
4ZgwgTqyjK8521X6KtUQB7/9/j6EKcr+/Npw50X80fGRI6Bki4QD3/+pQE7lpiD3neKrGjf0TFzB
PC5h8+qhju1rmaer84Au1YQSNRLOzqZBZkheFk6QwINu7OWNev1f3U7EPAKdRg/Ktc8xCHPsp8lU
uOGV8dajwpiiO7wBRZJBUG3nWDXeATOvMmVvsECBzDt/9CwFcRO9qvJDqwp3+VutRZS9Ajx6XIxB
TEv21/5U5ZIvzQkH0wFt7nbZtWnXp8dCpz4sVMjsoZzBAqOw7mzjwa+LH77uUQbf/P49OYSgV+8J
pBeILiQxIhpHYDPOlrrGYax3bLFeJkuMcdbXsHdV3t/4toqRnuawm5OHODbJfX4XDrQtki3a8zLz
NksQSp1sygHAzg/bm30b4eQWF47tZKEo5GxHKyX/36OrtSzXqQ6t4CmjUqf2PTBCf9mMOuzKp7qg
UcIzxlZbPiWjx98aBwK6Kr9/0nP8DuoiJzU3DygMGpPUv89mpFNMJZhIdVjpnb2DfAz2CBB1UV+u
9SwIHHM2fgjkSoaPxJnYovMzfKgLqIjbLArXL1NdJsH32CqCW0fZlbX3gkqUW+qFrrfJ6BTgpEBv
qoFslWvr761rc/MCSCzKu2jCBvSFX9+8QEdyitHZOJS0bMYPgKbR5t7qfHbxCZ2180i9b53fwZPI
2x/T2JNee2Xkf39jDE0X7adVbW6DgxBcHyTpEMg70TZ+WtWe9myrW9PukM9OfjWXrvgwTKjrbYFz
d5Ct83QKxb6irSJvKMsXKd4TfUpleE7m+Vh3VuL9wM9OTe1bb/d1y4YwA+0EyDA7Jqxq8mZz5z/d
WRbjfAMkUh4yqJvDlVTTBCMTGNmwE2Em4dX6enGPVZc1AyJ5GSJa2jeA9QqJofDBQ1Wb7lydLhIC
ZlX672a6q+U7DHlqdfX7UTzdy9kohmz+SCQj8wEa8+xeh36p6J1G8I9VWH/S4YDbJ/zZER1toWR5
VQsx7BJ2ejEAZZsQGAgWkV44cujE53CBGonxhoviP5Wk6YCBW3agnjnMe/Dv9dbzurVB8biw1KXm
PPJULkE+X821HO+n0Kb41+XRgCabP0KhzRuYrPQJ4BHcAr9OVQ8JMu0+ol0zQMOXHlcIqSNS8yrc
VT/9fijMtD0bCRSBQv7wl+m5vX5rKbG/h5mqDrNYl/yDTZGcTpPuO/+9y8vrkP7z8xt0AetP/40L
0x4PfCOyEsQmLP40XbSRBhhHdzhoyr/TLvZVd6Sbn2YHu2664crDjq8iuRFav/v9lc8SBTNREaxh
qgI1BZETmIn805XDxtEJoiHDoc44X36sCz/8HM8Iv8N90PGXcAlTZ0eBGbshDhrhivkSZd03lstf
jDuhHp9UEBJGF/aspcrJPfWsaNKHCnMRdegQ+Ri2FoW/dit9nJE+IK5Ikd8FSrf9/eP/1ZV9cl7P
bMOM/dl+IzpK51EkNSIDYggO3ZjUyQ/Fmt7magoQVNGRwEVYUid5Y8M9wyucQgTJscugs+HSrTzb
AGjODA11FXUIfZyrdmmgZpM7iviql0N9jG2rELvVcRyE3wRdiaOiWtyg4F8m6rrF0bP9b4wFsugx
Sa1Hiev8LRSqlbjmTfC+4aj4N/Co5fcqQr4E2qwlv4/9jFFXBMPljbdvVtXrVUd2j0gPBAcjUnW+
E66ygZTpsxP6nlG/gpAUPfTSUQ+TRHRlW06Q3Le4aOFSkw6BVex/PwVOkOvz6xv1JvTZPaNwerbq
kYHLgX1LdSgXXcXDJm26cT+WYR7uvAIilgAWy8meUqS/bDvaRO/Qc8BAftLrdOUSh95RUosBUaKb
ozZiQcDz8Ptb/HWWmuGhwAAKIDJ1hteLdOijQVpJxh3mOPFAQAqi5Z/rLCwsiBKh/mlNpZvvgP2+
iTI28/9sbDjmCGwDiQ+c/s5WJlJ84RDTITlIdC4ehlRnC2U/x8WyCyfLatd4zfyZcoSrMEWugush
DpqbQKTOBxuQ1kCfV2DKfOO3ZfYEbiKJ3ti8zjNp4hci/q65MxCG5PZnm5fMRvBcEz5oVBjLPzA1
LPqNvzTlhGNLTec1953iS86Lv3eBRF9WGBaNyNfWa/fGLP41kILpx7NRBIZ7gh7N63fkAJeRUtY9
HhJBZjGX6wgBj6qFct44rch3ywRVDvo+GAN5lTro0RSenbr3v58q4iyDNgNiwHImhzez5TysxBIB
zC62usMQtGuNFdjgrvSNKjDXU1xTR0ToefxGJbZGhgQ3sy8gtKzksFRVc1vO4VocmfPNp4me9vBW
yDNjcDabjCy6C9eKXQd/hddjhMTp0NU+2D2yERoO2RhVN5a99HcdYnjXpBb1p0EXzSerjRa58y2N
5GJa+M1RtFP9vc9BMrwR88QvwcfgOIFpuTEGEpQyzm5ptsdWziPDBcXXBRJCd/JTEiuv2oFeTXFb
miMPE50g/0Z/Y75N1qCutvDIOPpgT1VEpHCa4RsJzvQy6UfUG68plr3GhrzfrjWFvWFw4uSt+wY6
+3oo2SgDwx9BO9qYQZ5tXMBLVMF+UB08/KfcYhfSz8g/0foAv0gsRRtEz7Oc/9SoIpdP/VRE2fvG
lXP/xS+pgm4czJzRXnlj8v16V+ThoDR929RGUK1+/YI92UjLRc7ooOy2Da3NrCoknDaW02FWhqR8
hCLJoCyL3X0hL3ys2jUc742jVeDvw7qlhXtAagIjrt/fmHN2/udOYIhz8ie+g92Nz+GX6DKvI8iz
BLx/00t34yYeLcAbN0WoqNzMCDl7F62zGF9hWqx1+YTu6NTh85bWWPcM0ue/CltyGixKG2epdJz9
Cym0r2+wrpq8K6NKgnB0Ys0gTb2YDsifUNM7LtWpaMYH+fcP9MuOEAGVFyCrUWMKQHeeDfSyxnRY
U4QM14iPP7T5QPnf0g094jKa+rylEO1CsR3QdGneQG79EnM5zxjWFTaivgl554d0yy/ius+n5JAA
lGaQQpymadG7PjILy75WorEo7KfdaL6HcxO9pwEUZBUevLyPgQc4PeqMyRuT73wlk65TPSCoUH1j
aE62wD9lsjSq6KS3zniodaHLg+XoTl5ZYsXrTmdpcDdnFJ5ovmZWdOyioUnfKuqYVPnn6BYiEEo0
YZsUjkvx7WxJ+lMyhTil9wdhdULfYjSPaSOIGv9Pz0Fp6DZzC6XfownIf4flrB8hFaOYq0B5+Ze6
FsN0kyq6hUewaNVS7CqYPV9WVc3rG8HDxLSfbzSiiAvknoQCJgjJp9nKfhqpMEJiRyUL2sjSCqID
GaUDYK3LlLqF/VF9bEI5zhe/n7C/TBoQ66RWZq/mkPordh1IzWyFEweNAYOK6G4EiRh8SorS8t95
mZrWAwPQph/HaPC6i7AH0HDb9fDcEQGqWaxvTBbIAa8HwSMOhOYlwcwhfJKBvh6ExOlnlw0RHzTZ
zUX8bi7VynyNkWLmH1qbaWttkfOZxvlr7o5eOF6WBncO82wtmndBNwX6y3SqGRUgHoofmTdOTGox
ZKZINuQVsls4v8yA1y5sGibzcESXYLDkBd6t9fo4N3Nb/HBDBJUfUgTh/C9FR05JN9Edg4/Ko5eF
CqNld0u0FchlOcnHGpUarNJtmTbro7twhXYXl5VHeMFhMU7ASxXgEtmgSs3HghijfagB58QLPzLV
rd3Jg10NXRUf0dwr+fVl6UuKW+z55tK02lFM3EVNl4DfqA0sHHQwtQEUBfKYrudTkdUIZe5lBtcs
wpLNSykWukmqAJ3RW5QEPCr4DTi/egyDad7RXxqXr8ikL/oz4v0LhB4vYIWSiIwNX+9nOwAzckxG
y8JsE302p0azFSVRbzuBI+Ax6q5xTYEks+BI0b0DYdfuhjE235NloIK73s8z83+UKIR/AbQjVutl
6ek1TA8hgz1X76w6CJDosGI3hRVZdHohZElEENDP3FieL33zfnKqE9eT5bBLvLeR6U3bu5e7zTsm
kjis6xwSyFCK9n28j6gdYVK4DohJPyYL8zXcRkhwAhwsGh9p9pukbwWPzDSqaNXas6LG6MO1VBb0
A0Qekf8fCpEOaJEOLhMPgceYoZ/dAnWEvW15uHwfsVNbB6pWiJJh3JkhfP5I2UuxS5WBLH7EaVHw
nuTL/tVOGS+9VHXNkCRNZzahl6/aBYqjfwFqoubpA6eL20cndcB6RMqt1sdRNr2+Q5A+/RHQGlCf
qmid5FM+NvZ8I8VcD9aGcsiQ2JiVGgG+TT7FGe9yKC1zUYCspFpblOjDJ6/zO+uDWHKzDczdYt5W
PwDSexJVY/ufAofC60HmyzjthiZbhscAlBi3XD3feeZRv33CrgXg+aYvkLSXH7BSADJwpIsrFNif
YW3RSxVzGLEqdGubXMPDSYEHjqK0C+7ieM1jCCNgodl2yikF93Rle02sq1unjRMXyLTfK4CQmKSD
s9PIBxnf03BS70e/GFGkynNbg3hI43EFczZaOkqwUyBWFLsu9q3xmAKmISpkgh3T30aILfoP01L3
7aPoBUqXOYwd29+oXKPgAWJhbd2va2uZWy5YSxzc5hZRvdU4AGPCecWBn2c8AI1uWVo2FYTx3sbJ
kjylgay6PspIN4w1IHfmAZIB5se8jslDtdHzWyHfY6K6MgUrHK/4T+EBPnX3OaKegXVXhXGb368y
MWlQjgW0dwFYQTPZQr9smGx+Mpp/aO4i1bxRFtjSH8+rzNWj+SWPAhDrFl3OYsw/or4orBhgRiPL
p6EuMu6TrvvCWiHEmJeee0lvwlrbM1eLvnCLfwor6Tu0yjDQ/Ir7rO/2u2wCs3lR4LWT3DejY6Sj
SrK2aVNJLHS+ozJiKLhzmpp1MfuS2JnSSNAlmh46MDaN9WgytimNrGg7FNTBP8Rd0eeP0hnsEuwO
O2+EgipV8mXjue1SfCQCjvG9WNyV74SluxbFJuPI1t4kHed4VMGe3xOoJNoxG37aJrTX8I/H++cH
ztFZxYYDbfopvh2QtqP/V3ly+CPUczp8RrM1D8XOdycag6paQE1t0KGXa7MXkxzk3kuZQ3+2veis
W9GjVwnHEtRS/0Er1IEuAon/iL3JLGSXt5iwWNelHtIx20VV4dYXRgwmvutpHdDLSpJSF/u+sqzJ
Qr8yT9JHL+0dbjgpapoNL0sCkicv6qWnwfg1cNwF3onzp3wN26AG4dz3bYnHRm/W0QS9a7nu4k7z
Bep5puczpKHZKqMxEsu1DvO+fHJjEv5lNzdD51+m4AGWER8Yq47vdecpfpXWy8w7JdUxyeGEYwYD
Wvu6BRiVNLQ9kJLt8cmkHRJ27Y2LgBsezWXQdJf4jwixEaKi+qiYJlF0FcZWxIL20Gljl86C3MQ4
iaUl25zLXmRZO/xJFdL+LxsbCbI/j8dMuoDhKLVjJ/O+wjx4+rauyuzXL/k+MHUTrl/28rIqEg5J
jTWZdYSajsvns/ZNh+hl+y0yXO64k+ctDdwlThrbXngm5X8+PPg6MPvV2Ljg6gE+BCaIoyxr1oS9
CrMXFx3czGXfTMrsn02S5ryuSidgf3C3Cs3Sf9n1WtfJExDas42z9b96dbinm7gZBnMfWxDjJyfc
2oz6iojAc6ZdNdPpk7FOYNjjdjbzIfUXk703EahX5DTRxi5+GG8GPgrgKe9p22NPT6cvyHCAuF/s
BFrNp8JKOivYTgjtdodMtKUkOnvwJijkR9jgupfe89mK/vjMA/fpFDfLTrEGIxdcFF+311p3PQFi
tryWXwhpe7GH2Nrn5ACaRpmcAnyg2frKsDbzhrzGLL28wex73iMed2rlPV8hLG0Qt7sQcfHIRvgI
TG6089O6LLE6dWeZUt0IWrM91Z0fdPpT6fSWrB77fjDBKk5ylGm/Zk5iRr0DTUW43A4zJGwsfP11
MXBcJJEi8J7+CFmAfKcV5t4UVCjmRes2QE/vMKYVvHS7jM1TcCqsGEg0ewPvQtqju4r3TldBxXpa
m87txbu08UuGos1HHzTfZpwQK8Z+DZEHcj+MlcV4GqkmC831sWKmHYp0C95Bjy9pgcjhnH6TaomG
T4vluixGD+k/02ypKKtsvVqbMJxnYW5uWgISqraoEputJ8g8lx5qXkAVe8yHVjPIeglKXsdL7pE7
PZTIbSc885B1FpMRf5z6Lhjv+whLRfdqjGuAZswV84EJDi88jj8MLYsINIE1k1phx6ScgI46AQOf
EdwT3djMCt/GcyVBjMI1t/byEWFNsouPitQtt+a7SvOTS6ZqloiF/w4fI9ocbgTY6gID31vkw818
blRrXl0a22YVvQBCZFYH3JZbu+QBbj6eLgcago8sKd/R8vO7til+9CoDSbYjw0/X0MwQ85hF1WsE
bLB2QretqlKVZ/3Gzku73luuFaZ35P1t/hiOYND/GWdJ1H0HmAVaYBCN7eljHCrZ/NOTuMcsVPxK
xOg3sA57TFDELEFM+XXlKwQ+PTLPXUG7svyMckXXCzi0+QrGJeso1eOWrlQ8vEcBfF0+d03r1s1u
6LO1HzdNDy7V3o3g/GP3NtMlx45NGfsthnlrixbmsGdCRxn8jnRx+Kdee/TpoCQh+TrvQnC/Ybzp
BsyY9t1MoxRtDwAjiJuWFRPqPZ/rU37LdOU0f+Y6G3WPZDZ+wfh+aVWG4kaPWBzL+whQjl0dYrsa
ff3Oi8s5Go74kScG5ZWn/gchKLrqizJW5vp2GkRzse+s1nyFr430LpJyKWtrXzvOUL+Taszt6GLu
dKTWqyhcdAPrJF4zV+xX1YN53nbe6nV4qtIWWdgjG4xaLhDWsrk3sI8gE3KEszFd6jdQRkCd3SJG
aybKxPQ2EQ99o/E+ec6aX0K2zJ0YWAy5DUqp+yYITIynJRmLaa8B3BdPSklcrzd1ovAO2GuOQ/XH
AoMA5Fj8skr9TeYrP/5cYE3Gm52GKsTFZojRcV1utahQ4fCtEMj7VljSl/Y2CvNJR59hRzFvgjwB
REp1QuT+reMPJl2t294c29znTa6Y2WcqyG7LwiO4zz/S2Cm+MxtVr5audsAJzKGMA4giZDyfTf2+
MZ/lKRvUQ9/4rN6imV1ApkiteAp9uSRmS2eikEyi+8LxBN7EaV+o+J1r4INmr3eRoWFrej7pOl5q
du+AsDbkuxiN6XY+0LxIivzuJVwAwmjYEQYpTdQn8Ut6MaMtLPysv1E1eNn8nnNiMqLAUnqQlxCl
zs15pQ9HE9oXZZkcswC/zQYcYlDPUbnMQyJ7NvlOor8mSxAgJhK05SknTWozLC9FJztoeQ43xYyp
QkcPtta8V3BH1sdYDiNj6mBNQfjBAFI246EcvKIvLwKoXkt0RKFVzvsWn6bug6vdzuFdQzK6J2ow
a3w7QeMerRI5g7Z42cabAD41Nq4+VheMy/MxxlIqFd0GdTGFrrmKxmxLl1MT2ew1ZpZt1yxe+S23
BcR14TyHZSzsSw5Iz4mzTmPKjhiqGEAOIv4mntXPIU9nVUw+87K5Jugjc+Eysqwqh4CFQQUQ7yRa
mcPyOfPJdWJingsFglF2Imh9nKOe0/UUnT3ibkvH0RwoFocjYp25ptQg8CBgp4NCMbBBREqYRMvu
nLVv91Vuxdk1NLJkcb4uVjxP69FngOdpxwyJ4o+21+kWe80wttPvQ6p08jEelw56Yg6sGy3Dwhrd
cQPrDmfKjZd13rJNKVEIUPEYqUXfKRPYDx3cjvlrNrkGB5WlvMajV8PeunTGNFkeJQSDCUDx6q7H
VGp3fSC1WjvrqNrYn3NkTDzR5bu+bNfyce5Qof/iJLVAanjMnNyiQRJPKZwoMUDJ2eBoPLT3ed3h
GLXJKzePLujdWBBO43VZyr1uZ+8JBP/sXCI41BXfCu0IOmJrGx4bF1NV5EqqdQwuV8hn48earnLy
bkxzsy5VA/EqPs6gs9MfyToWabwLFKzFHQ4FdcCZpSqlf4GBn9XrnaoxA0DGSLOn57fmaJYcbeQf
moY6LyNH8hgGQBVceuaiuvHhya3fXk5cL1k2aYDJep6LBM/nFctNzIbrDRmnyjSWJPChy+G92YXt
AIBum8kmZFKq54M6giHMluf5Pz/nUM7zqpqXlZL5RPWI6ZEDviyfno/cZbKaVPMlz31ZEqE/mrS6
s2uThaMU3dlfKBvIb9245MguLtjwcVVUx+W0bP1wABEPZQcbd4K2EzHDdpkeX9IRk1rnRWeihSrX
vrjRlMgKPKajbEDT2bLb+ioc16AMdks6m5BBX8KcgywOCFw+9iS6c5uyrdGygu1jc5SUXSnwvUA+
IC4BR4J/5tNB3ySsmTJHHf0HcakidK1yQUev7OZ8zrecyqbqgSUVZMEGqGMPbB+ln1ZfJt6C0x0v
UE53adlGa7DJYSHblE+CbrX3oC9n9d2N40F9J5cYim/QfrviMS9im2mo+gXvZ11YYoKNGFIgRQ80
DHpv2CI6ac5T+TKZ4jEaVs3yVU61KX/NTSuD7wUwqLw4Jqoe+TlvsU0QtNPZxO9WjjZGnM/FoxA8
Cixo1YBwhCloSTMcTTfbBNKejIHcqMt9vhhV1Ad3Gil9vkBiBErk4SWGseIiyhOZGl0ynFx0ojRM
xCQuNsKHUlW/72in88KC531osN2a28FwxSRivW2YejukG0z4io2q/KNvOSyKnWRJeOvuX5u0KTox
7G1p5kApfMogweQMQX9cfBvoIkXTSDo3jd+ayZd3dsvH1wMZdbJxFJ4Y+REmL541u4TudIuTTYjm
W7EL/DlhYs4v4EGKwBVumVa9MHnaVVRxvHGGGDF5lNBONYDabqiYIPDGIdrqZtZP0qDMEMCL1Yu+
jPQ42p9XmdM1Amgpg7swlw7DFlXkWA+pJ4bx4WVPtRt5Kp5OAD2XfRImcvmWwHATw96lIm4GLV0G
xnqit8djk3KbYUqy2SIyW5gy+O2GX1VyyxZods1e4IzJrul6FIO3oeXUDAayo0LpjbHlGJr9HLuJ
hR2jHJp1un4pAwAoMJkGBYiS4NC/1PKow5I5aOxGCSIvh8V0TBRHinoI6hVoVDNFs7/Lu3FmAmv4
Dssx7NwxIk1eloRw0it/MtWhFHX5/iJ35MR7EdoNfL2hNBqlDn7UhfmniVruiWJe53sNcwg6GDUj
QEg8QmoFJsGv4flwWGkx7ikhTGKxMN7mIaoAcPSW50pNXo6he8O4t/Ku0tT7vq95lSIw64t5vUOG
dhqLLZ7eqLx+PjU4/l8TD47f27un+rv6rdDUf1SUNHfzBzVNjqCZVv91+hCEB3dP+unVF/uTbOqH
4Xu/3H9XQ6X/Ja5kfvL/9psvvujP0t//WVqKNia9lf/MPficqz9aFljzM/fAff6tF/pBhI630adB
UcwHAUQm82/6Qez8g94tqESkvyNQsj/RDzz0l2knebRCAcWEJ81w1Q46+1//03Nw64OZAC8bAzA0
Uby/Iy/1ul+GrAoClL5rO+CjkT/6RZkZKkBWDlD0nlmufY3HG5WK/sJkBHDMmONv4BD/6oI0pxCY
EqBI0Wx73ZsiZXakI2v/2oiR78Q45cfVyOYEeEdcsODfUhh53bl8fkCAGYwXuk5UU896YXERrAq0
pXcdtllA/s8FTixZ5Y9vKQK97tKeLsWrNp1jP7BD1HFfP1qf4dIxlMK7Jmvzn/IQjSxfr3CicL2F
zrVi0BeWBcTBt10R/uIpmUlolyH9jX7XuT/A1JXjYlu9d62cwrtsIgn93vIb+lzwdus3eqxn8L7T
gzIDQfgbZD0gy7MHnVvaGOGce9cTgpI0fGUPv3cqbFi4IM2hqaEOL7OrGtZgtEUQd1SQr4yZzExe
vbWd5i2RoF8fH1eECGhKBJ8GX7wzyEAhMgj2aeJdP5ugxXVnpGBK/vrvXQu5dJCNTGEmztmESgsX
Z51l8XDCxRdqgLvwZ6hr/N0Mn/enYPL+uW39P5qhft+C/VUs7Vd9XDPOAYJBkQdu1+DAzwFgOTRg
eG+Ddz0m2Q/l4P02OCgF/f4ifzV2BCGQI1yMKHX2MlHU8UKNdP/1WqKYU3CWw1omwMNNQPp9S2bt
rFX+/Ei0yYWDEjxDeA7uiBJXjKsl3OvCyWH1QkhorwW7Nm3RXuG/h8fgkwcGm7IWSlcYP7qX7Mvu
5e+f+S9mMOrVhD0jb23/ijpMgDkkCafz6znSzpWLxbW16QwnU1p0L20Y1/W+pJYa0BEfjAueWby+
kV4jgrwFl/2rN+DRQQOlZRDa9tmMKqs4AJYjWbzGx+9EkJ0aRImgUL9lrvlXl0JF2vAJDMrmfEbN
MqJVRRpznfsMbxynLFm86gn1UcCb+P0ovw71hG9QizHga9wWudwv01dmugVYLq2rhGPEurEAoH9p
XBQ2VlKr92OzEB1+f8VzyBuXDEENATgOmM20D80t/QT/kOUKdQx14is7oaTt0UhB+K5XSNSDfbjP
FdWA/YmGnEUFcgYpS6pGtug6tBp4xLiedxercRw4RZBnjYllRcaBzNQyrlBGD+L3twwQ/NUqp20e
hERTJmJsu7CUznGoSPDTGaxd70pVds3hI1vBPAUWyGhVDpvWrhfoErCUewhBFCWXYC/4sA+9OYLs
MTyH8g6ymxdJg0b/ucJZ+BM/D6buM53ewAyyHZRU5B98QT6+ESkCJCe2dRUg6WIX/FpvJDxoM+Dm
hVarezk5RfdFG7msKPWochUMIH56xfI+zStETAK6zY96zaxii19nJy6E8vloLAR7/MNijFG3VZ/T
hE6H3MVqvOm4hlHGCFSGKEyHJP3GGz3AOShYiDuVtcwQ6cHdRixIr0dqKEag2IiCKZ3WCAD1AlPF
k/8s8lXdl5Bzr4S/kS/3IiJrARNlITKBD07+VSwxryxcXQpOlP+m5LGrUEhq6Lk9lbnDbPcKx3/i
tIsyj5Bmhx5RjOFk5Pwh18S5GLuwu+8D/J/8Cb59mKfeyFkrHn2Apj4b6kn2xKI3fo2YAmJjCfoI
7uxhu4VO2ePiOfnxpMx30qw7UeP16jA+8ZSE9xTPqEWNKCLK2OM9nXwwxNyrP9EndpxN4GJ3u6pE
uNto6ePHgaQ5QO5rcS/xEeRTasP3XzXj5g1GZ+a0yzXs1AepgsrdLHXWFxe4mmu0PsLQMOSzgAYF
HkVreJWZxOQkDnhS/bELB9o9Ml4zbCILvRI6FuKuyztmTYlByFMYlIzmUhRSo0QQLc12tBM84U4c
dgthDTxFvRFtOmc2ypOuH5b1/uQxZ6oqFTM4XdL9yVg2s1Dc4rhZowWBkhCSCeHisd/okqoErVqX
uUz9J35U1LvVMdIYq84WQhFSROxFnNdQlVwq9mUEq32EBaSbrrdrWK0oC+dox6EWjlUqMl5ohTZ9
DNJ1Ef3HlCb4xbpOabijc+d9bcaxeYjWfLmturHadfgqiw0NSQFgDDnrK/BN+H5URsMIiNqMQcfa
DjtbJQGyICsnciCiTbnBJn25i+CfXNde1lKeKWO0xn2FwhB6S9ulWZeHEnbvfmiz/83deSxHjq3b
+VXOUBqgA95M7gAmfdIWWVWcIMoR3rsNPL0+sLuvyOyqok5ICt3QoE/36WoSmcDGNv+/1rfq+pBx
mGdnZGYxUZ5dedvXFMjcNBwKSAVt/2xTadsTtTEgUjGGkm5GuqocM2Ymb1lxMhNeAm4CpMlPJvDo
bkMr2vxGyIfid9TOTjDWyB1AomxRcBjqxMdkUm7HaqiukDMoEwkKXfwUregviwSt80xpZwsAiRzU
mULN1sYW8pl4wn4zE8j5REpKddB0jFqgZvXlqcybLDAMlU61MvIYbRijXpZN5ROdVAv29QhrLpNb
C33FLCOaFzSF/ZVtGDTsAd2RzcumsCGxMzGBH6KncTfAGtmj0saQ2uIBmI1h/hFG1RTEUiLdzk5V
fOLYq3vIC3q3Lun/pMSKomdov1i9zvuBGMQP1SL2hrHl7F5X/CJbAnwDKQ37cFhRRmi1WPHX/K4K
6VDjWJrhtuhOo2p98vV0Yqdr71RNmQ3o3FTl0E1xIT13QoqJUQyNp+7gAXWxvzafArWohgdUIw3J
sSUCWiObQdTI33Krqz45ObnIiaOITQd92x9yPocT9sUtq9JC94rp/WTqgPDriIbbhAMpPQE+KG9k
6hU3OVU8zZNMdmRfXqBlkprySnQrUyqo6p7wC1Os/ApVAyi9Brb236NWZkKqFkehWrcwZOUehFZr
DcAu7QGvaJAhIIPkUjUy8DrcNounGlL1OaSTf/OC2niJlESVwXpsDwaZsLmq071t16xj6rJ1t/0T
APySQvmS5ysJzlFk6LKFM0eIEWOt8+pTeW12utCRCb9Qr2pygflo1giwKQMS8lmtmoj9HEGLJE+i
ReGdj7u6eDJSokSf53rUV6ZZHwa51XdBmerTj8Kemsgz0FJ+RLvl7FuyO3Y0DaLYLUWUDG6upPHX
buy/pMhkAwNBUOSFM9PHp3yRBuk+WWpCdWw1RpgJpsMz8yQL4mlqdqlkLpsZ7P4DCEUsAyDep4fR
aIs72EjPar58Eji7rrNehZhh5hYdKqcdAn2o1e+4RaLvS5JM99Fg8eR442n8ETrr0OiyJhJRY/R2
bpN31sE0YFD4lFNrjITkzs5eNnTRtOsdIR91aqvnpuu1O3MRiURZKBtWdH+YpKBVwVtJJWqlQCjI
ukTb6tcLYNBrWlHDXZHYjYcGr/umj1IeVP2ifa0cczz2eGtBgYRqQqo3lTUvi8E2TsMyOW7R5EwX
TkhrtrDRdk/jV1os0/3UR9mtMgzymQKN8ZRNZhZ5LWHcrJWlAnNt1qIrB1oHDUdDOyAedQgOH6Pu
i5pM9bFAGRuUiTEcFVOmgK/3XdFuFaa8jcRmdvSprao0xXVylDYxEOIPZlbXO5Qjy32dxOFJnofl
to/lynUQB3ym7tMMgdx1OubXRAjUZ/RwCOMMJzu7MoU81VsnHrodp1zplCIFf6AYqDqelA1F6aq0
IzOALPZ0NbHCPytj053p2I1bwUJ4LFMa735Nd5teksLxImZy22Y6oUaw7GpKg9FojbeROk5oVlJk
RYzLvP2ciV5z8ZQaJ5GoTKOaPDu919RjSV+oaIfQy8tKPfcWHQQXdKtiB3Zu6UyIyvSjUs0h3GBf
WRAnA5bBPaoGWm4uu26wkruuUBpMDnP3aOezHowCe9aSrjGmmFtdXYa3Q7JAaiF2mKzEAzUUf4cM
yjrUy/PohdKY5L7OrboZF84pZY7aA+Z+mFwDphUPcjtJZyPBM+EmWqNtbElrLRcEtbFpOsuYvEpN
nG47MHafwzwWH2tb678RN2h9n8zeTDZybQ7Q/XMFVVNa5VbrhjbAoKVf1hZUDEZ1Z/X1sxGL6KZL
aU67S9L1B20ScQXWrmz8WOBycXWrpSPK6nwtYUEN0PGFve9E7NmjZUZFCDXUou086L19zAYStiX0
yZ9iQHnwPKMlvQb/YMluWJf5denkee+W+N4hlms8NUz8ik6CFgKVgeBmVFD6n+rq/9O10F+WOV9X
Of/jVxXT/3e10F9CWDTFWkuXv66F3n9Jyv5f5y/wQMp//bdN+6X89uO/v6mL/vkb/qqLmipJUmQX
O3RcV2ukg9/mLyyLqf2BX1aD1gCWnUiHtZzzF5ZFsf94sXM7VLlWc9CatPFXXZQ/knVKYHBZOEMb
smX/O3XRtwdlqCKAC6gWmgYUfHMt6L09SGZ0S3ohy5o/s6TuqqZYQ89pbmkA+N/R66vr+f6VZ+Hl
WmzpFIX0vxd0xttrcR5lv5A6GuHWy7SzOsigHSLFLNY9DW0k+pXZLccoRbPmlH4NzmsW+QbNFpJb
rHLb/jmRI2PXZ4vj2zoxKXISo/YoT6jHjM2rZ/qzktTbmtTLjYGPQKkNOoKlKvZ6416dsFW7t2iI
adrKa3pEK4HDaLW62XZ8rpwJ1uIIy7e2H8zckHyge7I8l9tUEAlcdGiNDVDeXk2VFEaw/TVLmg9o
0iyv7tGEWEDQhDFotPDTBtm+5NMU0zYCgdM2iq0DMUvC1ZG3BcZEaTO9Uvuu9MCrBJFNRN608IuM
oko2ipoebDk9ovHztST5HtvhndY4Yhsa0ge7CQ9GSDjyy435t+aF/4/iNn45D7zUjH49Czzc/+sx
aSOmgH23Qpm61zPAy8/+/f7rf9DAgB8P/IhXnVrR/3z/DZof1EWYH9aXnzfw9fsPeN6h9IoBlI7K
6/ffIhaVjohjYHbkxSXr7u/O0F/jmqbSL8Os/jHMeStlBP0Gkbsan2Y1qb0a5hJ8kAniZYgHZdyo
ybyd7fDPEfPLS6xvypvX/uISF0XrtWfkaBOXELF+VmuxTWopMEfn/vdv7EV5ybBfLgPzGpgJ1t2X
EIpX34SqCEw9WQ79MJ82lV6cVpVnBs5Oqob3yqo/uxapQExk2KopZzI7v75rKPTaBkYnOO1xPMZK
fySkzs0UHBXhzEkz83AbHdm7b/U4OyTFfAUOege7cbfeXWeaKdqb73z9t00Z5iu+Pk0BGc+/YfDZ
tLcfSUl1BSemCH1qEXe1lu9iaN6ZMhxJvdxg03iIcvEOSOu9S15U1HU1mmlXTCFUiehjOXPZPvGQ
j3vQKL2VX2mI9xogPxuur7/lOtZeP2Q7M42W3Q7A1dRL5RiVd7b7/ThSLgywL3dyBU3xYlBkpWPw
9hqpNVP9iXoebljdLHL5BFVwJ3EtCjFns9DPozlQrEs9p69u6I69d32V33/5vrCwKysRx5QpI729
fqsbg5plbciJ86mGJr30hT+T45jRTrJD1FBRckgN525y8l1T2A9x9x5Q5BLh9HILaCZqa2Yyu2Zr
/YivbrMTznakQer35yLamEv6WW2LE/Brl4CQB2omfpXA7x4mhPragSpV59rAexCq+oMSBtBO0Brw
fHjxGAongAzHzCkhP2e7sZ7Y81Y3v39m6/v2j1tG3C97GLZSqMHeft6mrUsC0Sse2UygZZd6uRQF
kGQ97IH3iPiOdCTOpdx9/f1lfzaz0YdE6aA6JBRfVrSL0OKFm0pGYzl9ddripq7GoDXju99fZg3O
/sfXo76mavh0yYS/RDUhggRJ3achVacPiPVvSh1tYLFoASrrDTzkQzrqhyaiJpZJp3WKSas4wC94
UmfnNJX5bV0u24WjGhJDX1jRrQlboegNamwkxmkz89EstjYhuFKV75y6uUYn45vL7E+MPVloB3x0
JIp8mI14+/vvhnP0Z1+OZhAtDdylJOG9fXZLjExQ6i3HLxXnQ2wVN+i7jpHhnM0u9PPQ9NmvZxSC
xg2+xr0wgYf1uJS6KMD5eUAn40pV8lmAFM31MKgNXFXiumH44UzwajwsemgADoPKFqZTYLXFrrTG
Td5qzJAm1dL0DgHcDr4VwcFSQHQBZb95q1r5TpBJgczWj7poWxYGuSljsN5Jkgm8UGVm7Xghuumr
1U0Bkpddyx2N+PexM12huboOi6fGIndY6/apKE6zKm0GEd/NE45Yw0EYBUthlc54WVScHGsMws7w
8Dt9FnZEhpvh6kV1w1t+GubIszodOmvu92b+uZl7ChH290mTNl0ntk2CJjxOD4tQD1JYuuGy5mWo
u3IeNobcflEpLiRpeTMmUeFJcXvNaeBsR/N2NGMq/8Wx6nLyJcP7xWm+SDVw17oVV+rEa6vbj/Qe
7qysv6ZSbmCGyD6Mc125bZnfpI6+c/QogMoWwBW5xoWyJ63ku01gIosRhOgkyOsxSCz1I6q4M4KS
R4TyLrsR1yFyorc8c0gDY2to56wlAZHJY51IKvMZtwpyIn233ut6RmFbBnrzRGu8xkDCvwKIKiJ9
h8m1cFn2dpZZ3ylpcWrDHMqudS9N05Em/KalarL+rmpEWrp0104WH6w4DLo+P4kxOgBCB0FszNtB
0umTxcEYxYc1wDMLE6+QlodQM84onfZCWvZYEM59BPhAz0812+xSdU4pgZKN5GD2Ys1L5G2kaGc7
j7eqGQUkTu4i+hhINe+mcqxcrXZKr53E17mQNrSg17/cGnakJ7phj7L0nhPaA6kagehbwYTJAJmU
4pQ28rYeDKqavLdKt+9WEX5IuTiND1I/bcospfoWUWcdj4TEABia/Trs98j53XZaKJtzYy1zn0TD
Xainnt201zYPrtLxlMy5T4PEL4nFriMGoTX1nuUo3zo4VjQ1yDJV2/3Q6Yf1Ucc5/99kY2VLj2SH
7Sd9ChTkwHI0enkTodiVNsDRN2Ns2W7nMI7HYY+I647N8SGbF99ZwpcxQKkF4EL0jPxm26hUQmPC
htXoHqNSoIO7XBdWU/1gQ5HCqXOgoxdE3Fbw/ejlAPq0yefOKnlFsKAxTsaioBYbPhSqeGeG+tkk
73BgpYFuahB0LpbjBbdMTvPc8TW7vbZsZHSl2A6G+s6y/8/TMRs4KPKQD9jBriKXt/NgGup53SCV
8Ccne455i1szcqO8uiH+wKfac8DwuxtKMyEZY8B7Ud5kZfRpXVNlI/wYj4ykTlDStfuPlshPoWx4
qZj930/Xl2ial50BtQra3ShwQJ1dbDN7jVyiApCcL9FGcGtFpvPmLNTPsKCq2kHwd8lRDoo5fF00
9awbYmul1O6iKvXe+Sg/2ydBa6CuwkZJQdb19oapRj7llBWRdU7xHZb3D3q5fB2yGUk81XqLTF6t
P5ZTg0KJ2iWKz1KXgt9/hp+OjVcf4eJuiLGQig7yLe5QcWU1OIToj31JO+vD76/zs8FhIZHBfWxa
CmPkYhCOOaFfaq85pGrmn2tZP5uWROgHxZDFeXlHSPYOLGv2B6ahRos/zS02HmmjMQs5YbuHErRp
HedE4MGhGHht4+Gd/v7Pts2s35RMLJMRrL6MnFd7RnSuLcVSxfFBQLjSPAZxy8QjSUGa4afIx43S
hgHBeQ8SpFTM2ob7+3v0kzMZVSAFmR8VGyQ3F7eIRq9GHVR2wOI+iS4O7FD9lrAPysv3jn8/OfdA
29MQESFa4h8ur1TrVpXljeOr6b4YtMBMVT8N0Tur8xaHHjPyO3GVGOj+uUnikgQwrHpIsIYXAy03
W1H0CZesdTZiLByDQaeALui60UUyHLtWIwXrH66nzmSJNgNiajecaA4wImYOZXj5D7MGU0sHr0Kf
2JjzHfabExG9h25p98gPPi2J2NSVvB2KMWimMUgJKQKxgXZkDCx2QW0UnW2zOBWJ9FgX0r3IIGA1
3bUyp95oA5LPWPxi49C3o0d3hTzc5NDRF4VhAfcUE9Bo7BozfZo5Vc3CepTz5tTyodef78W4mdM4
QCy861lt7Iq+gz0Ek84aJ2J6VGMwcL2yG45GEwd13u/HMjqLNPWUAdfaHNJMmBAy6QdFXrY2x+z1
LRkc/rxrr2VmTCfXd+tmaZoQ4WfRJ8w8vlRxYunTA0nPz6Od7TTOyjqZHY2z3ED3k0kRGzdmzRYx
6fYK++B1p2Wx2CITZ3XLd0hmgliW7uws2hpKtGW1O+iz+Kar/XGJxNU6f8+tfgjVp6QJse3nATve
Y+dkrNG1cNetSDgCMkqjPXgqMy6flCHawsn18M08yh1bcAKVKEN482h46240JI6pqxkFTnIbsfts
2PVaVcSuxjnNlo7GLD5MWk8vyYCJ21zLRXTnzMIj3nm7/hz2xM26osoQkEahnSFqnLGc309N8iy4
f1U6HAsIfiMQ4WSNV4NqKSeEt/V7FW/FEma3WZX7JJfdkU6ACIL9U455TZ6360YG6fqjrRcoPELt
jIl0bXs8hJxHQqe/tsr5akzGI4kkvpXyTBlrkBkIri5OhimujOJ6sdK7FHRx2T2ZCllmU3Gz1oyg
Pm9VY9oqtXaYinFfz/FBYxXqMRnQhbyF9+nRUz+WHE4rI7stObCmDqFWUstt44djEsEPSx3fr7WQ
dYyYYob9sPjjxPTEGFyXWLgje9LgTnO3bHW5YLxOgaP3e5PZtYf41tu6q7bLtiV3bn02rTQEJtYf
JPb3yA32KmQsLcl3hsh2SstObvrAK/3w+8nuhYT05sRLYdpcWwdrZ4Fs0AstHUmd6cB3d7i10v16
HlD14biwq1yHAQ3lXZJF90QhbBN93tJWx1zhvHMs/ceEy0dYS+RUDVcFt7yeWl9N+IBoZMwfRNp0
eRSMZe/RTYc+k+/mon9nreekezkBrsUYk6iONTcX8NzF91VKRypLYtF93UgP0uLMNAf6Fm9tfGfJ
iw9HtnI7PbuVjDhomIfTRnlsYvHUNPFdPTcDYiP1QAP4NMbThoOMK4npq6mTgCsiLKwVR07mBkCQ
sTuP7NQlk25rlhzGJYdqYK/bnPXmckir62g7JMYOLcleAOmy1Wk7mYO3FrsWk12YIJjErOctSLHQ
rYpsF4bDkYCuQ2VpZwr9JDFQP6ITyvnjruPVKdoJKQwjap5CN+4nd7EbNv+zfq5ykuoSjEnokBdk
B9HHFGeoa5rLVanM2EPXE2jOHKWpvXCBfVzrS3FCa3We+vhTqSW3Ulbd9FgwXFuEQWtwqKiZL4fC
Yo5lrJYcHNXwrlXCe5lYwnKSAubhl2/fY9rMS+leYrH1UJ7cDVBm3FnOd7ref5Xa+McsTKg0trYz
S3gl5rAfeX0lShFdJN1lKfYbaQzvK9PwFI0nEDXSqciij73GiZCTYzmWdRDC6WQmOERJsZ2S9BDa
5U1vcKgzWK5iDmtqyRm4GjegyMBnRNFd08sbZmQtY63ryZlTnXuUMwdKZrdK2KMrzE+NrB1URz7b
nKdzsrXW96LTJJpa+g67j88wO8wc9tEo7RTOGXiMNn0dH+p02mQtmASmWau2HpSpxAQHqqFtWxfn
vf/yy510l4gcuMOQ4I7mNNvkOwBXJ8zZO8Dr2NFwejV2fw9sdF2CU4/y/necxJE/2MYeJQgOsrjR
dpBMbeRBGa6gZ6zG9N5rHi72/0MuZbusE1eajc28N7xOLr9kmX2ftMOVlue3hBrRhK5O68E7ZVJe
OEjVcv81bnPblQqpxQq2zId6zm/Rkj0aanzXqfZdw+QcOEPBhGUXN1EXPqxH7BjPIl4qBLLtsFGY
0VR0mJKZBXUYBWbOSlkZ3jBNgV1ztq6koKytvcw5GfHVk5lwjGe/nSvkM5rMmfAwwmOlaDTE1QP+
6Q/AA2LcauIqs4ThVpZVeimhYqzt6WcHLdVGIzSNJCGYTaz0pAi8s3f+ycwBGZk9M14tdk+Xtfqe
8lYxd7Ll287E7oibycJrrq+gXp4yqhO/n5n/eTnac5SoeaEpfHJSejsryokZC60vOSDlAzmR0Tnm
1GyX5Zd1pNdieudyP1kIdKqP+Gs4lVEBNS/KZzNWCWI9JsuvmPRzDti0GUc3W+QtNRsvUbIneY7v
EZOckrjYJd3gCSe9ffnO/1ZP8H9NCPC/E+vyX1AssDbzf90jJLGl/PL9y+vO4PoDfzcGlT9YvFnK
GCwGNeS1yP63MEDBSwXBeSXj/9Xi/09hgPoH0kgdaD/Hbxwp60nwb2GA8gfnA0j+OmBHAk5k7d9p
DF4ebR2cC4jL+YjQ5JmI1j9/tbqT4YxgzIKQpaVonzu9MQNJGYnwEr31TlHhxbbyejOzXouPC9hT
1WX+6eJaSlXEisg7aFyGI51z7P2gL3XTd7r5CXlA56nooYNYqJt5ilAPJhrUYpy9lPtZrHQDyUDW
N1uEX/FRzUqd/diCyDKShi3AvE0xVqlfZy10DFWq/dLOOgKmYNOh0edoCsrfy4m4PJd5r/35Zvyy
93l5VOSb0Rdgf6QCqLVB4r69i1YZmU4Wcnm8IPmGA7yMHR8YuUoXy9Ukna06uGV3GYp3BQwXG6Y/
r/wSos6gsNa28+vnZ4pl7FFRpz6m7SgwRqgji4w2+tWAvvnzGb127qiX0x2XMSA+EKvLtIfAhfH9
+jLVROLZ4DiJP4FaIwTGkOsgG+CLy05phW7RggVTU5uUMBAi4Td4SNHnuV4+NlM6W56S0Qe1pOVg
IUnf1kXBls7IK+05nuzkVjgLMB3YNe3gJ2OF5DAdhhQri5I+pa1A5GwR4UxOsakdtSbr98NkiI//
t6a26/FH2w/tD6RBdfevzVB+/9InVXlpEv0vOIspJlv7X09j5x8i+Va9nsVefuCvaQzfJyW41QtK
fwoc6RqS8tc0piBVwvDB0YAJjlAGncHzl75JI5GKkt3KJP9Pt+jf0xiCCdZOWvgyrbXVFPrvTGMX
LyALP4BUutDA8LE/0WR6Oz5bbVQSkoCaczwBBfEbAMEoXfUGB4TUkszsEtyJabK3kApvSHWEnvHq
Xv3kDbmsi5Gspa+7D8SL2BYReqzHqFcTaTIleZz19YhsvQFSpI6om+71CKoEIXVOXB/EzMx4E7at
YGOYpgg3D3mh9VXhRUobLcxQHdkc8Ttv7mUld+1t86VQC9A/+8nnUuk896AJlJM69XlHGLqZIIRN
7AmxO7GTowtNBmRAJzQQM1khHIh1WoG0Pwfuk940M5J4kkEIijsQVDso721sLtRiRIsSIsHREhUM
fl14s2/vm1LNii4JVTkussgFpZ6+DvcNMEvBSUL0ahCbRfmjquLhlm45VYl0ajrKS7hBkndqm+ul
Xq1PiqwRaLQq7oBiU168NPOV6HZFbirTUQ2tkVqyUnT5eZoWBPZLNqQEIoMki6N37sBFzW+96orZ
XS22iHz+4ejFi0FWRMrRfkXujP5AJ8JxwdPIMgSZxWg+LEabyq5UIobdVpDyZW+WaCi9c8xf35C3
X57ngBqBqi7dZ8e+WMKgBuVx3NTFEZZYhgVgqCsdGELjlPF7rRZlXehfXQvvsoGxArUdjjYA0JdE
9Azuokprrz4lwFhZQyoZIJpWS/aNJOSifhYZMLajkoGp3oxqi0NF6FZpfwU1MLQ+HMb2zslUm8O8
2hfLJjdGJ7mh85YY7wgOLj4oz8Yx1t02AsDV4Hn5QQsyE8aO3gI02FSVDvASOP7qRSoWRIFVUr3D
pb5YZVGJcqbgtjjoJlFqXQYTNCHArUhXxSFLpXmg0PzysJWYha+wQF08tCWkjf0MivE9Oco/Lq3r
yO/ZjDIG+Rj6eideTV94NHLNgaN5MCUlRSRgFkjAs1o1r6tkYQRIKWkyQRMNmOV+P3Ne3mNDx87O
CrDGGWHcvVRXQL+LulYjubSDpyF7TV/w1P+cjmJzYsz//nJYgNcq+qvhp7CGKWA/+BOOUpiE13vx
6rt2SS3CSkI8Txdzroi27eZnaETzSGg0u25K02HF6dUhFrbFcB+k+agfi9wKjSCsm/las9i/jJnu
7GeO3qhCdUxvSWUfMWmqwaSWk9eSlefWbT8ecr3QPjaOOe0a1GCoeUy6wG2pBNrQXwkjjO9Xhm3N
DhHfIa2cBlpNph9kaRG99GPMc0TqbTM8O33Yfq2HjhIJe8w96l3jiuHwtRhqaWvIWX/G2UI4OkIA
D0yTsssXm+aL2qj2sSVHYGsvjv1BEoZ9nVS0p4uo0pG3EuwnszM+Edbb+NAVqUykZZ5xU1SMcUry
oJlKexdbakbBrMg21UBhzoQGvS3D4mHCoXo7TqoIzKVq/RGE0rZ3OnMXdVX8pR76Z8yP5hqxnTWe
M2UYTydp8Qv4tlvHEboHw2+Es2TgrCxjvb4CNKS7BNsqBE7Xyo4+JJhYNpuPoTLBAqMgYruogNov
bTao23A2rE2J+vVDBLo/WOSwpHBoKwRAAFh256YFTwa4mv5kdtNxNrsl3pg6n9krtza5gXdjJY/P
0GqFZyO1gv1Mgp+bzehxbzVN0V2LT0KUX4T/yzNKE37cQI7HkxECpvEQXDYnlVLDQdT94hlx2G9x
sDnbwazBzZVUAmNciEyjdESqhvi7mP+sHLq+CUxK8dIRbPNySgGqfgjtLP6cjmUe+kwPKSad2bxX
sJdfU/sZHwtdIQs5HgF3QoA6NqZOYENiz4434+pvXfRhyhZ4cxxgoqVE2mZoy30IXum3TBhHVeny
zvQpt0aps7EkBAvFfRNJDK4rXJ7GcKjC+RugNMMTZqe4eTp3QLMicRwRp36Cd4k2O26LdBcTCIEw
h1brrpJbgNRy/p36tLKvcdttU7bnbkwT8Kqx8DfWU7qR1yzwQW4g7gqKaHVtlA+zviQ+td3YHfXF
2uRqAgAI1O0mHSwkQGo3Ip6Yl7OOcgY+Gb2Y1WxTuED97mk9njC75t5sVd9NGifuVEd7pZ6Le4B1
H2eFQ19mk01htRpNIkXIn5XE3o5GoXloOurTHA2ypyfDdViN05akIpK08wwoYUTzCzMtmgMsTYw6
Mig3owKABw7NsiL6nK2KfW0Hqae6KbW5uzeXsLhKmiS6geA7n9JIawJUi8NRqk26Ax1tMPKTOdY0
bk8lv/VqdRw5pFlF2LqY1GpsLnEsfmgQDQ2vGjLyrzkgnxWw4dnRjqc8/xRnYS59TsaZROgeGI6x
NuKtND7XDjDF70qYKs8NT44cv1Jr78oZbqA/YU/ur7CEm+ZHB0F6+NjWbDxI2VuSlGK3KavZs12N
IxoXde7Me+JLZPzMME/ZDg7tcjPqdiS2amJ3sq9FHYfaPxfpUjIHVD+oD0Z9j9CXT9XNqUb3Q87o
HFFtX2vt3dgmm5VrGbPHjFnhuwFI68ZJKzXeT10e2l41F/yGUUOmRBc5yc6xEkFkH0U92KeolBfd
6wQGyYMxcwtKr4KA355IW9THK4uZWNeJO7Zzts1Ky7zyOMR4HCA+UmhxS7jTC6f+IuoCnXnUxLNX
TfrJqHMjOwNSb5YbXW5YYVVpWsIfy8z7cS7qTP+itmwiKKh2y0PpMMQiL1VatsemGbEqAfoOjU+i
Ubg3HQau0eskYlAXlfT3CLS+CTTNrZeVAlG4YNfyJdxoSm+Nd0XRRNlhiHGy3fSlsM0PhWlXeYAK
cHJoKhQaEp5msmvb5cGGMK6xaCzlj3LJY5KBVGDhR7VL2ngvO2NNIaSQ7GQCwSzzhOLAKhOnbTeJ
ZZZnsydHflN2jXaHLJLnTZ28nHUTMALYsuKs5BSviVccChSINN3EyNzFLA/mkr4xHRCecFNuVml6
uU3kaux490dU5UGJCUGAMc2ymloG4fYqEKhMtr6j0LNjBFrKvNJSxNhjK7VSrI9bI2py7P9xZKU+
/vhs2NLumihea7FdnQwA39HBEZQ1CK63p/ZHgTxp8CVbrsfOZ0NKhLU38T9iy/EztZsgqvokPall
mQ1P/TSVBDc1lZxD1pzHsNJ/6IVMZ9nVltDocaBwKoIHp2htfQt+Tl72TJJ6dwdG0Va8EoIa81hc
R8kDZlTCCcaOtjKpnUqjkbbU4tKNXAzNcM4b0EIzdk6zyXXLnThU6aWbzzEg5oRtS1tCIy9Hct5J
wGgIka+6eWWJgREf0g9S48QfrShVAikJhZvbToNzr8uafdTmYecNTagDbTPEkwE78EGZR+dQlzEN
7ESh+pUr5iMHiI8NYcV7vl65mUr2wy5ye9MlcvJokhifbxrcZaFbF1V/A4HoSzOCF85bHeu+ndpn
qS9CCNX0PFy17vb4bqV7GWL/dlFr1hahtx4+3YpLCvm2Zl6hLOdY11SZQbomjumTlmH4cdMobksL
j/wcx0KftIzVBjOrc6DmNgS1Ey1kCggmFrsSmb+Mcp/fGXaU+7YEK9ddKXkCGn+aHxCE4u0fQPue
abPn2d5ZdHmvkpuxS4pM2WnKSNejILsmiadHhdRoyzWdqPOc0mxcudCN4yja+aADmz+qxYTguNdz
avGMaqPnXsd1ZdJ4KWvjqxrV+VbD+OhipFtosw3lvi/t5hZwnHDx/c37FnsfooP0B6219q6JjNLt
yNUCLQfEWxFVfFel/LpOocdt5INie8hz6xNu5RJCQVxb1+nUOuwSNCNiwVsUz2l7ZfQMaRgfSGZo
ISGCaGTNI/ls9jRgaDId9Ul5dkLCJ9JZ1x6JXSI+Bc9lTttfwj7kyGmyGfAdgoIw2rYJ4jg0HjPY
ccbGwuRrf9ZbIiWuxmlOEWcz+XI+NrqULWAXx35p2KWKz9zGLjurA257jPc9kSn5UN9jm8wOUZSo
X7WoCo8ZjZy9KkAFeKMTjShc6EW4mFbmXdZHs+S3FbG2LtW/4SCinnDqvqXnaFAsc/n2NvR48Jtu
bVrZhxIGuIDoOKIHVTX7AXaUOMRtV931MDT28XrI89FOdHu5EZQa2rZLgiUbBY6KxNA3slnXZkDa
RA+mWc/C7/0wO4+GkjQ2StK6l90BaB1WUp3jqdsSA1O6jY0vMx/SfscvtiO3GWUMpF2v0wkRVq9s
hnZAB+pojovylXVrTMkt9tSkTRDNDPVwmpO2fRrtJLun1xqGrtMMy0dtTRYj9TBPablD5LuySbQg
OlAumgkkSJXC++S1P9j23D30lCZumdDzmP8gT69bEdIzHKbaF4KcoE03wQcLIvpiqSuRtuSBfDSH
jQMS5Ryh4ep2qYOVm/sL4w8ucmZQIQeJclQpcgdKvIj/Qd6ZNEdubFn6r5T1HjI44JgW3Qsg5mCQ
wXnYwMgkE/M849f3B6bqKZOm91RaVNlr640kSyYViAiH4/q953znlagWaz3Wkbjtu8bxgJXnXpgY
waapR2NbAxvYQIWJ7hIy5iG+Q6uNargGBADrj3y0lYEDsGxWWhEJizmnY24ULUQdETb5seLctNXN
LlhVuqXDj8Qv3V861IfnKlKHezOyhpzt2B/uRz1vD9jakoukS7JTmWcnBXnCt6Fq/ZOZVvYVzFam
tONk7AjIJatAHywIkFFwYJIV02NKJNHNSVxfzGrMEgMHxZlKbZVdaWYol4tZebU5qIxMduf5Gzer
hj5GN/PnNJrKV8CDw1Z29ruWU2DydjokRMqsy45yZeBwFTG+lRHHsQx+QrUC4vlR2bF5UAbuizqP
xDZu0nk79aLmfJU3J61N67UwyreuTQZ7M5LhS/JvL24xdmsrdKfhjjN5uc4n48MYlXDFCPUYWF2w
qQbfuVZ9Tb1rOQMcUGxYnlYjDkchJL3ZLjTXN+d2HfWx9WQ0fnOpxISN2EobbguZAByTTFoNtS+3
mWyMtcgidYUWtUKAXF1Ag9GofsARVOPQEJ0C0hh7THooBp97pMrFM9kK6qaEy7onikf12mgBl9kN
ggQTs7zdl46+wZXJtXBBGzvC8DGrybdat0KyBBic94CWKXTaaZebCKsns+M4CtV5nTkBA5dR6MM3
5Oz32FQSxF5mcDBi1H9UWTfwWazvnLGK255z5CVwZrVZT+aU5OvBVgZkyBTIK7vpyiuyr3PrNGXc
XcTMBfYxzEY1gn5R20YH3q01dDT+k3mOcnyN6HQde2v3gAN2cY6CyCVMxX+h9hEru3VmSLRmdqPq
qoYIErhKEZVAvO0g4VAmRPJgj6m+ag3AHknuGzdqYiC4SJx0HxXaczf05c0QjtRRld+f87IaDgS1
BezZljj65gQknzrh1lftHn8LQ5VoFJR0hm4/VmZte42eKldRrD3ELX5aM5xoV8JRM2E/p6cOsyl+
1tY6VqD7V21fZt/YyiAXh8r4WHRln5CHYaX7OWe/JskUPDUYc2Wd2v14OdbWdMG9zei8l87FWIUm
WQzJG0fj+DrhGILjodKuc9my1nlC7cZcMzeBGlCUsU5CGhBVss8IjiBXM41uY6fsL5lBquAJAEZ7
uJezF1kp5VNZVdWlRPnoiTKrdmlUKa800djE5zTfsKKtZGdryryhZT3De9Z98b0eZOvNlpWuS8nE
O6WPtW6cGjKDAEwC9D+xGk557IxrWZDf2TKO9pqkeAzbOjkz4KtvAHoluI8h2IYKCkEyO5KTE1Gb
qaRq7IAavEcyqYHzVI1ZkNwQkRdiJeULcjHpkvvEATXnuc36A2e/php+BepeZ6i6IrA3qjgTA1wc
AJ2HC/66Oeqysk9jr8lLen36ddNrMdkNmQUXKfSP5PpI4iDnFJOC3YY6iQxC37aRMoxr0knb2zC2
86sOUO+rAzSFNzSrzK1kQmXvc1wdSK0AlqD6t1Jt1cvC7DXNgwwgLnKUgZs6KnuGgSJfAEOqRfiX
M2zRI+57tRTovhUVekJjZMgDxSxdjujtR0ffdDlN9qt87IttWsjZnWVsvjSJqr3O9GKg0XTsY9T7
fGB2Y21qStY1H8BHKp3HMgDflGTSuZGzKNcCvoI7+Vm6E0MlPGT8zXao6ngfSGzGQTCOk1tjhrlQ
Uk0I6mjDeFS1qr0egUbQEjEMLsE6cqQ17pV6Gl/Npsk39KoziW8GWR10ivI5C4bpbFeTgaxIgR1N
nARWpBXtxs6d2iR9Sed0aJ7J2INzOwsHJV6e8MbyupDfnCwYP3hYIifli70goZOBdEGkomsMk7zt
JEZLFyZbcZGSTMeOSUBt6el2MKyiok+iIy0jP7jwTZs4C0Ac4k1lgmztdDa7bsWxy3hkKj3cp4le
D4An4LkrOXNGYbbVRcfC7trH0RT9UAF/lr2mV5HXCrstM301Ij4bR0rDcThNIhSPca85rlrKx5on
7Umtk+yDXgklR0nkjjwnrahGPGqaDQK59Eydazv0n2eYOqQzcAkfiLNk2Lep3NKBaU0XVIrDo8Gi
TDpWWsRPtbIs81OVYAR3MaDyJ1ODWQAql0UoK3eYatV9SlCT6lzO4DbmFUnIsr8LnFae0lbJzVM5
1Kr50uW6lpzmYUA26+NwsFZWpLY5PA17yQeaK5vfmqqUJmIYAVi/cCq+8JtJ00cmU7maxXwnXBhn
hAhysdyWn8dnNm5//KaETtJCB/aNyr+vE7PRN4KRRUNCa2BnHwA42vnGmonEkuwpZBd7hKBN9ZY5
eB0e7Rn8xTGQc2+ddaXVag/KBpQZegNayL+kIImMSj+wKzbDMVOtYG9PURfv0FtY6G11zvFzDFqG
kK5Mp6XpQ+1YdZMOSMgttMayD3C5tfFK06G5nZJFm3CEWU+shqvDW0e5OjUF7YmyCjSOv4SMZedh
Vkp1U1iyoQuSUEvvqy6dsiOBObS+VWfAYdCx0zCF6f1gfESVgLrKE7CTijXzE19ubQFiZ0tpSrMg
SEZV7KeIuEXgUnXrYBMypuyg0l7oVqiZZHIaPuMFlaguOQT1VOj7UuSEZsydSoa2S4+5nb7Pwq5n
PEzBbJvfwXkSpOGNXcN6EiJcxidFwQevo4FtCPvszf7GUFONc2lrzkz2TF820QX4pio+ZkLntXOL
0vaJzTjWztRCcU2FLKprKEbiNQkxQ1Zuxmmt5gyv1+M6Cjgac+eUjI78pZZRzWldRW2/NHZro/Nd
3VHM71WDfOTu9/SOtLdVvkHLMJfFYkzSMN3WEAXFE+AmTiNIzzI39Ckx7xrhB7SHxwk9uzUP8UFr
Qktuaj9mkxI1MKDrLpiLYlP5pZZvKJOneC1HLUfjGZhzfo7jmPcZNkVCY3HWMLAc0igQTz4wrwn5
dTAYIXUc8zzPZGnseAQOSDkpdVEIMqKTJ3hisnJ58M/adSgbBcZQVDMg9aFr0+aynQ1B8ODE8ITz
rml2OEdRd6MNW6tfOmdJwJdp2hqJBX5LRbCJdHPIGOPFeEeHRiShN1QltRUb31gd8l7yW9LqLZua
j+ngoRns2YbmQMbenoqn72ei4JYJmfz8Wmt9rMWthpQk8yoiG6u9jxADoHai9POF0qRmjxC1bPvN
BCpIWztzP+QAg6omXZGCqBxZXIpz2dWy2M+8Yn0jY5GUr0CESeGaAONtaWTH5YGjpjYdGYx1xCfW
tpnvUuJe1JsQrl6+YiM0MHjhNYkvCV8wHNoKoslPo0QOR1RO6W9min1q2Nwx8TIzVYpcW03GjCxK
kiMPRqtFNHelUz/+yCX6EY9Am6Z1vGScCwhQcUKus4DD9zYh2zwHGV/RbtIEVEHAyDKhKC34urug
zvC2AV9+tNKM+w2oPIcpbQ7Kd52v+pUeUYLRwBmLaWOOjk2gRlRAMpvYGPz1coexRdsc6ncQ0lka
bZxObz9uzha57HLhtQP2g3zKMIG1T/wpilZBLlBoajQGiRWZm4MWZ8awSSkUzQ0y3DJhKATQcZ3E
TXwkHSonfVFHLrgKoftPB3PS6uBKV/2iOsZKnhIbN8ZLIuLCjeRc2UbC7gVWPTiAsVlY0Tpm4Vob
q3XwrRIuEx97cEzBHjNR+d1q1CH8rheGmOk8az6UENSudHYqBQE26NA8y55k3XHPR1q1xA4D5aJx
GhQpozlv1nlzZ00D4LgpLZkmW23Ogu2gkSqJ5rtv7dnNggQgotFaxXTgxM4ge0mlJuglpreTHHgM
mMnJ6O0YFgOUm7HeMKims64YpZlvytiZHqopnzAqJ4zvGUTU7J8/oPsjfnfeZT2ARUscy8wOxhyr
hMTLaEm9bstC8x8iCxTb1lEMWxE0yqm02aczf7hKJT2xK2eMwmJj41Plydm2kb4dU9CJq9AYybD2
0gaZrJvhZEkyN4mKNMWtYivWalDteDeTJoTMO0zbeM9xw7mXspC4iFuGe6vAVlvuV6JaQ/ymTfWm
Yg9xvLaJhLERtMSe6gqG10oC8dS8H8+IH6PSMSOWYV1Esbg1IrNAIOokRnGNFXPx/DFMbR8wNrTm
5Y8d06q0RNz3NQkXm1GouDFIuNR0MLNS78Ot0nR8cY5lM/iVIald7MBqHu60GYbWXuOr3Jd9iOVz
6vS2eScRFApVzxOP3cdMa3M7UYfdEzJry5Wap81zKSy1X/eTPeMZsopy0FovHDuTSpkvWaVmCwhg
wUPdsizEBLxzq5D6W54HyfiCzmc7KlsVepBzpdD5BIVWBJ39kqIwTE9yTMxvtBmq6aJRWilhs/mU
GVREBlEmVL7z2dfIk7mzgq7i9h3hU8pYMfuLNA/U+abWbX7I1NjsaIOwkqK9jxJdfsOFOy0xaWQz
tUedpK3qg+dJmvBAUUk2SV3617Ny2SB0KLcDOXnqzpDN0hBWOk1io+AI7Y+DB+itMr/5WR2QtUjO
dHFh16B2wmWbEvNKUe1iDlfFqCnkdgmHgQJ2E8h2JcxZuxgA4WU6fhaz50n/Ume9Maz8wVxEPAwH
HEYEkYMmwRW0zamHayvM+9umTvvymsPEFG2Zxxr2hZV2g/TiWMPUWvpZ/JzUE+ZmNyFVculhj0w5
dnlW2eKS/lNWrTnptfohYGhKs52c1fnh9xrJUDudqmuCBrproiTn0YV+xGq5i7NsvgzUpH8HLcsO
oJhiyYiwKSrLl9rQWkkvgMTb05IIPN7aZRkFK/zDrLPczvnS1BgMyp7WBXg7RVGC2kuxvHS3s0pN
s1NTTj27fraUBwZNzW7AG1R6so3zGLOTQda4F5j9hFFYU4IPy2L2+cqZVcmfAktT3yyAkNU3FXIt
50DIaqbVugN+DmoAZpahCgwu04I3p2+G8Glwxsp/NSafteHT3nS+M2AZq93Uhn6/r6c4wh+iJDM9
7JBRxFHPEz05NQGF/NrvzUa9nehnlW6wfLA7vYmU9iIniyq/RITqEGlDYFPyaDDnZ6NP8FQX4BxD
pP6bJdRAMj6k6HoPw8jsbSKbCpJEciwn5UUaN5yoGhEGfK7ZGTQTrr3Jmp1+O3HJQ+R2ehLP10TU
8FgtotZs3rK8wwfiyWCIUBcxheqONUECxa5GYyeWIUs0X8x1q2mXBDiDnVGIZ58mtxg4nvnurBTt
9EQiZxXRHcmN4ZRVbS5vehg8AOOAC8ffK07oySl2BnM+9H2ao1zCPGBbI1DBqYn24KML5xz7lrQu
7bn1NUYtVCwmTZFSLHd9qyvTkTNDB7lQ0BN5tAwFHwBt4Kxr1r8HwyDGrOkVpkHmV6uupfVS0zkt
zCBdZ2gqlPJKx0AunJNCGEi4JDVR6HbrmZeN8r8Qu31RAS7HdzDdC3MMLDZMpS8qQIOaujb7egQS
m5n6bSsnp3nEJUUAzBgaDO0cwcT9PGPqNECbOhTPn+KS/waF/D9D5SE5/kdqyP/5cxn9v6O0lG/i
nytL3df67fW9aH7RlvIbv0tLDec3hokAaDSdCAaLfuY/pKX8aFEbg10RX6WlQv+Nsg4CEppkYS1k
lj8U8vpvbPCcQ1CZ6Z96vr8jLdV4+Z/lQgYX5dgo4zQYPSq2/S/KuBxEPmxuSe6qIS7w7QYtKWIg
L2bCk7DYOJms14pPnwzYBQN2jzxNgsbJd65bN6NIPITt1Hw35r7TFoX78NErc+8Ry7ZwFgyrEm6r
i4FRvo19jwPdfWHk8ak201n/oX36b1ie/++qnAFs/qu1+APreI4+aiTcAN3+4xRV3Uda/BJ58/n/
+M/VaUJvkyTaoDCGmEvX+Y/Vaf4mcWeYSGgFfSyEbb/LnqX122Lit2DBOcjmHeOPtSnRUaMuhZKP
XBpl9N/DujFz/3VxLo4Dw1DhgTmLkA3lID//ScsmlY6eCfaqbTjrzc4aokdec1M12YUVMemTQB7d
eAZYnoo2xLx6Q7T5cc59e2P38TZM+QkPonBnxFnotgJt00AvF8HOWuZ252pRdpTZfCALeFGA3HZF
+jLU6XdZ4lI2rGNnKgfyygg3pVvvRmP8Tm7IfnDkA+M4lFP+CJ+hgyMdzg+OKB1v+Y84YLbSxCGF
whi8wVGMdpHFLWFKGz+kbr3NovmAPq7QsSIOsuptBSoRM2SIUNe84Utd5i+RCsfSSFQs+T7nFNrC
bqjX3HaU5ymi2hUaF1jq0zzvML5B+aWmZ2DOFUTxd3vsY5cmMzx/o3oCZPwCmnudC//QUkiR/eIf
pt7aUCqN66xN3lSjdraoszHAisXNuFxW1Gg04CqaoxgcSTII7h3laiz18zzbyZrA1ZdhMi/DANtm
0wJt9G0yxbgSdM7FKgd9Sdy8+pBRkZxl5SOJkASHjQPIJ42xc2fF7/6I0KNI3uoMnk9WSQL2yu5S
FuIxa4BRJsNLb04PTcM3FyWwJOHkvw2ztZ/tuIRcVJfrKY1KD877ZTNn6zis23UGz0dx5sd54HPS
DL4jwISgurrrri3PiVo1XgwunaPYzLke3TanQXQ5tkAh2LUHYrqnaqg2YImeWmZNBS6eTdqbCiul
c31lVr1RPnO0cK2BIlRQdbh6Eb35zTjRQkthW3YaSItJcmos6A1B3QjocMprU43c2EQ4EAmFgIZm
ZFJDQjItCr3dEINKHrehj4fUn04t84SV1dRylSwCu4mBPfBsLkHJergAxJZxppw8xenaNZVxc0cA
6egS5dys67YGE2CgKiHvt3Bz6R/imuyGYJTb0W8oTyQHnbTXXTNrLyeL7qYRsjRTIp/dcGaxw7J3
rVKsB114euzsF42AFPnLXPYDA3dzE1ZwUWRyQ0ftbKl8+2HVnjNCp4N4w2TmL5gRXzTr8CRJBiHy
BV0q6lmeh7/e/2au8hjprGBrg5VBZmhsp9jcGRAaWFDpX+iTv8Td4G9aXk1H3UF9hW3jq1i/7wSd
otAPtjhyyLEPnG1tdVulyJ+0mJIuuRwgL7fEP7Igm6ef9unzD33uzx6krw6LHy/OpgoUd8n1+Rr2
ktO2pMepBVv06W+6oRYrU5k8jd5ePA/sNZ9fRIY+xIffmmcXCtrCf30JX0TSn1cgVJUtnZ2WsuSL
O13qhiR1GvZD0vcniRc4CM19VWXeJOGV+8lffNxfmWnL61maxvNiofOhmP9Sz+a62tSogwFBUOy6
bY0yaXqokyvmEiHAp3bJ7Hbu0NY6XmgMD7GEile+aYSgpIhQErzigAQ3RpsfOUk+OIWyyrpjFfcP
dmFvoA/u9LK6zJxqO78TSpx7FSm91sTEaGY/yjv9Op9sm9OJtUfs/hoPiEKD5ugjM2U3Wqt2+GFW
I2mpXfoypgrSNV1cTFVRe1y4RDTWQg0RK99G4xeGw2ulO3ckgqScTfUan8GseP0g362qfoqX7AjJ
I2xbdoLmq2zQQxN5kwZk1hfT/KBVbJ+29pBM9l04qw9ThSc/qu1LvC9MDOzwkEfdpigX/QBIpM/v
/W/VTX9ei/9Srv/XvLH/rPL/dyzrDVb4P6/rf8Cxl/rpl8p++aXfiydT/Y2pDlWzinFwqaHZnv4w
v1K70ITgnI+IGCnqP8onIX+zkZDRx1XBDGES+6Oyl7+RK8WPwFDgs8SI9ncq+09Dz09GABCS+E8s
pkXSwfSCe+zXzTNtOtptRUhbFiUg5QHC0h1PvxGMxDTNdxkdtb3eJdZmHOADkoY3PJrMCD4yM/Rf
S8Xadejp8pVGgzNzmUVUj0JXtnmNQLhPRuWW1AD7Yo5r5y6KdXJ36EhtO22gDZWU+UvVNXAeh6j7
IK78Oggsho+TrpItgJDwyJQxvGoywz+EwC484l8t3UWsKy/JvPJdK3MwTY69Ld5NwlOfdNOqzxPS
MjyvY3MblFrDzAwvxcKt19tb2swIR1DAEkvROPh6JlpQboRe5EFolf4+x5lF6J1jxNcwiKA46CVp
O9pIM9TTUp3xa2HYmZu2tEU2CFztfUqPZU1JNDNDok+u2mlxWjI5XvysInyiHsAAqE5obbrJInMl
IXBkX2DbeUdiFmwZNSL3Vs/0RMS9mTe066O5fdCVgh6tHtC4s8i688a5rLVVWqJ2JLi02qMdolte
KcBrSHZLkYGPhG+EYRJ9+2kl/8nT5osdiqVBpb+sWhVzNGfMr1tvMguZB/DJDbNxVhEnw706Kfbq
728s/z9Qtg0+vn++j6A+a1//4yb69ouHfvmd/zSf4ob/zPM0hW6ZHKewH/++jdgkiy7m5MVZL2zr
jzOYEL9REFn6ciyylsY4J6Om6JbIUYPEUXuB3vLl8lfk3yLrL92JX9oDOPrpMhg0I9jm2OK+uImU
jCFSOjnJ5kd6pK3y2BuKtIYPRu61h7iPYJ4w1S5rtsi1opjhCkWH4uqIJN+IPSqff/rs/mTlfq2T
DIteCS0wSgJOhxxBF8PVT0fCOXBMmfS2tUYHKe5CElP29bKIQ1EOZ7JLInigEYy4xUVRTar/mCOa
v0ZJPd/96yvBe/v1swFlhqCbJoyFzVP/PL3+dClmQWAM5a+2bh3KZgxJCrDovtjnUyBwpTjvkExG
7FA1KBKbmMTtOBYNzofeWne9r17MRi7Ohl+RHjXr+pPmK8a2Yn+CEYtQBSfCpgvbNl1FWeYQUwKQ
smFA4NazelMZ7TdfAx9bpH13wXzGPvl1Fl4izFYPjgErsNH1jEZuHdXnphuVGyss8ksts4wjaVOo
GjCVkJsMM/I7UWjmliAb/4iBIMdNZFpModJjMbQ0flU6zpGSASHQ5TeikFNixZIXLkTfsXNP732L
RhPT7+yVDRlPgRXcyDQ9jk4gH9LWrBgTZ+NrImS4GcPLFOWfV6n6N0tJns1YvRzC8n4gh3TDHABC
Tx6dkiJMnzjj0YovRXgd+Ai9LVSaVIPCQJEcoLBBO7Eemro5zRXDWn3wx00SGs19PoAtt50cuGgC
NYz8E33vLOq1aJQTJiytTFBy6VfOgCwHl0e0NsrRZBwUf2MQMZbuZCvqld8pw/UgYmq+QvfD2dXU
Ca9CELjMu0My0vpEY4ppgCGxQrOWrynIsfTA0r1QRBj5u9oRXjLMF6ZZ7FD7qJ7SP5SG+gR9S0VH
gwM2CwnRVMzsTZnqg96E37EOvhRV2K6TFJe0E7fqLmh5GPRlUR9jtTF3U2fnq9FMvzn2Il8XKBic
YoAfhsDJ7o32lEu93XYGAXlQl2LXMIYj443wHp9L4iWyVUhpoAQmAcoLC/2NZO5NwzBuH2pGtopa
BVeQrqV3lkOLJAmrizANGYqU03ucBea6HMh7Ggel3mIrUT0A0R8CvxAj86ekmYWrxX6LvA1MYpMg
U/YT45ZI9Q71QLWzwC+5s2WDqBisK30uqJIV266Q+6skXo3ljd/VGkltukqIRs1zM52YqnS272xQ
DstzgANpN82dc780MvdOhaZ8LlVcWFUDTNyPVHFVmMl4phggX8uerBLxQmOec2wLF3k71MtKRt23
RmvH+KLTyKJfdURKJWjJhxDMPZV+pNkccglDpzToptdIVUFxVeZWMZY1OCdSsRi4FDrHYysx/aOJ
WSW8KnoTOlKUmWSDAz/KtcUGODmQrMCE2KjHCWe/VgtjnHd1UU/FxjJGLkcOTL0w3CVXeABGI0ie
aOvsaVTdqVFpIKsMEGn5hBShoPRB4aCOnY1Z5a/ittflgIopBqCHaCTn4E1zwFUgiAMB015TwLev
bHjJuTbCtCBwkud7T9su9ALsfy+Z9JUPNbS6azQQ6p3CBP+k+xlSd9+3qndYgjMBQ0m1UagdMFlM
DPnUMjzhtMePMo4anbgGPjeKtT3pa+HKSgmB1Ic0WwBiYbTD4zc/Thk31jCqzf0UYRu0nX7H1GvY
aUNkfUdYlY0rVaCZQ0dZ3YY5XSSv7jMASnUZxYhnBDyxmNZfT/1CkpwsewqVnHAVlZy8EbOyZ0ws
tFqrB9W18U7e5Kww9jSW6zkbjfYhJK8udWfCvXJQk0q8ByPgJw9oFE37LtZFZqOzQMk6u+Ae6/Jj
IZYRdTfFwr+MpIw3DuwWXrrFJauzNokUw26BHFx1vIxAePPBwtV+51s5o39fXiWRn59tY4CzVQcx
wplEiqdJQ+ZSFRLXbF5332AVIMgXlr6PdXKolhxmV4q23xY4o3SeWPGAmsUY1nHXCM9WI2r00mKm
CoM+Y7WPSIQcfzx0Ptp4dyg6cZdiJPRxBDRTwxwtMCZXrQmWCozgRR/9hdXMHJx9IvcvqsRK7+1F
dux1UUd6XV7E8bfJMoBywefjMEzWK3H245klM56tNnQu8qIMS7fKQwRiTVOKu4XjdMeYazw7dmrs
B7+pEeywYeC/bAlUY3wa2vWwM1Qnuw2mLL3VTOXM/T7sQz7/Uye7CYmqr9anwLACWo2KoHGmDIjv
0xR7DGPxNM4RvhZdtB3rngXez0CBzb5f6RXtUSweln3hxPq+HHQ6a2DUyrsasdMzGhq98+A8iPY2
UirGmmIKNkHRxxDNqpag07Cwa1BztSxPVijNx5J9aHTNDq9Dz0fsKUEKATe3jOYOs3bQr6oOgxT/
BZqnRu0b5cgIh6JMrjEJKK6VqxD60YiZ17kZChLuWqUm+6vK7XVQlfMVdh6LZgGNN2Eqero24QPc
oKhca3aZ3BtFZgRQTAu2gX5s77LJuhhlrwMRZWdGWEci4txnayel2bxSeyBynjJ03d3EgPwcxPV8
DZJbdx10Llu0EPNFJkrlgZi+FPOjSjKrbLmDfeMghhn4NN2U5xRZ5GryC/1Za4vBU7vY2RW+glg2
CfO7po6r56BSzVOYqeV5svG7xkrtbMxAdlu2ZfQhgvsuAHG4mXhsRHR09V7zJNeOJbU75X6ss2tF
8ROQkOQGfSpiA3Wo18Fc+wRX2+0t3WuiL8xOxXNcAi/Zh0WnT+su7gZ66FZTucKW5bPTjPaFP1R3
ah6Xr5HsWIej5bjcDPZrMmk86hROuBxHKVJXaACrDdJN2I1ku9+bIu9n/qpmXutYzNHHI3R8jOdR
cN5MM+NgINdaEVfte2g0SQSdzNauVybNZJ8HalgfjCbK25Xe6M17OwbBKmnNdWXVyUaixz3Xs7Q3
Q2k06J/1/NpBB3pSYWG9h/T2VTJ8uQe1OWWxhDns/0biuWKYT8Oex9WRJNF4Bb1e3WlplXp6JbAU
hX1Kfp5TPn9uEEEUdRex4/jPaIvtVQoJ6bIUaDOo4FTuND/Jo/0klFB6rKxi7dOONbEwSTU4zIPe
yZNapNpd3WY0sfpIu0s7AvrQfMkS3qUTExl369MUe496NMGeCY5gy5cznmeUl9F9SHhxQyWCTnHX
KwQO4wLN0AnZNQt+bH1Mouhewo3J0fv8+VhGjp5mbt9UznfG8YhtC7t5zxvV6YDGB1LcJbHKZysG
vKUcoWtRrAiu7xcvUosJdkamOW6yIJjOddNCIrbF8MT40vbg9PnnMDMzx+2W4t7Q2/JZR5p28h0B
y0TCSzl//iGVBgsyNnT+afolIQDKMJTPIVCNfoW7347IdDF4AyiV2N+cimohHEvzW2hkyXek+/h+
05xfk2Sk7G2E2/DoRxKLoRsQeJ6Q5toMCusTlzIR06I1+ZHZE4SMGXBJyQ625Vjx4lFK3GPbVY5w
Cd5slNsMjduxhuCPa1dlYwqmjj+1ySw9O3Hd/Pj4Qcg6V9KofhxV/sc6fP+GzTtobj8d11avHLE/
8jZqp8vX7ON//6+7Osqj99f3zyHoXfH2GvzCfvr87T+6eJIzo7O08vCpf+ni0aUDewR2CUgKuVd/
dPEA30nJgN6EI0V/bSFG/X4AFyrZdoYqAT+p5rLw/1Yb7+sh09Es02QsINB/kJb1FVBLhzEY8WvS
Ax+Gbtv3jc6CHNvVT5/OnxyrbWa2P5/zmXvgpmHYy2l/KWXUL5PWGi+uQg3le4of+3eR3oUkTDe9
UeO7rMNn4u0UIsV5pJordYpHsZ77KFFd0Y7j1WTg9NngSY5U1yzVvll4GSaiftTsDMhMKjvUTtp4
UeJgu8r6akrXs22Pbxjs28NAFmSyDcasfaD7SEdNYzJgoBHS0FpxgmueZ6OszzU5C8GxgUpgweed
9OuUAqZyu7TDTENPdQK6JhQSbBvKEGPvp63d7WOr6s+x3qTMMvtyvOwR25trh/acsh1NCBoe3uT8
ApdMgm80zzsOd7MfksYueXueOjjz98FaxJtaHBRXiRJGD5w1UCJqjdk9VFq61HVy8WlLBQUoAFSK
konh3V5DwEZgK6Nfhm3UL+sS2hExD1WKMcGOgEYx/AzBwRrIjqXX827cnq7cHdnbhOnBwGG8qnf4
qiqk3dcoNIaEWiDFc4+zG+P2KAENyBaWlIu1Ies9qSQa5NpEe0sCGxNSZo72+79eJl8Wo8m9YGiM
4WhTMbShMfRr8wWAVqtZU41RY26cXTMSXOvoYfcXg6ivg7gfLwPHhk4Dehnxyev7qbFCpYoHju3R
m8AT7ZPIuml6oa2KVtI+0cvGi3yfHOyYkFFu2/iClOXoL65haY7/1Dz/vIRFsIMwBz41//z1nQZx
6Y9OVirMZcPmlI4k7URNpOFUCst1F5naX9yAyyf39fXYZPh8uRXZVL68Xiv1MZFqrHhlNnKKm42W
Bz4I3jy3xA+dDMOa4KP4k3v9c7D25bUsdBKfrEo+Y21RXfz08f5f9s5kR3JjzdKvctF7CpyHRW9I
n8M9Jo8pY0PElJxpJI3z0/fHUGUpFbpXahVQDVxUbyQImaFkupM0s/Of8526isNEuulytCwTZUsm
Rz7RdWATGME92fqGUaKqKCK1Mt+25LVAsP4YRJGQCstT40jZbezSkSb6q7rnuiG5ey1VykbPkXVo
wbgjnJOLrHh8mKjbqQtBYxYXqPbZTUyC/YTtu/lvM6f9+7p/HN7K/1poXuf/OL/kPV605ueJ1fJD
P5RmWheXB5e3vM2tRsXgfyrNnkpX6yLzLsxfCyI7N+iPGlfzF8RWpkj80GfF629+H2xqywKHa0x1
WSNRQL+0Nv5Zi6OxLOE/PwTAFSGMWvhcLF4ukOqW189PN6ZjzmAEyVyAxg7vOlu1z8yZBNgSapdb
C1YMsU2rpQyBIJIvCc8YQc+M6NhoRXPdYhMP7MTNdR/vBlswqSv4YUsCSd+o3cbraTNYxpsSjVeR
64RxoEqLMgSvHWmS10qkpTx5Dm2jvJW2MSfkWYV2YzURiqunZRcVgNedE0XDPrF0+FfFiMXHaWoB
TtpxXgk/pSvdWvIsJc9Sug4bItdd0qbop5FqPMYJkEZUuWx6otEa9z32DvVEqfVsrOq5UG7SZmpv
Cq2w3qukrE1KhmK98jtZhyrhpcSMqNkiuOh3pAJSpti52Bk52l1A45Z0VrmVON6OpXlsMXDrduXT
U1t/a4QzH0ddyza1o5vPSctOKGiVHO4hAQliVihChCrJTr9khTUdwrxY8tnl8IwGFoITkIZYcC2r
FLMiiTK3eifTAUjLAqrHJVWmla/4Aoo18MD2KteNhr/6aADsUuN0XWaZehiqflsO7YGjs72abfc7
DbjtXUTIIvVbSZduj9kdqMGog3WH+bhgXJT0sqyKa1PP03cBjjr1UxpiIXN7gh2/U0hcQ5aSq/cR
B8xw5VSdeBGjpARY771415Zj9aRO7dOY1RXqUans8iKrSFwwcm/l0KzCVP9WmFRsr9oIEkFqKZc0
zpKIIpkUfQ+pO95mChp5nWr3mdZgu2/VUxPSeNs2nvncN/FzFi+ZGmzDDiIR3gHYU3Hk93kTOPWg
r7oa4cZIqgNyGVQTFKMT5+UTAfTLiHi+75BitYPCHSUfCmlk5sLK5BdKPt2EywEcp7vjR24i72an
yN6sNkp8axqKZGuRZGq5gVz3cZ41g+FHiuZQTXdzLKKNvgi3rdGGxEJKVyt9A+s1Ni05rqOmRV5O
Y8vaNHl67p2ErBFbERJIqM5uu9iay+/2ANsIbCWdFnTffFiapOtXdi9Nmaa+2rVPOL1vINzSHZFB
xSg1ZhAxEqmAsuzrcfdsj8UCjZclfXjGK5nyIjBJFEW+DgPOkcw/apRg9nGugn+tm/aRQcOYFldy
U3qyWQ2hsxtb70aGGb8/1co7XCAf6P9ou2Rv1p1oriurzVaCA7EvJPepoinRvG4cMd/ObaeRl1Qc
k0KOnPKeytTG3ZBFyTOpW/WpMXVa3fVhQLSYqnKb2fDfzFy/EWomgoqcDxl8LVnrFNdftSYDmbyw
H7Be5QAKRuMVOwuEmF6TxhPaqMUNFDYdIWQ3q4IaQy2MpslGItS166azeJoySvwsZSKXZQkvRvpG
3zVwpGg18IrGphB+dhX9EDVuvM6o0PJTcnSBQTPbrYMy7jvAR9ZsgD0mMQsA2ozkRoQa/KYhsxXq
FkrpPejjMn9wqyX8SIRvTeDYNVZGXod3plco1orqdze6VPHgbczJmreKkRiSQKlza1ZzuXIrJ2yv
kZfrg1fX8pGm1/A8TpARroXH1K/WgF/FSvJKrrkPSEJkB28Yxus8T+2z4O9EqHngHJ5R9ZCuIm3S
drOUgmG9F961vTPvzKxFB25aucpMJzuAQZKrlLfGxmbmEIAJUW4ZBWVsc0e4lx7bbCwDM5QZuF/e
tp/T8arnMH4UY15N2HmQovjlcmsNo5xgs1i4A6yRwmjNGa+nNCXXmHLi/rC65QkbJRJSieEu8MYy
/N556G/XIfHbx4YtF0+wXdnnsnakdsydFjLCT2vxP9l1aX9c3AxWWM6YsEGxWH0tHQPqlExW0lu0
ynmXVUQEpraJHrTZoUj0g72k6LKSRgS+pKVrkBR01pU0OdyVon7MSvZTtjvLv0CAft0LsuRy7qMC
mE09sq35tfDKSDGOxFNibTolNmAvhEREhodZDAAek9rY99p8p81Iyl35ZnAz+nUu5ArUw12WEM7l
cOdDBkdPKUFYeMKDUFjQaU6RGYSyAU2n+14IAZRIplg9kte/+FC/bNM/L19bDugY9jAKfzUI240j
qyg0uXw05a1Xx4dhkqdoEC+fJti8Cu9sj/Y5hHO/0pMt/gqTIctI/Khed0RCoz4sdmzHT39+YV+8
dL9eF1zixfRvAxb/sp03FTSD1qLQ3cmrNhir8gHSmbHEgzGfOIwT2n73+Sf+P9N4fuf1+jdycVHa
89NX8wch6FdH/ENSviEPfapBbfzxj19LDZLyQ/68U/78X/1QhbRfqEbD+IIF/sd++DdvF0Z5nItQ
yQzO6R7b1B9bZWIbdC6jJ3nGYgngV36IQpg8cGUsti+YI7qKyeNvbJX/8Nhi6MI8hiV22Zib1tf2
ttBTAP/MMluRzEelZW/B8JF5pGT98mTNCiIz/d7MDOMBEBQ2ZX2Q7jVQBnmvYpxXSc4R1Sd8uiHI
UadbPbTSJ0xSLF2YFI5VglIdaHBs7mDl2qsCOfkMmLdAo3d0d5dK/S/coJ/u0p8OpeRQMHTwTxVz
EsaVrzpX4imOY1KyuBoSyQtmctn7VYOAJW7ETPqk9EMpnTsJAgIFSuQno5HmTcdLfDvnVeNLHqkA
usl1iiZzIL6lUzXEzs2O4NrOcmJHSILvp1vpn7zTvz7lXDMZYo0bAXe2iWr2+/OKS86XZT3LVpNR
FJt2IBMcDcXDMIOGSYpa+GBxhr9aR5b/6ZcPCguGa2iaZxqL+vj7P5QvyTOEq2MB6FP9Pkunh2po
C1/rdA8SpHml2429SZEm0bCdZFN1pfcXJPFP2/XXS8BXqHPkY2l2P+/On89pdTVMDqAZKqMbZ22T
0WBPopVP4zJ8y63YOamSUUo80gcFH4R8w6SPgTe1ytq2p/giTjQCoFX2VhUDO28Dh8SffzH/pIzD
JIKCuMGqhpzytWpydkosK3CVVp7xQN9t14sAkJpPVM/vWWjrRgQQzGyZBAQWDnphH3PjHROWn8KK
ykI4YvpWiYptzn/OncucolwZ3rfJBW1mPlajwyhW2STeuQF48OfX/nVJ46aCokAzCbMih4HRF8dV
HaNDcnxLV1IRECnGpliJEpaVt6TaCVdV+z//8/5gY2KFMrh9SRZisrdwZf/+hnItQEydp4Gw1JVp
M7j5BSnXdAtAtlhzZgpPeme8dm3qsJkWFChlMwyLgZ2+1DrFd6Vtb9uwz//isv74MXBVbJYWBU5D
e1i2Uz/dY2zPmlztuCqvGdkfmzGcsKptdrxjxWpSOvmrAPe31s//CWbFJeD3rzWkbffSfhQv+e+8
isuP/FCQXHyHKASQmpZVTl3Wvv9YFj39F8YqFOm5/HNZM39aFh2M0hjTKUHQadJghfxtXTR+gTpN
4IBGAlNTbdDsf2NdtBZx6+e345KYtPXlrYSCa5KW/XLbZEORLdTAbGvWY0LJ13I8XA6KHL6vyXSj
UiyHyCyNvrvLsRLQkLJpe+Vm5MSZphM9L8sh1BxLmrs7fdqHVhZRF+lwWoVEtQ6zeAt/2IDPxps+
oCLsVZ/HcjWZFVLNNDyLNKEneLELlVZ3dBOTI7viWAGrxw2Vp0/QKsg1hMMLdkWCORlSgzO6FJVO
E7jGof4O5yIHomiTVzPAVzisb32Vn0tHsTYmEeHYl8Cm140rhU9FjQ675fOkry2HfmpFI9Yh9S5a
BAEjcQwws4gErVerCMoRk4ot9SA4Jhwte5vaqj1O2mRs+GX7pPfjdFOlFaAaQ6ZUgi7HQ/dToxhC
tvBdklw6lXY5LkKGu0gaJtpG/ylyuPXSHgtk9VMBMYZKXuC4QRehtURsia5Zz/UinTSLiAJ0+LJC
VVFDLfWLLLO3M62I371P9aXyvEsRETbvJqB/jKl1xq5Ue2iC/FK2SDjJIuYMi6yTRcNTVEBbkc28
MWGm3k/FdE94Vt/Vgxqdyrgr9hK44oug6R3w48TmIeGI+5zTmB6U2swEach6ebDG/Js62NO75dTy
mJi5vZeEwp9ErchXXdQv6jyV5qJ2xa0PPdJSqc8c+20Gk4nDhOMNM5uwwaGtukn2g6V4V3AyOeJZ
oj44uCsYApX1XavTh1rZVKQk+HJkpedPsxkWezfTulUPh+MC0Lj9jhDQgQ6zs3fC5Jih2pp07U1s
l4Zyaoca90U76rAESDsW+CNahfp5K84Oc2+lFpTpsG+wndJlSn4TxugY1eWuF0pYPYbuQgPvJr28
jSNO7njgW3x3A8WMwnLa4xxZxrEru1sWCghxfR8vEwj8XzOKv9q4j/aQX3oEGSfFmEjS5496O6CA
TtUDIoxcGc10xnZjnrExZhcO6QNkSKZT6qqTE6hZXGfT9Fiphlk/9Qqeeqs23F3boC9YsOMfR2VI
NomWOG8ulbjVikHdfLZlFnJI5guMInt6VBGWyCwU2P6HluEdKYI7VRTeNlWcUgYNJQDEb+AbdCkd
w45V67eZaPKrUSbFkzHxyOadUI80boL2TropFVf6NCjcD4WRbErAjo8E7Ed6c3UFVwiSK89+2g9U
VhZKusXPKXbYPm7w9X5XQ/h30yA0ShQ9CL5ul69m6hlWxBK6Q4J/C/t+cZWH4VOmjlRJOupOGa5q
QZwLTkO2Z7OW7Oqm+OjGYQw4VpQb2K6bIjUxiZY5EEQAgn6JBB+YpTnewebxMdgE0mn0dVlQkZzS
Uxkm0aWeyvdQNdqPNm4qsLoe0BcfRkKoUFML6kG5z6Ttxsmx+RWNX5lZYk1sWOWcTmuJ5zrB5GOF
uidWcqi6B9CJFzN6+JvRZNk7zl/7yRKlfQ2dwjzUS7C7aYmDKtgpo9b1PbwQSFtzvgNCXeyqucHl
abCnukkT660lJe6no2cHelhtywX2ny/Y/3ApAAD+ZlyWyq1dy8kOQtuBn8v78dSBmgMYnKZH77NB
gJaIK7Bo/SlMiujU4ZCu17pRhpu4URZY0dI9IBVjA1/1OA7JsQ2dC7drhD+O5as+YRwlsoFBpSx9
kLjQcUfQK2FzHqNcW0lPvbHm8SKsStg5CKyBYdVZINNx3CgZNGFRfyNHEyQL9CSiuPkCPoZ7DeI6
WXdx1V95aZHRW2mkD5yjOnxNail9lTyZX2mpSl1m21gbBNPMF+rojH7oOMVW04RI1iF9JHMzv+WW
eTNWEruQagx0AxfAWSnuMb73jkX5QYdnuOunm+WdyWDSPhFe7XfWrF3wfeGetjFk4osgCVPXmDnH
WNzZ2DidxNau3FwpdzRBj+86QMnNIHHHetGkHWgaOkuTRKmDOfXOAJGK+3togwrBhcpnZ1hX8Jx2
RU9JN/dvFWiJrnFObNVz3ijitpcMQ5KxflIVto5tnTprpiTvvKc2Yy0U3N48cWJsUt8B7UV6Na7n
M8iMByuinoNaqw27gwWmnT9GFWU4giq8FbrSFIzq1FxHOoFiieOBZt7Zb5rwaAFre27nAvBqFLm+
Eebqxp6HbeHkJVSbdkubRr6OCw/xViuCRs/uQZgRyoH+SaS5HjeumbkbyVp557TRPUhzKLmpdFfg
Pc/9MD9BFsvOvUxrPGUD2B76FXZmL+NAjF286ZYiDvYgU2CZUWA06ZZ2LnEZjd2lBOez1pZSEi+t
mIgm47Rv9XK6iDlM7QDiNAEuNTT00OUvOiyWdIxEC9rSl0gRqMe9yjRfuXHVjiFCO5WkcMOrLNQo
HmX7IToaUjIzxaDm9IQMIc9hduTF1LAnh0PJ1GycSR6ZT/NcUODcK3V9C/gIGoxvS91KzQO8JbPH
lREzgPP1SavoJHRgdz4oeZShCbs99V5MFtoXzJ7l1eSJq1LTNzrDhCwvH3h1W75pQ1NpOUytx0Qp
120Tpxsz1Dli9+Yj0CBrO8h4N3reSXegkJfpAEFwOhkCDLsRxayANh3CvG0AxJZNtMIW5iMOwosv
G18kbkkiu9ykFNdGySPL6stSLJHq1CR6sLj8idvChXPUYOBgrwUnWG3JgIcM+8IYV/a0L+NkPQoa
h/vmraui+BT13niGjnzNVvQ26bV4E6Ou7CgWVldMpUHfG6x29ioH7g7RaFiaXcPsrRaxdq7aDBlv
2afRHoGQElr31lDFK5IbILRE551RU/gsB+/D8rry1MH2Ic9lvsGVLTZidJobSml7FpGwra6qLD0u
CUDc1p3ZD3q88qYpSdcdeFLs6R0VdK1PIVgyn5om0rtV644iuzQlY9tT1uG5S31Y+qmzVzzwbz55
g0nZm/S594+ZNyTe2zRB5w9/PZX+rePR/8iQ6J8DN3aifO+al9/JiJxifjsvMSA3TOQsxL8v5yXX
+4VQFfqi9gfChub8gsPTNFUTlJ1OuSqJsN90RHRF1imm35+T+r9lLvuDksOJ38FftrgojaX68ouC
ZbpGR7GfbW/GaZjWTHThd5bWRaumN4ZCyjm3x1VH84ePcxLGwCNmXPswR4W+70f84FAtVzPbpk2h
Jbc/nTv/ibb2BwkHdxEeBYdjIeWjDkmD3wsAiSMHvTV5b8+DFn7LwzIkR0P1dhlUhgHLcZDRuMam
XeyZ+an5EVNrufhVElpEQmU6z5DU17XRyTsl7iVhICFNUJMamze80NeQ9LQj7Tpxcp2KuaW3uoHi
Fsyi0F8TkkntqhNh+IHxz2sWuASOg5D38FExzeYvpI7PSq6f9TT+qratc3jjG9BQob8cWmXcGAUo
DfYx2EzvxrJrh03I8g2mW3N2dtIlZ+x5895VMmXbKF3yrbAqpYfaGXNQKEonoQBDT6/ob9G2hGbc
dwKDGtuyav3nX8ofh1hoMpbGnIgvhn8tUcWfVZmYcx4slCTepoid12iRxT0C+bqJuS2wjwxXPWGD
+zGGkTg3vXk1e5W7T2dHrDJBQVEQdvq4b0ORXNjzNGz+4uq+SqPLMAt13Vuiikvz5pfP0RbEozg3
WJuqku1ZtPXIzEx1g0HLix32pf6BqeUViaTwIFGdjpYctL/QsV39q3DFRTD0IduDKcZB2/jySAHK
9Uy7iQzm3LaSn0qc41DtCrdap2b2FBFkQS7OJ6yNKRKpJU1SHiIDfXs/4/JYZbSnXWT1rLMlH9Sj
YnVbtR6GwOjh48qoF7ecvCs6yJVpZ1OPgv/a0q+NxBq2o6lxukyf8R9qAfDk9EFYU75kkrIHOTWM
WJ1+mw/A3hpluMOWX51q9BLfJKPS+7bWJXexMcRsFSK9L8GMOS+pFWkkOjM934QKQJWADEa5ssMu
vi9UoJlqox6plZpdn3gYM9sSGdg36MbYi8bLFD+aWjVIpeU+diF7kImQmMFlWMgi8AK9jUdNCNLj
neNkI4KnoWuUvptvg13kz66W1bukJn0ttdZmSxipNQfR0eFZxj6wHnILDaSKBwjVSq4FtZZZQZLz
+Q5tQ4a8SjEB9V6dPOCWnzhp0FI3j0X97JHZu1SKfLqIKnfatnoXUhPPuT22RrGjlkC+hC6kmCIp
jy7suE099cWhy3SmESgjCEp5sy+kuBzLrGBvWltEzOANCTu3OTjTBF/1CngaewEXTVp5pAo7/vBa
iud0t+73mlKdDYtgZ9EgCGGY2WBHGrZqN81PTi6qNWXA3hUYt2aVDH2CliQ977kdwm9kaK7nSYXP
23eWQbw+I1nq9nfJMFJrH1OZdpcOivs9yqs0vhgVz74kBor0LjXNJ3IO4UeZC3IIGZ89lLzxMtJj
bA1KoxdneyJiNZWavbUaQfBmbM8TbWCbzKkx7dNf6BNjzls/8ro7uou8FaemqQsmsP5+Xgi4Nwlf
4qiLeEOaQdtzTE8+MF5ZAfxDCCKDi0teENASw7ccRPmHEjMdKUYZX1uGeB5jTBu24EOeM3VY26kd
bhG83pQJ7wFmTIz5Q3MVTu0rG2wg9F5lBa5jKIEgfAKgqF9bSmytc6Dn6zktJX1/BFblqF/0s3JD
ldFNHlryOmOfbzYUXebZbAQ8jYzAurB9z3Lr2tLCeQuh8bKoomET54n7AWblDcIflRNDRI0zFLNN
SoFP0HkJ3xj1I4FOZ5MfxiGlfrrUL8Y+BFfbTPKSd42KL6WL9W/DTNWS0DJ7o4Wi3yVznrRQ+Rtt
FZsR7TxDw/Gu8j5YqqUvYbAF3JPDVTVl8yZLk/ZuyvF9RKI2r2vDoqVj1gAV5v2qWsCe9KpNxtGq
YbX7WLFVrBrO+FyUo/dqgDLZk6Kzn0hwmM9VaZg0rJnJMSywSgVdnhWDn0QYpiw53wrdmy+JxDH3
oDPryq3Lt6maHiOJvWIpEz0S/4p2IF3CjUKB6kODDfhMac9hDvP5IIoivMlG7GZtMRiB8Oydhks8
SAEU4b/W9HSXeSlqhpW6CcYySm+/UwWaPAMsI2ob5jpCCYGLnUfl8ianXyQwpnQ/iQE2FjD1bdsY
Hr6/dKweuxKfdVoMPG65eQBh3n1XrXm45ITRrK25KWeINTnurcjO0msPaF2AbvyUVtOxCSG+xJLX
mGuEtU8msD7ENrzTAqDmxSSVDF5kZNMn4zpAY4axvBChS+WFmXyTHn65RolvlcqlXCKK8h3n1i72
i6E8aA6mPccdvLuhnLHO8mHdSiJWsLokiHI7ZgulEsiDnIp1cGVFyVUUd8YGAvKjYMyYrDSll9Wq
6Lv5Btp34bdRr+i+WWrNNp0JogqnbQ4qbM8VUnYZcE8UAQBBykpIrRH9afObOpE0qjlFvC+0On0a
Ukou1axUvyPrDieOp6/Z7CUXjuVVe2Kg1t1I5o4eek/fa0P63bPrc5d79M553dP8uaOKIyq5Yire
TtGUlvusZEomyCSeagczQwnC5yq1i5sCvkVqCs7jmn1mmYoPhkFMYAAhvs89b6NSI3ewm+GY2vLK
oSdhzfH3skKm8hUprCBLmmbvVBQajGat7QCEOhdmBJutJ72Py9+n1LnyhT3A/WmaVrnprYw2S3sK
A2NMyMY1Sbwhu/BaTqGziokFB0Vt57toitCS++qxqSPxotV1dZ/oab4mTSYwr1P3nnWmtcVxQwtV
bqYXpW2OgWHGxs7OvIgH1NTXo9fHezOunRuzdeNVPNP7VuSEUfXPsKLbmFddkZLjqjHhYxfN+p1S
9tmFYMd3z/z9nMaF8w5w99S0yX2XaiOA9fC67vtqDYw1/T6ZBcE5QkcniKUEaEer5PgfDrgJx8T6
KGWSfwcnPFzWfR2tmgo4EnBXBppaqV6PqVfJdUYxBfzvWkW/d5SKA6LsQ1oD0whmdKDhW+gokIGp
cuw5tDYbpSsl5alJXyp030WYpep+Uk0MaL2ibdt+FJzKO0hlxnlKnAZjYxKCQt7OFHGu6Myke8vq
2ibycwR3yC+VUbyVLE75qe7TgUaNwqj1QHPhzr8XBh0LxHdrNA6VG0jsSq9qqFsg9ZGdEdyKoxbm
He8nD8G4ty0KHlvHEPYuYs6KJxJTc7RX1bG2N/pgNMNNh/hG+i9BvQoqR6JUMnw6aeYQfYf4h53M
g8l01gX7q0tu844DTFNt5RiXR4tY4aVTjHweOnlGuvUI01JiGqX9kYgMTUyzPslHU8u1+65h/mLC
l72kZ4yX7mSBpksK74VKWmOH29BYl6lLKUxMsMvhga3ibM3khxrRXo0YFWTA2AjTmOtunnAm9zIi
1dIYzohKtTj94cyPjEVo6hTreJJR48/CYbLUtm1674CJV64Lkxnz3NnRdUeBxKbHAbrmLaNegOYw
TlQ7Y1gbRPjNIcPbrAloZNWKbhMx0aeW8G7ymhRL1FjhK0SACA8KdS6HDGVGXdmmLPdVaQ9nozfr
g951DQV6KloFI3p915jd9MonwD6tK0MqSSj6uBXUkh7ipGdvNhcDu6dR24Q4Hl4rqSeHbla0JmjC
JAG6HhqPAsHomb22sea3zK9YoOc1zC/qSYQinA8ytLETOIk0z04xnJtlhtCJ8qFgQr8KveQx4XML
QgYOtp5eUsX3KJdJxEzWwGcriod7mVNQGXPbE0U4inJihrFMM7qEsE1bqhkjDrsub0PeslQt6bPL
EGTQRAmTug9xYAJeTEHiNQFNu3DJW0EDcBG3IfULTtcXxyqfoeSFwPp2WtZpCo7tVuo3yeyB+52T
JnuHB9mh6EX2O8p6faG6PQ5MTS/2zTLfiRn0EIai0XZ2kiCx7OpOERAFGWfUh6r3eL/Dl7pS+pS5
UdswQZoqhknp52BJW2ZM9ue4Kf0cPeGTZgyl6+XLMAzy1SWg/hQv0yrTYW4ls2Z6z9P027jMtMTn
eCsWFQZ0iVvZTgQH4LnJIqrRWv0lxeq9Z7wRnVqbLzsJ+/uobqx7Y5mmDV10kouHWlvc1OWnsdpe
PNb0emG3huao3pdUnZG3smPU4uTTnE0EGqM2FIn0vcC8jfk2veT5pULt09rdcfkUyaBrrBQNodxn
3MTeBkM4PMzFZdQeeqziyNvqgTAr9nGG/8YpWzzlsVW3V/XiM+eTwHJuftrPw08r+ri40oEMOPRD
miuxONYLQygEhRcfu7c42lW3vTHCCMd6yRh2pVJa8Zh9+t+V0qXZ2OShccauuJoEY9SF4ZA7LKkx
+DZszRAYXGrEgijxiqOLXEzXgkKPXEThUOMpvlkpH4BYxquMRhXWXd5yYdl+p1YLM37l9K6362yz
dVaN0toF0ZlW7AgzYePP8wFYiDNl9TaiXUbuK7OSJz7z76WaIP96VMwZQqoBs791o5jCd4l2D9KI
94rltcSOi5uBTrRVlrmPUV3PASloNpNG8xJRCkI+mufL6vFBhmN+k6WZdhoLp7x39bmG6rWkEaLP
YELumSERea/Y2Hk+vvJGmbc9BjOG2gQgkE73nLGqIK0Gy/dszqiyc+N9xAt4FQJaXZrpXIQjUDTc
/GjEka2wvnoxGtISlEhSJ33IhzgNrJotJ5vv/iiWRAVbuuzCXFIWdTsOdzje9vnYEumo8/MEk8fX
c1xnYWVzmMPNW95XM+2L8ej0PT52adl+birGuR2zRSru9ILEhwoycwQMcRGbEy/5mre5N2nW5ZhS
yxflo7GWuhF9Y8VBfQVFtm2qsaXItVdXprCdF8T3hyq3nUs7C9PXIivkRTF4w5p5UMyWVe4jvPOm
4mbfwriHkUobYrT3GiN9IwUgHyG8D5vEHqIHNrbKhfA67VgV/fDSzbK5AusvV6qRsOByZVm8r6h0
oGasNNg+gEZ5U4cIgV6bKndTNLbTByqLwd7MsXfjR9RXpFjFBe1s6cenfPL/Jd67qSIS/Ca6sm2m
248o+cJDXsJ2/9oS86uD9Ni9Jb8zxejLT/0wiwIChGAJkxuIysIDNP7TFWNrv2D51jCE6lg/NdtE
MfthFjWxmC5ZW1wvKs7QxZj1Q+XFFYOOtbhYEAYxxvwtiJfBlf1sikELwyWKlIzxBkMZL/Pfq3bN
ZLVhFdKTk+D1sKkS8NZyVCqYxzFe/9F6K2yrPg+x1x5zreEBn4jMbrOJ28xyyo+cak26mVpnuilh
R5i+RXvzS+tG8ZEJRHmcbTVl7A3wtvX1MO6u9LE5GoVHW5iiey/lshmIpnC+VZJEC3hNxPUJ6RKc
idsuzBzDFnOgFRNjb6WfmCdZdf8wu+UNCeOOFG6ORZt69f+C4ev/jmn57xsYtFFA//WdvSKyWcKl
K/9x+1F1r/lCEfz4DNHv3//3/1p+9sf97f6CNxfV11NR4rmLuIn/w/Xl6L+oZP9wb2GIthhMIIf+
uL+9X5b0PLc4bEyDHC2/9OP+ZsDh6CjeROodk4jv33NDOzwpv7vBuaVdl+eLHP5im7S/yNLAnPQU
UZU3NM0jzkXaNeq0ERgSkE84Xt1h4EpxLppyYJwQyrTfSI7SpMcREi+kpgp9RQg9Egdp5RO/0VP7
bcfazc6JPffL3OmRsSJwZ7yTPKwK8ivdXFAEaXb3ZcoTHDgDVfW+3kbYIkWdNOXeHCfBPNFpKAgu
NaKJ6kTldtCTy5ogUzKCZuSb1rTQOZMiOchKNzuVObk2v+lpTfe9zsHnkaQmTAkpUofy7SkzLjO9
tR40O20ZxHdukfgcI5Q4aDh+gO4WTv/hdRYbIUspx7tGTZxil+GRHVeVadMuX8cFDbghOgMFrF6s
vsYARt7TMuaEjbdJN1e9PrRniTnIPpWaBGqeqaI7DZApukPacjTyYWy6wP8h1RWbrpx1ZyOHgaQ/
jfRTEWgRZXebVqOc8JJXcTvgrOiic4EwSRGRmndb1CnqYww6Qq57a6blcKCX60VDTS19x16q8ojU
j1AE6IUHQ22jPJM3SsAlMd3v4ueYff2VwlQKL9jsChkUplv0l3Srm8NWJkPzKAsLW4Lvla3Wr5WE
1P+uhk12p9M6vGTt2cVR14FuGSZjcQqdXn0ZHDe9Ag7mvGZ0ZuI2t5DvAghmw+hrqPYLkW9KqWTy
2oeq9jI3MKrF3rPAu+1VHCrG6+yMoEDlmM73kWcxmx2cEEK2ZmPi2nBqxs6bKjMOsElIneBXRTc5
fLPawiLjwC9mXI2Da0v7SW38H/LOazdyJsvWT8QDenObmUwjk/L2hpDK0JNBH+TTzxf6uxslqUZC
n8tzeoBGA4MSmWQwzN5rfevEtpPE3Ez5FJFvjCGf2dIxumsN9FGzpZ8XnQtn7M2NLVrvF3jspTja
yCWv+xHPwllmj6a7RxRioqywAVtheoooVvulLOJtoaQnp4jI3elQaS0RdKM5m9NG49voN11P6Oe6
6GNUCZnRqOLB2ATkVjfYwzdD6RT5RkAxinYai8E5RYsMDlnfLbw3bGDEUxm6WW7zdGZaT+puuCY8
xhtWXeRNP4xyoo0PK41lJNaTRNHZguYpM/uZRKtBImgI+gQxpWcSnLvW8nE5YHjtUPO7k84G2rXI
DusNFhWEbVUTbPw2r28iMmYSIFVaHKzLuDZQQxQYFZ4GR4vIn2PNq2Az5tpDz0mIlogjtXtKHxMJ
m3Qj7v1p0h8CBM8RIbOELvPGS8fm0yKWCjGahxpANj/IhkQWamc66p4qS2ciBNvx1avy8VKTUiKC
H2f0mUZXlr/bsh6xp+UmYsuYtf8Gjf4vcrHaAfDEMsv1ktJNpD3hK/mIYW+YRHFJsvV2gPUlcfej
HzmzrKdi8c9EHMwcmLOGz8ZLUnmbDLlztK2ICDGscVCo4QqUW6/kTLVe4tlDBlWL+FAW/FogNb3y
EfecbvBL5uRFl6QhUSoC+29tNaPHtlgyUVNFtHG2wr4oqOoEbFbnEKudd97qIzt/jV6ryzAKXAx5
YyrlanGp856aMTqhptT1H6UZDS9Va7tL6LCZKCANYTGGq7QMsC+JSb+zMwrzUNQc48ZhEIqjOwFn
C7EDDw+6u1iECPdspNDszFJfQ290qBoh3YhWk51kJn9wokKS8goM6qdx/BpHCZijXsUf64Npacyd
OUXRWLr0inxKDPHW5oxNfJoKKdr9sVr+pUX9edWxVHPfVH5133qzzP/ZDHWtuCcEtp/wl4DMj0xc
qEZbLv/sU/5XXMNHGgYQZ7qaWJGgYRisbR/dFmarJ5Th2okqJCNixRjSXM4EfAzDsGTnSaajuwW/
+DzBwDw1FpItNna/iG+6q6p5+meTWqFsTOqVJkEVsFzdD33NpLOIRqAWEbp1aZz4QzY+OSLr7pq0
stlY/Gcb8pcHi778w6WID/FdILa+Q+SMQm7/+WCrCqxTR7hDWECAK9ejLR3qmwb4fVSGQhn+G0rK
m6Q0EdcNOv+Hfqum8fF2G//Vgej/9R0i+6U/3s0n+9yR7SGVguHd0eft3/zbEGCi32fok8UIm8jk
nPOfrSHwYteHKaArbyYqAHUs+ffW0Pk/WCN9tBMgT9g/evyrf28NdY4+aif5f2cI+DCSHKwI7Enp
xXN9bAEfRCReoZtMZ023pSPU0DZ2nBsoE/3Wiqpv8ww+XyrQHY5ZrvLvIOR4P2hr1xIOJ6t2O3n1
oSn7q4zSMbq/WxvqXe9p+z/ew1++EXXnf36OypuInQIHlq2rbbT6XP/wx+RC96ELOe3WHaxbUECh
hXGATmBW4D4vzpeMdf7rK36cAN6uyBsm1YcTrftRpTK2ndPOA1ck/EmVoEjsG5uQnkDwj9bsf53x
PnkB1ZWQPblIo5j1mP/e/zYH5i2xw3O7beKo2yv5cZgakBqg4cYzdc0kP3W8rr8FACpQkI6HZJ5u
+EvPoy0ey9ndVVRcydGGP8Pq017odiRC14wOFRWca2com+8ccZ+UJy67fJ0EJTXGlDTr/R1nxH8Z
RRAX20zrz926OZvL7tJj2T4rUfqOCdz7EbnTqqRhE8Jynf6Zqv7XR/ZZyKVuQAHd8b3wEX7kd0k6
iWQb+/kWc0UGNgjN4GmNJnMbUKBLPa1aJQE1KkNb+4O2XkrvjOXqRMbOi65Pp3UstXWvLz/M2pi+
eZsfJ3NeoPIIKno4chjY0+8fTeon4CbYmmwjM3dUNB5xoQD4Qa/0Q6XT8RcL0AmBYmMyncnelMK2
Lr8euawdXOTPr4WJ6J8wKXRu5CqYHyogSoEE+jBItyWF7d9kmDrPC2HtuOrQah80OI31KlHE3Cot
yictam/ZUS6bCFBnBTZ6IkxULDw3YiCu+WfihG6zviUgy95a3ng7KFDvoJC9Pl/IJhD1LQ2dw6yw
vsi6zNHyb+0uSrQQEYqNNhUi2IS5MPPMMKMeI8Iao8NwhtMEESg6NP3VFb03XsdWYbz6VQEMhTjd
gqqgFjy1BFM/dPznAVSv/oqoYhLoX9vF21T0V5C7zw3irColAhz4wrztiHDYjQNhwlwfd61R64Sm
gLA9etNMrZRN+vgrXehTrSZ3iMhy6Nr8hXDTiDyWaj4wDeVWCPl32VV9MW+hERCPmnq1fMCMZGS7
OdJnJQAbA0RIWX7w3FZ11IjHPfpdWYdjrolfJRe7tZzCdVeV7xdnRAkpyIHe/2a3lzWr3PCjI4nx
NeiJrj0TOfh3Kutz4xDI2vA9pxyP6h3mjeLMar3+d2JOaKC0OnioAjjEK09q5WPludGxWoLp3CDd
dU2YsXko+hS+mybscVMJC4tMD+cyX7dO4JwkSU+nfbTreV8VEUrnDhwmIHdiJ+S6CIDvwGkIpl2C
/HjYdZNPO9iPxbhGWemeBXiwMVsXZvcq0kS7iAdHzIdEVGIOsxjwQohrjKZqy6Z/AYuVJf2WZ6ks
M9C++pOy0dtDEKeCH+n4OQpkpPfNfKAPY+QHuuNwatI+gRWXpN4WbEu+HhvBrqfDVONfmGk6I8iY
TT3ajFZOF3RQtTSsQwZEOqu/s2Mn0zeR1ckX026QL8PsHpuTvKViGY5LP8fnS0fRgoZIBt47z7Or
KLc59A9zqd3GtU97tKUwv6kaqvrhkI8wHJzF51CI1s5diMoS7K6j1nOupDZHycFXXepa9atbb7Z/
+W9N7K5B25OrzvaCGOG8cfz+nAeX/W5VB9yZ/UuOMnTdi/iOIut5rrrlC21zofrnXlXmp1oRDPvU
8vMV3GBRQM2h5x7RP16B+Kagojry02hBmkWuejWrfj3YCjN0VA+fs7S1hxcu17Pq8Ceq11+orr+v
+v+JUgJQTsczsAT1Xad0AlFWPWgo99amNRf7QtDFLZWuABn3qx778dZUmoNCqQ8WA9FDpxQJMaox
4pqUTgEKNs+a4K96lCe+JbzTSakatCQZNoVSOmS1a2O5ak20FMax1mIr1MzhAn7umaGUEiWSiTgr
5YHdPbDFpF/2i+HfaB6iB+QkNU5gtOVVoV3otUWD0oiTUHa9cZgGrzz0tS+A1sG9tlAL5mB3hkfT
HQ0kvOalic4DujCCj5Tmp6NEIJpuCGSaCENklr82SiqiV9byGz99elcybz62SlLSKnHJ2FdXcUJv
zPJKZvJSiVAMJUfpeCYboSQqhD+4BBQP7Q7BIgqWVIlZKiVrkdHcClWKQu0ylcUDHE0q0ihhTCWJ
6USNOsb5RylD12XbKvlMi45mSlMUNcjfglsa1zbh4RU0KUL/VhwDEeHQ8TniRkmu8zJbk736ZOem
zdaork5dJ0fHo2eL89BgvjlG2ZCfpkrwQ9pFczIm/bCpU/pG2lR7B2uezsRE1EJVF+mxKtMryJj0
NN03TZFQ8iK/E9NxVJKjRPMt5Z/pUIJN/qp/Uya1SqRkKr2SKwzQWHFxKJWWiW6dt41F9xPNGZFz
ZttckCYrKlpOOhA+pYbqMTMGq+JNJLXMbQFnnW3FSuApBFh7L1XIre7L5cyWbnBVlcF8Yrh9s6kC
OzvxMs+6T5gsdnFc416nvHQGnpPuOjKuXOm5JqXsAsay4CZYrgMtjve+ht1hqCG1m5ZED7cobVij
VGKxh16sXMT8WMDUPymUmsxte/lMhMNCVjcyx1VK6u1ZD3GfxVNRG3y4/TtRWs5lU7MrzJRyrVYa
NkOp2fyiIPvBs7JwxD0GixrlG2UCNJumXkt8YSjjYhzh2152dWhki7WKrOQJ5Ym1y7thwU+jZHUs
yVgr0qBeOXkLdJwiR+inJvgLGfH3k2TZpUqhZ1vN61gRDlwvL7lANIptrlgLfgI91Oi1Y3oK/bK6
DjproYNnXVokmBZJ0r6Uw5Tt4sZEuSpqOrJtHBpj2l4uiXuB3PSm6hAVNsL8EVtQDkY6qWFSZc5G
j3K5jQ1jTcsb39MIVMghnRESVfM6K/Fiq2SMEahqwpNPbEyOCPeiXZUPyB1T1u3Cnao1j/O5nJME
oWc1rYXotV+ml13HFT3VAOK/8JMiFAZrm6YElm4jjEOvxE9pkARXQ1tIfEe+BMSAhx5/Sm+DB6/J
LdYFE1Vhu8M2oyvqcsZ+pfs/vCRvEtDZQRWzKF1oIhnrq9hs7Ud2G+5x4etKqBDyyezlkBV3REs3
eEvRnQolQMWKbN2OBCk3RG8Ml1HvDiJMcrslCQYdaxuneIe56ZuCDutz0GopjqI2HwgSqdP0lJYn
Qvw5CZ6WfHEpugHA0lc99PJ7voT0gI0WoD7uteZX7vgMoSBx+sdlJhvE0Ca5S0UUe7Q6EF6vxJAb
Ea1yG5x0Olpg3YylByVNukPDXiK12NOlgoAFKGXYLjacUHMUnHlMHV7MrXnhJE59qQHAxuBWtvV9
5GpS3wiH9Cu0w0HVrIhmS28JvkcxTZoBcL9OuNm9VVbUjMHed7+7YSBIZNIkASRW7hPk1jqduC2U
pBsfQUHMRzVsnKVgFhKacYZMyj6mdH7tk9yKvQgdZSa7nVu2zrnvp9lPNO1FHKLRtA6d21tnZZv4
exHb/XUwl6RWpazPDxlzwLqz++pGDnVolbY8FUjX2pWr9xVTlh49zTkxkGg0p1Pc3dN+gkF1DufF
fsXtxQ5z5XRV8Iz4xP9dlI3cMcqXq8mLo31FNLixIfCeuEzpArTmuze2YzRSlES9RmmXSFK0M0Ox
xKE/5/NlZpKLfp0G/pxshlQvWQJdZxN7vcWfpf2yloMXCOyuZRwu7HLEejCZZOo+y89yCvFyp4tK
PhoTwTd6MzhJsIn6XrdWLYoTc5VYVVLeIdCQPzyOVjS3/PnGQPMSbHpYMAffIAJ748gYUQflM/01
xUCYYeXV65smrorkcgQeic8xGGZnzbzBKjzXAe8ymuvrpmBA7Ej60459I9FgNBTNsZ9NVWgaCajU
xAweO/52EmIFKjduX4xXBmeEk7Qm0rNKF21XzEV/5k1g1DqAZykb6qXB9ofY617MxDGwqRqiEdnm
Ip11A9OwPthWHavW6mIt6zKSo3tP35WNWLs45+Zb+gQsSZfelMqk4NVm2/ItqQKp5YzaPXFIsGCG
V3EWqaWyLSwBiuFW74qkuO9V/MX8loRBBZdUDOrM/X3+FpXxlprhqQCNxmwRe9gqVmNSARulitrA
ZDdzo2QvLFlPeLxMTUI5TI01sFVJHVYROKfxW34HR/HmZjGm7il7y/cwwB//NoN82ufzsG/0mVOI
CgSRKhrEUyEhfSpSEkFUcoirQkRMv0o2YxzUB1dFjAgVNpJoS7ti85CcI28aWRPQ+cRV22wjFVQS
qMgS85/0EhVk4vuDDgaRcJO3M+R/VQz8/9IAp5hq/ynefioQXr5UL+X76qD6B/+qDnpERXPw9l0b
BILiflAU+1fj2CfG3CbvlOou+CrjjSTyr+ogsej0K6gL/oPCcZVf6l/VQf5eQN8mCGyLpDSKxP+V
/c1UNbl3ZYHgrSahPHBUIqltv69NVABoOjuQdtj0SbINqO7dmN6MTWRxm43pS3ja5dgfRk4S1jqq
4DEGAu+qg+DnDGpRvjEH/DuENY0hyhBn1/dx062gZGubgHlv5yb8HUJ1/bXnyerwx4P+SwXwk6yD
tpEPHBsBsgduhft/f/cwUh2at4EVFrTTLkuozqcBDuuMDticbvrKeaqzTscuq4wwXl4lJzMycsBL
tPOxWafOLvOTajvq6Ra2oh1Ke8hRYZX5CQ4jupfu8Nwl9TUdgeaRQyyLcsoKgTBO3xiZRVCNifJ4
zRQpd42VjKdJoM+biAV3UwadG/ZVUh/1sUz3da11WzrYeJcH39zi6s9O27KU35REP8pc1DtkIFEB
8ygsv+kN/iyJOq1ekltGpcJvS3lbiLQjlW1o4tMoIKN1Tq38sdEXgiIH2nZfvwvlyPwwkkBxURml
4KzqXbq6tz/KsRxCy9gnsiccJv5rIbbjri+WeVP7qcSOFm1RAhQbb1DVlnG81zhqn2C+/qZx8rEo
jMQRfYYHfkdlfhrWh8JpneBVHqVPRN9ooatvgWDoU/Fb8/x7An2XA88hXX39yz9Whbmk79iq9u8C
/6HG9/6Hk4AVDX3j9UiSQY6Zrv+IdveawNvvLvT57XIhSs++6yAnoQzw/kKVYHZ3FrcP7YzVFdLn
Uu8i2D5bzrT2Bpc1gorWN0+yMXP+2/Ku+pFULhlfDr/zU9JfxJuNhSBwO4/6eleKRoS+C6vO72Iv
LPT2VlRRtJJgajpjuVcHjW+e8t9+vHrQFl0Ux/30lDsNHwtUlz6snehRj+oXlPCPmcVGuUF8O/UG
ZXD39us3+6m9if6MQjLkpjcf7schnZKcolcArIl+65xDmsaElOS+uPv6Kp/HD5tsJnMUPPChmIPf
v9ZB0tyvPITrHuDYDd4k3Glz3yHTtdP115f63Ekl5IOoD1YWlffBXPH+Wp47gQ2ii6Egu6fQme8a
w/mlcXZbpzpiErJsQzYplBM4t5t99/DN5T9/nTROQZmxHHqshc6HOaJDh+ExwtDoW+ZPVAtnumyf
Pb1/tuJhb0TUc2CZgtJwN4h2b3QteJ4yuBzOQvseatGuifE1kBiXrnPv6et7+8tbeHdrHz4uSqDJ
GMXcGsagE6JpLwO7f+XV7L++zF+mSaUT02mHYOWEQfhhwXU1aNeI8HFU2/LG67udX1v3hTrg+cMA
uyXDAp0Al0JGwSZ8Xk0SSsXX9/B5WHMLilfPwLYt01Mz+R8zdcrWlOAIySDwmzr0KHZCe7Gab37p
p4YDLQ8TFlmgmnRK4vn+KiQvg7/VR66SeXcoMm77or+vWG1bhE1f/6C/DSs+IFqATI/OJ7BwZheB
3jhDG1qLaPdL7D2mNbAdE9fJjlxIcpB9RFtfX/NvP89SOzuDwhESvw/vMWgNw5VZ14a2GG5jqBwr
N2lfe9ujnmb9/Ppaf/tsTZJxUT84XAmB7ftn2RDTaFI3bEMMfZhmtYbQFL9G5TFTNkpENu2QUBPv
3PuPdUygGaWZb97mX8ctVm5+re0j1rU+fB/DFGl60zdt2Lr2ecASf5rictqCWN/Iefg181rODCNL
NzKtd+xbr9Ox1b555n+9CXivzP+YLVmEPqzuVLLrxkwqDI6yfiTG53o2zPPZ6G+FIe7Z2gHLdxdk
Yr/tBHmdrF++eQ9qfnq/Wwb1qTiRqgkMw/bDexjLDO0gFqVw7EbaG6N2FqAN3KGRT8Leqbad3dHp
waLkNngiJLQmjaO6k2w0Uwv7nqJiNROManvZKmo0UNdkVG+Q9Oubr2/08+CEn6Jb7EvJkYAu9GFw
6j64zIUGPQuXfZcOln+SBf7Oo1++WkZiBr++2uepk6WEri/HToCq8Afej04oFS5wzAJDrtONP/M8
vcHNDLFJ+257+4mIATwY6CJBw+BmkeO+kQf+mLmyLDJy9It6iAEaN4Z4XMgrW89Vdylj9pVpBLYm
bmcIYmVFa9cMNuRJTXuyADeDjje4wlGHZ4Kk0yr3nnvXH/f9hOxLVCXsHofNBJiwq3bk/dgFRBus
Ve1G9DOtpcFee7r8EVOk+frpfXxXUI1Mi8WfPY3auX+cjaehSlwBESocOEBBsSv9KxlTOfPh4uF+
r76blz/O/v9cD78ZJ08Okh8xw0nZZ6MuWpIC2J2f1pnuXHVx5H4zAj9OyeoqtmH4PuolFFue+pL+
eFOFnRolZa8lBJtEtVckr4tMn3tbnHUlwAPgVd9c8OOnyQUtzoGos5FbcwBRN/THBaWYEkTY+Rya
BDA/iiY3w2RoXszW+GEU1H7LkeC/rLarb677SXegLsyeGGcD1w+YHd9fGCt3n/VkeYVFA7tJsAqZ
tXUb9R4Uf1xKJyb9vczJ7vzld+L6N5iaLly/OovYAYFaeTRxhSOCTOpv5sqPHyW3xUGBOcqz0eQg
IXl/W+A7+67iWyDrC79/JGP7QJk4WAdi/q/5uVwLmdrbAQgPh/WGJP3j2efAaPsCJypzYFwgxK7i
dWxBsPNwkWGrzcOFqPaNuxgvDlG/wJm6NSc/jaheG+NkQU1++o6L/5fhAOEFlQ7LBfusj2lSQ2Mn
XCuXYUbFeEu5FxhY09Fp9ZYXOpqP2YBUIU6LZPv11/xpqUaTxCLJSRAzDPSTj8o9ajbM5xKt/dzl
v+kPk+oRkF1SbshcIFDDz5azqRrqU7cAdEgoawtIuWz6n1/fhmvzev9cqdRtYAUgzgD9oP/plQwF
1ct40MbQLibrpyOip3xMLybdHHaR1//Kp8G9JTjIiUGLBPF1CxdgXxTLpjSD5Erz2wNVbf9sGPN6
L1sPzS9EO3QgGoDOxoZtY2tLfeVpbXKBKsQ5kIhhHIKKgNVaL6onp2ycfW0t+nMvFnMX2XWwA9UK
8Kutmi3m/G7doQsHmlluyNgrj/VU7Rq6bmtzphFBE8g8IKN4Jf7FO1EU8Bcau/K6L2tuciAYKKPl
XpnmfTNZ8nouCAL2oZjuTbdzjg0GVpQSRX1RdhRUEwQuIUoLOvwjqMJNTGTHeZHTcuhxb6r2QOuf
ysnI73KPwK8d/Vtr+eZj/DzHszCiSkKDwxQV2B82T1S+cTsU7Rjiz3N++uB37kwjqvblot87bSC/
2Q//ZRDy4tmtccSiwvhpTtJmUpSdAb9eXFm3Tmzf8Q5fa088Dx3hIqnqxS7dnk5kGM/aj6+H3qcM
KwphpNZB9cLbhcXl4wmnTNHfJm4xhoLWyf1gCHNVpp6zQWcU/UjpoqVA5hptbRaavHanaHog/za7
TYrWO4292v09ZiMDMZPaaV+C7llpBSjRNTlTtNEiNZvl+iyvqaWba/pRcPg8/pDudPpOWLVBa5fQ
5K9/0+fZxObDRcj5VhBwPyp/C2eeg3ZCA4VNEyyBaNPLNkj9C19Ixo6bRAcQMLFynuNw//rSbATU
6Hj/LbOuAHJGfsz/YNF+P5UnRtTHqHv6MIKMnm5zMgJWhuOXB7P26f8L4YqnOoVtuhpj6WG6Tp1y
Bam1vIicsvop/TR9iCtySiaZpocK6f8lUZURFaR8sE/p8M6PvktvzRTj72KQxjFL/O7UzI3i6E8G
J6cmqvACjAkm3n4o5bjVcDZcQv15qgzjqHuFsTfN2j4Vfo2YZCrvlqB8sSpgO0nT1wcL88ID8gnv
mRaTWIu6VlAoCyoGqhlAsmZz2Remt2bHElyPsy2Ok212PuyvAbMzhmYL0l/R7hM/M29r3avrzahh
p2e93UMaEE9Jrxu7LHIBgtBWw1cjmnGVssw8JmU93VG3CcIcPQS5XHMNLaHJ4mwdIDoIQmHpPIiS
TudZ2hXdhZLwQAmox/o0gvA1rjwsKS9aPmgv7LON226ynBdHNrR6tSBn1TY6gJdZb4gnSbOWiKFJ
YjIeii1sleWgkw4N+9afr0j5rdejIKtI60yPOnlGRzEBfk/3eUByqFmjHsQr31mcUOCOtjZdUzXH
NqaavM2bKlonpI6eQz2rN06ix802E/B51pGmmS7yM8DwUAy627LvAY1OsS6eALOIbdeUNRYpSwuO
uCzEeYfDZJUTHvvsW01y6qD+2hY1/eMgdrEXEIy+Gl2vz8K2RgsFw7Uqn9jLOPQcW9ikCbKHPeFn
niJmDOFsQXee8yzbm0Rw/tTjcbiku+fi+wjKFY2w5FiUMjuZbaJnvCyd6CEsGbwvQog6vWSozagh
EmEAFdBRYmgkgm76MXDJS+587QSmt/NL9vit2EjoMSAoTry0WHvKXDvgvT7Jz+hIdv0YEdUztxyK
t7WrwpxhSebs3RFUZXSl/Wav0/YLszzBw56N5Dy7kXXwyybd2X46gCpy05Mki/190SIN0TUzaWmg
BwBT46mYTxZvjq88l00LWazBWW7Rm1uy9MbAT37WOGRo9aLV7/GTVEhrhAPsaY62XasbZYhxaziR
bd5smsoN6DkG41a2vvecDi5NdaDGDXmXebKWOfncKYYyltdqPo80wlFNUwMtrJeBeTLB21xDhQmN
GYPDIl2NjwzsIFxQcWLXXnA/j1CF28iR163G/gKSht+ctzORqfWI8mOcPZ5Ibxz7Km6Qcpr2eeTO
oWy66aTODe9Y1y2xlrFvbNygT3GSlUO/alFNuGjpHO2kn6fm6LhZe8Nn8jR4rQVeDu6Wxpli17em
dwj6PDjR/VTb4wtJNwvo99s0771QxlFAPEYmr2ViLj9Ewcsc48nfCibN65z68vmgi35TFbl/nEu8
d54XjeftsHivJqvAj6DSeHVRmT0KJzfRlfNOpy53w0IqwkkqkWJxVKtPDREkcu/1pJJ0ZcvRb07H
/hyOLd0qfObGLX1yNg1AD/YGiuJ1murNqY+u+kLLyZlHKXg5lKa8JugsPY1kVm9HCvtb04tmFGq+
FgIscEHzAtkGAIRmocxeJldiWISZoa11DS5K4TpXbtmxGIk2CE1wipcpR9RLYnbJs6XWqI8rc9GW
i75erPOp9zKwDEbNZjHLHYQ9rpGnoKwG69xNMfKt3GK6qzTlPFmWmxSm0dHLGL9coqVuSsijm+UE
/7VtS3L32yqIKIl21ziMGLjM1CS2ImKtfSKe1ziCvRFP5tBmp1AU3J8AnhDdNFN9anki3ZVozMKy
Ami5Au6hE7HGg3isdZt7NORYHZ162LcEXpw0BdqgxI8vMHG1W5h8zQlmV3FM88K/0jJEHtU8NNcD
CLnnpe3SB3e2cVAHyU011dovd/Fs5h50E9TQjKM169i/srECALIMlx6UbeOgxcYwn4uKNvsgOpXx
V2XCuxBZ1pKuNlb+NcUUcbKUuYmv2+cfsz3x7kYPalAo9YAQwmqIR7mvwOxewcaTwRZQ+bDhCU8O
R0SjMjZUaTMJDEtoq6kBWrcDNYPWNEc+sYIkZsl13uDCE4shtsCxqyuRuxDo/MYlVCVr7wqpT+uk
bd2LmpyAX5mhyQfFd+PS3ThtR0NGD5YGPQnGL2y4qRvrx4zquAdMUHPB3kgHiXLQ5qiPkz7AK6H/
XIaakMCx32LtIo4AwRiuuMg5B/6VPSic3C6NPOLhCnzBpFmm0yXF8fHZy7X8JddLFDpCxtuyshDM
BnIyewSbZgeMvdWWJ80eq2ZDGp0v1vz5cu/EC/ONXhymwCqu6I/Wv5eKBGUEghWY82CY7lxpzZdC
G6mKxChVSRWty5WZCevESLJmG9fVcDq69GRysUNdj1mL48nLFJj9EeG/vIuiALOnNLTkGNW29UvX
01fAIN5F3DvtT00U7BMHQNN3cmJOoTtLPL0wJLuaXPje3bKYdA9rRz+SX5kfgmwwKTz28OAx/K86
kUPezrLiaVj0gEzUlvSIqgM0QkhmW8c3ej6ect7pQGVpBjTA+JQUiCvXGatVgLfzTJN8rGOsWweq
jr4VYrmlu2YQLHBmCTDMmiOra9BO5k43pn6T0IF8xuZapvcIW57m1E70LYs07sihVZsLe+QFdTVf
Z5IEJ7Mk25B9+L6ULTgVlzPPDlXLZTFpFcoVp+cAk5gNq5zVWUzBttWytHsVfQSeiS8vpylKgD2p
XRBWYtQniXAONXSSBTVK2ewNmZ743OM525Xukom0ULSCe0zA7GPaIjh1LQh0ejZeTUacblm6s1PZ
L6f6UBLe6Db+bcZu2in1bucNbKnhAaFvSoo9YuySCRSSCce8bjWY3kMVleGU0JsaNI94ntn8HTGm
9o5TLSuhl05IjmJYaoO7FQnubD+qQOPX06ObDUSQoqlayUlwQSdP7nlC+WvZJBXJfyDvct+Lj03Q
sLv2g0PujBKBotkRQem7h0EVjdomkQ+uW6YnXREzA7XRfK/roOghw237GqX9hG1uZUx6TeCCRMUn
awSg0s8PumXtGkx7a6ub6lDU+1TIeWPH2S0fc7HO4+WYw7iC1SjysJuty96ddL58w77yI0NSS5TQ
5SWZ7ts+TaqLfBLzpbmIrty2rUiOs8EM6tAwvEKjVe8WvD3HBcM0axsJGTwZdrBo53Zly3Z0coOO
kENQOAET3ZUjB3qpRemcZV3aXE9WHJz5RvkjGkGnFwUFrI07uP6ZVP8Pve2zeG3rKW6IOjbCBCKv
kp/6YSdz8oFqqHTe2MiTZJIO9bB4uOPvnI58XSfEL/Sqam/0L3H5MnvkHmIexVfOqAXwObMjs6Jk
1+BbZZ8cZWfm4LjMWIJ3GEdNmEblETSbcdRsxmbGHkMjgWUfdZHcJl1QrUhPsPnn0w/LBYxO0sh8
JNtgQe5nTAd9yq07DR/HWVHF8/VIzsXB6nP9MsZzsRtNnUNOPeSauzH0SWLWdgLJ9GnMZ95ilrum
tec7l2SCVRbU2TXpmMg6SObt1t5owtVErOWcW3GVWyv089C+ao1Rv3BwQ2vlNaf0SMiphzZueSvi
hPl4hsXI5jUIuXwbJGMSxhaytvWEmQ4mlrX8gsEppk3pBngcljga2ac3vXuJzN9i6Pht/ZwBRr8Z
tVwcED/LehtHk09oC3iuq05wzl1nOlTGBhPAcaxNuW2I1CAfB78IYWXtUt4ORaaRvWVjfxgWlw1A
TY4rD/tRoK/ZDDZc+wiPHzJfW17jY3Fe5Fhi4Gkce0slC5KP1AntSXUPUZs/iQ5VyiyK3WQ7Pjgw
qZ3Ei5VtjbzKrtMC2ZnRGMFTUrrVQzlqANrcKd3Vas03kortS5HyUBd0xu6q92ofdS87QXDIHMJI
mrzQ3QpQkLuk+642Kyq5jghloTWE4gS4oh3CWXsdWFnn+MSR+GBD6QXN/TKHJby6rRFofrTuAPWH
U2p5+5HI5NCdC/FjZnht9NhztpGvedv/Ye/MeuPG1iz7Vy76nQbJczgB3Q00yYjQPEuW/UJItsx5
nvnrezGcLmtwWukCCqgC7ksinWkpIhhn/L691zY4Na5EpBnLRg3g/cIArrDjjlBBTUJM00lcAemS
o4eDKKqSfAxswmxs7ShIIEOEgKEJcCAWjwsOUQdLQQZyjFKpziy/HQ0OdWKKMH0QRKSmYbPNdL4c
Qj+Pamc+o7Wn3S2V8tUqkvBuGEX8OHSqul36MP/SKznyDoJyUVh3xdWY9SHUjDI6mZWBtR1Bvx9V
BBsYciTvdywc7dqRYKK8aoEro6xvqTWpvAzZid01GPUN0RTgVIGxNcpQnwy2vhsFZ7quqxSoDWm9
KXSrP1KpXu8mwwmOtEVku1DpKh8KgOqHdsVkXSlceliMxz2LFVHIDfcXpUU96tA+96KlQSdC0fXA
6Bz4A5wYLPohJVplN63D7kafFxKXTNxvo5vmUb1Jx2zXUBI5dVQqtI0wUNqP3W4RDcfbUPQ8ReIM
DseJeN5QzCaxBWL4KPV0PKwqBfAhuB3GbwHYlQpbcazkDvtdo/tDdLMYMjrCclGSqhxxYAwym/ZN
xX7qDnbD6a4QXASSm3CMg8NAU0O/oCRBBWK+DtvYPJqHEDKwTXrHWkPuDwOhDdtC5HhUoE5uU5Ul
ycnKnPQRdak8Hlq5ozJQeg5n902SjCmmJpDDFaG5PXtU0mrWSZN2Z/3EdZFtxxsAY34J6dRjags+
OTrS8DkzKUbp0rwIV3U1lRHprsBjbwiCE8dCcGZ27bhdgsTZCKU8XJaGLVsq9yR/oFuOngptBZfJ
9RI3wlvpksXcTAu8W04Lzq7p4JH2xE6PQb3cDAU/LKKEdG1gEochYcyJSvOKu4rXDungl2NYUwaZ
F2ask2yqyFK2pQqAugIwF9GqcCNcdbt6SscTO6Hip0sYo4EdJH4WzDdzIwpftfCVAly3TjUBOdqI
qxNRpPGGYFtsJZGGPWBWaZ3E02mRwO9dwuwqwDjmGgAgGWId591pp5vqLV/CQxcmdzyou9lID0bZ
7ObJPB5xmp7W7MhyMzRhVfsxDqEAxZxwOKIss2O4vYXA2JbKdCGypD3SdA5By0JWCivl6NbSgIwb
gwu/sJdmupRxjba8Atl5Bbqtdusw0c9sbvRPsWOSxq0VHxd6lKUrU9DKbUjxxGmVaTPLLvSCOOh3
yeTIL8wn3Bnrsg/jRMchI0iTqigWeSF3y6JwOnR7BP1kJsBtbRAfB03c2Avg8DHPqzMDUZ+Lyusj
BsMYHNmcovfSlmM0uTgT+DYPYjT9XuwIbmbO0HISEqTNayH3+Vg4n/V2uc1wnWHvt3gfglDxak6+
UpxIvdqJb/VJ6RFjRoNnZd3XPiBcpME/Nkou15Q39QtDH/RNTND2aWRJ+1LYvX0WR1rpa1WfHKCN
gzyjaIdrPjoi5QwySDH2GftDFt8F81yyfcPP6MDdnGZVmJ2pNeD1rg636iju7VADPFxwdsANaJya
U5MzuUbzwCQ+5d7SpulA61ugBOsv52iAuq+bHp1Rqa7KZKJrYHJ1CRZtOaLGTf/AFFTLjMmqsCPV
7QHe1PxMqZPgtIsy59EqASMjrCSY3OUBUE3LEBQ0XgjLhJ0iUs34tqPIA4rQRqf+xVgsNqhMMyEZ
ckEWZ4MqORDDwvArtY8eLGoix9ARkkuL7+A4HOviuFDFbPv2YrVPDvGbvFyU0JaYu+6gSObw3LIw
NBnsyV/J3FKuq0ak36AczSdTFlaf2lykV4jvcY9ZKhUtq6ZhP48GjNjA6mn4t7q/hkxtSHZh8JSh
4YumtpmKenMf6u18oxVxs5uA4t62iyzxCfZA4bs+jg6CgINPmKjJiYVPakOrvjouSsCUG+47cHe0
2TzGNRhyP++khyOTAB0RlYuv89KnXTHFdNCa/jCp93DDBOlWK+3tDIwSWeDQnREXI9xwmKOLPlDy
a3gtzUETG5xq7DSkXVrjVKAnwP1ouoq1Aq9u7WgU2lOtMR7CJaZQgaLS2Qz5xNfUc2RIjkmlgEpo
W9mj07BPLdZYJe5kGM5NbeLUrEVeeUuWy7tiFuFHhaONVc4OuZl1CQAWSIlv13UJoWZim8gXxfEq
WLd3cSsoo4EQumaNv6Ki56mSKzEtf44m1ynVRw5qxrY2690kmgTBsQ1+kQ3MtkmI1yLV0zSGSe9k
n7uc4kNL8gxNCOWbSFGVqVFFhZsI6mXp5Yay9kFEs8HDIlj4ih1S9LWZc3Xa3UFLOmTq9l+anmJN
k42tX0bmGt1WXlWwrdwwgHFcR7FxlPLRXVjOBrhGhZg/IEabZcpIGhzS7jCiiu0bbLJPasAW3Rm5
vpWLYTzNE2lmRg/3tuegByWfgwl8qWNSlKqTVQB6SL1e8ZRQN/wGy2/ryiHPvcgpMi/i545AJomS
R0eljxJse93jincpXw2nVchCgRtWu0n73tmovSAdaDAKwoyLkItRa4PyNFvSuBCtmgymyb6sKWud
7C/cc1SMt2FUaCdChINPUlPnkjUcHdhJZrDtjvZx3JpHJHhkJCjp2xkXcejWaNt3eqn315rU8t0g
52FLsTpTCD8sk50YMudAjj2YWtFVn2BYWg/Qg9L7RuvaO+pqpH2N2HgTP9Gj8jgfJnLc6BIck6Ug
DrE0a2czJ56TejErErug2BRzeDHbRUI23Bzd/b7h8oa9sOoiVou8DVOK3v5rkdFIMyqNVL3eaDKR
ntLC9IPvfFuk1KSz6rwItOoaelJ+S8/lie2JQ4ueqxZSPZEZD+Z6nB5D29xZNVf9TM1uwYrDVSuX
0E3jIqK+ZjjvvOc3Cbbre5b0+4QwafjS8H7ZIpJUmIJRpKg3y0TezvHkeNEkSOqUVeplEqFWu644
el9+jQQTqaVpcJzkrTytbDLaFh3RJ4ej93Jd3vbNDAsltgbHhusgec0v35ZQC5y0VkhGHSXvFqUJ
/ajLgAsmNtwIFC95Mm7dKtl7gqS1I/ayY2YgcMEjsXYhYSG80mRYxsKI7mJiEEotO3JKKPezOQ0J
oFbrpkrEA/L02xk9sWc3ycAVgYO6QcPA7Wq7uMiWKkO1aDxQekhPaUTaZ2Msy0OrnmHgKXTb8kUv
kc+qa5Oq0WgmgLn1aXZ8axDfulS0LU5qFcuAGupfgqY+C4qegGoYSUU0OrscgKtn0J7HPV/kX5QZ
14BFxMgRdrCUfWEpuXab5g3lGKJ8hmX41KTa4jdB3u+UpBU+eqKM00z+ycZ6ABQk0cwvC3MHFz8F
cAkA6+n3k+KN8o4UIgN3AUFOyPvfKneduUQxOiIXrRRj9sdm3jlAWc6oxKc7TI5Ug2rTim56W4lZ
bojt1EyV5DZjTN/ph74RNiCs0OF8IPKhhUMG98shNfB/qrhXy003C/PSDEKbXoUYL/af94+8Tv8M
fLR7Ks8e8qf2f6+/+0uJRzIOo26f4PvzT7+2Tb34ifb/7n9D+FSuDqMXf9jsiZSX/VMDu7Xts++/
/a+/+U//519cy5vfk2BRCf290+n/Nf0jismfgEz+9g8+pvMBV8Jef4sbR2Pe/YfNyVI/gB+CcCRN
MEkri+gnBEn/YLJkGQgjVKSt1mqO+gFB0gkAQ0SAdsVZM7DQm/5BKrK+rn/PFwT0T4idbQgoKM+t
Nxp7xU662VJS8CCjll8a1KFMzgHhwUgw1RoUMebY7WKKMbYSHmlz3S87A0i0VylLehO31XCkxnSS
woZoEbmmxhL3qJ1j/qt6X8OxfdSUQXxmgjO50ke7uB7s1i63ugnT5b9qYP7PZbaumVu/GYVF2MfZ
y3zu9Sd+jET9A+xHzpoODvwVusUC8pfhzhQfUKMY+MVMYK2qWCnAP3BcpHo76Doc0g9X390qb/4x
Eu0PGr+NRURnMGK7+SPD3ZuF9DvUDX8Wcg4Ekvv//0wrt+QDTSEzBNIusMEbKtIMWi6buSq/lE73
aMf2ZV/P2kGkp9VROxCjMEvuO8+e2MX3gf8vtpSLMi669v/8rzcCISbrOh8lLD3JBv1aUE4aKLMR
kovfQ2c+7u3hyC5Y5JLkZlJa0NoKV3Iqm25ZlCdkOI7v6Gn2nqjn83F9fSDRSORMrIf7vMDnak0H
BobWItIDAsOO4XMlpG0p0/q8yo0IKCl4/twViraQTWFaKgxEu1YMYqDScTtmBVGyOegvN6TnVXGR
SSLfrPvM1Rs6LllWwXb897R7TQE3WTT/ftr5f6GSn6//60/8mHbaB2qBKuc8bS/Of7YBAABnuJMy
hx4SxwTt15/Tzvhgomyy4YKvLk5uBz+nnfFhxYmpjoZyDpUyqqg/2ADeOEU5t3yXV7PXIM58bdKj
nQB4KNbwtHY5ddzEhmybSV1xAwVKjJf3Ate4VRFAgvIboqhLOHjrE4dl+nCGLHAGnWo/UUM/ksOs
1HCRqgtuy/qOyWySyprrxTe9VOCiOmlFhYpyR2P7ujNyH80tppSJKM9DYCJPGnvsTwjmnj9WZH0h
U+Zud2f2mn5b1Bzw+jJdYJLH5DBP3DaRXzTAT2oWts0ULWdwL+p+++/R/Xp0owr/3fA+eIi7+PnY
3v/9HyZujXMKZ879OIRz/x87iiUZ2kjO6R6h3Jf6esH5a0fROfYwsIGjoktH3r8u9D93FG5q+MiQ
52JgdiAX/sHQXu9Qz5dSsI6ckPANIBhY7QO8u+dL6WI3QhntVZA1QPN14xL/TZzSPi3pSgdQTJzy
lKgI5Wlq0+6cYh737GdP6he7yfoKb98BDFjOf6vt+JX0Xk9q0uXrxkJtWqbbpkaCIikhEEoTnP/+
lV4f/tfPinGR66TOHs+a8vKzGnWjBLk6mptcYyqrNFT8CGL4O5/n7RPlddYLJFs0e+NrT3xkZyq1
DCk3ypCq5005q61Xl2VIfLvaqXTd8qw7QK2snJlTb3wkJ0qPv8/Iv6UZro/s5SM1VpQiH5adj47p
+iCenRIcq6itJNHlZm7qdlOZrXmazYHjY7DNd5NJNha6xfeAmvq+tPHyZal44DjgJA62nrfw6mX1
PKgx89KxKSrUPiDXItiAEv6Rt0R65WycSWtCYDvkx1KNquFEB6oBJdup0hIhhyIJJ1HH2R0IEzwp
KjMzXOro9UMad4gb0RmGNFsQyR3X2oIRm45POpMLVOhEqogF1FocBQvqwZk8NnetKHS7xo7kjYqw
D9ANFBo6t+gI5VeST1iG7UopSIrVxuCWukZyz5eVXFl0Ux8pNqZUoYC2dgd5osnMw5NlXoUkY30G
U26Yl50RZfmtTMn3ch1jrpMDwJDmp5A6sDyD6RH1t6mcs50sQd1sbWBbhHntEc1qlw8frT24WZuk
Q/+K7Orr0LRAO5MUltwue+Az3FXqpACeAUGXeyh0sfKhzTrRvoiQNiHsFPDR5R4lDRgJrPQi1c4E
h7LipqU2WKd2vwChNiweu2slUSDdPsFlAWONY45HgmcgtsUeZl3twdZDNwG51vfAa9oZBJV1Kwe7
aBYb9dgejw1nOd/GtkX2oiRwkyiaoDfO7JWqHZL6CMI5X0BNTSt32xpzAh4pcdhf8j2YW9oGkG49
htdN3lgCA3GFeAO4BuhtMlH63ZhVT2AZtOtlj/4e8EI4nr4SwelsyIjW9woK53EOF0TnPZZ7jHhG
bxMOF8EYWA1sSONBF+TeorTaAck7A+0E2cWXWWdFJ05rOvcNATFPYxPT4aNL7tDFthcBp2uod1Wb
dTuLbJrjPJ2t4ThRHPmpJiDhQq8FRee41eVR0TsW+z3k+tOJJKOAy6DmXCJfshBa4D9G14t9bBum
ZQwyXLfaTQCe3fTGQpWLN0DhJiUSf5En8wkBmQOlOcYtpkR3VTpEl1WWZgoBexXIPph4sPMy5Cob
O8H7e5eDm4DzH8ZEox3R8COFoVpqiWGNWPsFR+GUkJ+q585VbDl170WKA9KtROtDehsdYjwStlH7
fUBejr/0CkQnIBVmSYk1Cx85nlCCKpwsAfEUVEhxiamXbo1g4ktllSk+mG5RkVUbA+EOem4q4jwR
Yxdgo+sL/P2gx84SWXSTF+cklsD8Lz/ZpB5gfUOq56LcDy7nMrHPI4y9JkL0KrytgRkBgRy19gnJ
QHHhxMAyyBlqk8sZbi3R9WjLVpFCnrRb21CMO6mo+edGn4pvRBTQ4XPqbPjcLmDJtJCQOxYXLdJc
YyxowLUyzdUDkHlGcD5kzay6uJtj4ankAfZekpWT5rKWZ7anqhOBgSiXmSealTgX5mBEnU+Wr/Yx
yINV0IYakDGYI17zWhL8zpDDCLy7dqf1ftrPHf9eKyr5Sugja1dwrNS3sVpW0tdHzrBrdMLyCUOu
gnw164oHIyxRGelRV9JwyfvJZCFTdDItAQTBnE9sOt6xLaLID/pmRi9VtDTqEUxl4blA0YgijbI9
RSy7GvNdP4gqgsNH4dTDvJepu6Wamoy6pENPZtbqiG6xVkQsA2pM/9kc7OmBDrxiES9tVepG5cxI
dp4lFESDyA5CGjyQSP1pGNXoSAYxfd5qRLdDsIJdPNihzC8WRm+EsyLShSuacjk3Z6XQvAwx+Ben
rxK5Zbr1n7JQUW+4heGhKTkE0LoHQZy4DeS/BPp4pYU+VwTUazptH/TkTZNiLG8L4yYvk846KEpB
3nOB6bI8GvuOkYlaybztNQe/TqUWdu4FZptqB78/M1BeerGVmqv/fC0GYHbnsvvan2fDn0z6IiMR
DIzWZdZellpgHCVLViEd5Vn9+asJSgsgSDiQcSp8uYMCol0gLyfGJs5K5WIEOeKP5BFvB5FJQPXd
0+9f7k2zAhuyw5q71v0x/OH2ffl6DVTvhiWE9voS9peRTYPBpUNkTZ7aOAuhj0gpGo/UsWTcJBSa
i1u9s5UAjT0Df0PwBJlItTSrme4v3QCVSEzIOKEIA09BezaeCjzX3IEypUVrMdNueyrY+aw/LUhw
7qD8QkmXXgGFv7US+PzAQ+0OzoYS2pusHxXEbS3WvkcZDS0b0UI03jFnpUk/rBNq4j6KiBaczaIr
dANZrfvvB8A/qv7+w/LZi6Lv31aM/xtWernPPBtqb6hWN32Ttv96KL7+y3uIv5Ttvw7bjD+1z69I
+1/x84qEcwkSu9DgPny/Cf0MSCIvATg4NmfoDACbfl6StA8OJSiWaxyq1IgN3tNflySdggLmYezr
wLO4slPS/YNL0utGFEdZqm3WCgYy4eGLV8NrBkdJfuUCtXakwTvneL5Ra5a+ma0pRF38bcABeSe0
94gBb69GvC61w9UbK521iPFiWC+zVYyVooZbnhzKJ8S9Vwlx6dBWin54Zw69vRxR8KSUJql087Bf
w1V4lP0wDDPhNjYaRoKRwm1r6ssfX464uFrW2lpbv9DXV7C2lVZuarwKZsd8AzZl3Fq48g9Y84qj
MZryE5DcG13umpai+rMh+IuL5ttb0dqRxWxNU4Ae2murvAG5fLEzXhutgdhYEbUUZTktVcKF9CbW
Nk0ly3fW8198gSxLls6H1vHTvrbzCgM1IZbWcIsqC7MVQhIeL6osozaidy6361h4eflizwBxxHTQ
193j9eXLiapmVBRlg86S7FiCk3zag/FhYFjQn9v5s5GqxzamroOsM513PuebDjJf6rqFrJ8Smpou
xcuRaiot8cmKoWyqobRhilggYeda4JuHtZmPWuMLfbE4t8/9FvancPVuUHzNHlFrpfeYJ/khNTbe
eSa/evyC/Zt3xlXYeE2tXzQjasuS4E8J4wWqxpJBEUYyGcZ9/c6V+1dPgJo0DSmDSqTzpmlMaOmI
PwSM7Epf5FYWGI9RaWefQToat/VAgIFjgqMlOPWwT0+UOqfBiTRrgyKt3i5Dt1yCXtXesw7vmRav
hgW9DA1Dp4rHCkzUyy8GTX6FlV+uwG3Rx8hR0G1O6myXcFzJwXRrO7NvshDlthgWEiIqSLLgM4P5
zCnFeDTqo/KxNyd+asZN57eEE3lhgUWSHjMCDnj5nAZwAYAOkydxqJD2OQkviiILbfcUZweJORrX
wdQ52jsL1psuwFrBsSEPMptJvGXcv/xo+K0jkxIMsa6RlW6NYemPYWJyp2tLlfSjoIzUb1NQIvCZ
iZfyhezWcKx5QIc0FbCFmymaTwl/M2ACD5XzMc9bc/brMIwAk4q53Px++dkzbl5+FWxe1PmYn6yx
5FO+fL9TTSRaORk4/8qg9PFZcgEsC9y4OZfiY0T/2hWsUa1k8S16AkikDQe2R32ezKtiSKuD3LWA
0gveP0l57pi2ncetjf/Q6Q7lDPLRB4SpMryuymW8iGsVGkkQ4slU0DIdx1Fq4CNzMoTcBterYhvG
BCJxs+jQ3EetfkRDzLiKzcAmXr2dZrfUINSOS7HcpsKSt0hInS+d7PqthvvrnSXk7f5D+ovKRk2x
f2VOsM0/P8KJwRiMEPDwJhDxcJtVs7or7Np4Z//59augzVmDNEDSvfoOqiVKAsVRg40T2q0/6vNT
WZn2Ox/l7XGBj4KmhrXQxvhtrMvSs/Ib8XPg9OFHbLTR7HyD8Iz7Rhe5CwOBCNEBHkJfIcSbGzgF
vx9jv3hljsDfxTLsAfsYj2evnLSdM8c6BpHBQIbkRnPqRSNGhblpKRlYt6R/RXcKfJ93PrH+dqVd
1xiGNycIQ1iv+5JNZMZKlAiky+WqM0YWFtyRDdA+6G2SEonWkPuea6pCqt2ISEWd1eWgnPIK6HGi
V6072VZ1EuHM/5q0wUk95i0SRVYNjD0ZWSJ6ohwPkSVuFiWscKdjTrxSUsQvZqZILsJOcoEFJtj9
/mm+3VK/L5x0nWCtMThffo8TVLO5qlQHhzECJDnazjUmxSsK4SzwhF1vuVydoRqIdg48yv/UI2XC
cUdTUT4Y68302XeZLlLiksH/WaZVjz1WRri1C3LWlcraJVgKzzMFcHw1j4GvJFjnqTak2yVTxQVB
ckgzC/sutQLSTCiK0iNdJvSnFrntpTQ3TjvWXt7gb8Tl8BQKg2JD3jwgtQ7OOp0cuN8/yf33/3Lt
A6dJs4N1GrgDlL6XHyacJm2IBsva1KFuXS0sJ24giUuAJ6R17oyw34M05xzGXSD9zKidwwlT/UXQ
tOHdf+KtEJ0F3QV5CL2PV29lKjIh4rRkjjSwyxH9Ng/AkUMXnXF7aC+acg79Cu+IDImMbJvBpQ54
oommu3rnjawr2utnsgoCSElBW/JmeDl8m4hDI95I3ZwUvY7k31APQTzGJ5zQuhU1T4afCE/mVpEH
VHucnZaUmV/FuvHOYPvFSId3xkplInWBJPlqWYwEAGiFg92mbkuBgjO1T01m6nGrYfTMZGjtrFB7
cOJuPlas9r30p18syuBGNFZL7nDoCl6dUcoa3FFS8+oTMTSnQevYWwDszfcx+EfX8r+9Yr+4iP/D
y/t/w2s5ppFng/DNtfwI1DSBdM9v4fuf+HELNz9gqkXkxLxA37FHSv+4hZNgzD0GhAk7G/3vZ61K
zf6wkkWQFcMYdIy9LuZHq9L6wJFAcpfjBo4hGebsH9zCYdC8njGIALidctYgLI/m56uBondp1zuV
lmwXTYXRYY56/GDHUrTuSPGOhlBZ4AtpOeNflZqaYlZrUbH7S0osNlrauea8pA6cTznqVZOrKpoE
ZhwtAcHBkXXSQdrOYS+bybKZBOGhPdvLgRVnfeGO/TDfFo6zBG5Q1SRdzPhoPiI8D4sNuNmjKIhy
UEKJqLy6s8zZNUM7S7zRyCZSy1jLMy8LgOGTWY8ef7NQbABVGhrijgAYvPdkLoiTLNDL+zqrHBzJ
gckb1EVA7EdZDOBcB/jYitk7ya42Wu2iHaE6HEQin+5MW8lKat4dcOo6xZTr5fUolZVhYg0uvYwz
fJ7phBdPm55CzUFgEMPkv9XQMRxMWgrdSl2IS+KPeb+l/qp9DNNaf7TW+GHXUK34oUeMhp0GpqiG
9NTQ403XQ6/eaEuv3s29Ij+m4B7ig5Fq26MV1/WxHEfDwqPKduVhKK6l24kkS/x+sZUbzQhIUYtL
k7ufZUpSdJNZo43SIzv2WmFDabBaatCkWiD/R1/c6ljpuZXgS8a06nHPUT47U4KnAlcOVsZwGexN
IxrroUS7W7i5Enf3ei6iL0HA+MRpVQXn+lhCJQhmHfAEUUXdZ41mM4p+FKuMHUvK5WQY0+Re4VTn
tRTHBz/WoLEQwtsZEyc3Jf7cyNWAqeQG3HLiBcTTUPcoQLiCEouCPxSpdGvE94MeIMsyQ5KXFYnU
1MV7MhZb2aXELzSKMwb4vqIm2gb9IC/NVkz5Luqi8UjOcuRsr+TLVL2zyL85oxEHKtdIUGaqpK70
apFPytZU+b3x1gCCuYn5Euk5SX3bUUF/56Xe7iccBKmwULKitsyO/3K7z5DghQ0tlC3npQvFWnCN
WSPReUajbNjx1nJxPJxU/OuFlqjj6X5R+/dK/0w8S4nudyv9BXLfrvzXFcXX56v9/qd+aK6QSCH1
p7FBzWIVK3DA/CF1tD4gGkDoBPlNRWj3rOa6rvbg7SUdGmjlTB1G0c/V3uY0Q8OFQgiUb9P6k9V+
3bleHI+4v4D74MRI8j3M1FXc9fz8W8QDHtekzTclITKbaulHX7a5FbsQX2IX7iWtB46aR7NuXdtq
fw2evtiQThcdQaLDDCbNmLWbLhwOXhuRu2KfmFn0OJdNT2hdzQwv6mOtTydimAbnPNQ1FSTJ3G2e
Pfd/UHXk4A5CcNWGogDibvZq1o2V1OJAi/GllUHjKXPf+nkQX1CYaT2lxgjYJ+9GRr6e6UxxHCia
ib+O/d3cQyefXR1CQ1G6AhHEJqig1ggn+6ZbxWdHzUf/9x/u9Xf0+oVeFR17Z1piO6A3zf72uUmg
Zdi5c/Pnr8GnoT21ji728ZfjoOsFXamOPVOp6PQ2Iw51pWuqd76mNzcUPgrLNZU7WgY06l/HbJpR
pZZLlSt+Y/eOH2bZcZk7HwNCHpy+uR+a/rYhmMBKQcUni3YJh/vi959zvc89vw7s3wCCY5ZLDU3Y
azqwWQ6aUyUxyReQzbNyTE+XTifVceg0H2nWuyXbdQ1+83rcOyC6UzyjIP7yucYGceEL2H1S4+vZ
o2bxGJH87rYh6TpkVJwX8HjdxpCXRp98Q4Vz/fuPC3P57RtAGL0qpajR4rZbN5FnoxSLqCKh1MYb
8ouO2CjOMoWIJ2km38K+ohxqGpdxCtkxHyqCi7ALSpF8E3F2UukdVK68av10Ju8N33K0FdEiL3pp
n9WxcZlb+YmtkLyVpN9U8E5FbKd+OaPUmcmVcsueLCEtNQJSAtvoItUoCSPB+zpAIfUalX+gi7kE
DixccpmuDa3+nAbmTWsTR9gYl7bKK0O0vEX4gC7ISB4tTituvTStv74aaojCXd+G7eDODgvrhl6R
cKtJu5R9+BhQwSEdXv1kz4njkuGF1z/VjWuVcsfG1DNcX5HdHJiEpKH45KUy0kRonuqpTwd2uZQN
WAVsdGR/DvlJnOiXCWkR3z+ZnsjTeajnY1mva16spJuCjK8j1arTUxh/9ykaO4EUaFpOiyWHzTTa
vlJ2OvBl86wWI6oZw/zEHa/42HFI8UkSADSh8eSUPEo8Ix2wg6JB2JE2l2DDyh/NzDqbBvvMoNNx
kOJTg47ZO9vZsG/M9QzLGr6cghjAjBxFlWcIADJFXAw+O8+ZZhS0AmbAH5NCzu9iicsqzR/TWdxB
ndJ9x2rvg5y8thxVlqvFxXy7fq+BVZygCYD8OmXRee8EmyyxNK+v7NZDmqH6QyUp+keNcEnqc7xp
fcj7xzjhSUT9VNt+1IXzrRUKfaOWPAR8kA6Eg8LZzRFsDTu2zhz8xTujmecdVCfbraL4UUKSQnHR
VVv6jjZ5cqMOdD9aQJwIClqlcVnC7joubYbCRDTV8chjiMx82TYpr0RCJJykMJjcWhGpjwMdzgFZ
VW6AX3NT19k3CBz3emQd7t97FlrFTi2swyJfBq+clodx0L/BFrqpp77aIgcmnmThQw519M2cw2Wb
hqPuhe3seNzhhqcedBmyobk+SIfsMjfRdtrlhPVb8L5TNCFbJ2jvF5zsVClN+GbcDdxsdaxqpIy5
TkQTUCTFvCtapqBVEBtnMAAUI/6mhLLYlXNz301WuplI83BHBU2ZlfNlFg0OwtaJK4TO2iUdFx0Y
Hu8M7Ag/HRQn66RREQjsxp6/xIVKuOt07yNQyzMppO6gSKTUUcCv7h3bnfP0mzEwybIlf4wb8ywa
tVOdTES8ozd53ycuwqP0tBYMeLDIwP0CQAD9KC+XYCBip4XZTbX0rCi0cVNksQXeyTnTZnGZJUwk
3QwfhcODmUsideFK3ht6ecJJ/15ReFJwbj5yHel9deQLIya88uDcKjdJbM446KMZXEAQe8awTlFr
+TJAe/amNTtsWVKfysqNqjO61/8iwvJb12aPRciUtaR1A6VM2ayLbwcm0afedJ/k+mUDXOgIDAUL
0Drw1WBFRTYBbi5lwoc5Gj7paoUrJEvGYjXTURV30xH1VBvajMKVJlQ7JEwyOhP4AQNPhnyd1grY
MVrepKooyamKjtEdwUO5Q5U9Gh0yM4MUC+6GNLqVGulYM5T5l3yJ4PNCYiGUOXHbpLlvrOhxEP19
kzf3Wbk+e1nqnmUCjowsxgmZSMIt7ehbRirfdj9PKVne5Jm67FA0YYCeewesVlMeVDYggiQ0eG4D
g8QelJtpThlcinMENKfa2sRfXg0k1twNAPQoHAfJvMscLNHcNH16WvQ7JT8VqPpllmLPZssMHugm
T66xHvsCZ10a6wlHslVihElzfPcQnPCUGtZ4rhF35yF9mS5swSKIBC3doC8Vh3JVkI4NQzuou3Z2
+VKUgzBGlE9K6gOuyehCwJbyEtbvg15nwU+N8t6MC8m0sU3tRAaQDbRw0a+0JcaxCmujOR4sEnUd
kSo5CAFFLSEWGPykBtkql7xlzeznXajOvIl5YKXPxWUTkbdEnuLgdSncOK67SfuxIWbzPKV8uDGw
2dP+S32c0/QzHBzjeiTU+0lK4xipAMS5Wq0+aYo97ewimE+VDD0Q4JroEYBEehWryoNWp33sxcn6
/SVqllPgWJSNDqFkM4y1/Io0FNqVRp5dGjJZhozWXkFq7Gaa9dZHPWtvLRqc92OSPU4T2/O6OFUl
I1iwYdvwS9ipmvv9tsi59XKt9m4KJF8wPNd9MQ2a43w9bGBtPhML47CwmAYVC4bgWu/r9MeOJTA1
r23Hc2Po4s9lwQq+XyOAjZypAB6vlSJ5DLMqOKpCpH/dKqpmiV/3lOwmG0r0haYV+ut6PC2Ub5Bm
fusr/aIS/SmO8i8yyj4VdMqhkYMJXf4/e+fS2zay5fGvIvRm7gVGvhL15KIvED3sOLYcJ3bc3dkI
tMVQlCiS4kMSNRhgNvMhZj2ru5jdLGeXbzKfZH5FmYmKUiTbLHTSjTHQjciPw+KpU6fO83+wEsIV
UyA8hsSeThYVrRvYHDgNFXca2xapsQoTfEEZsplROUsuVvPK9DJZtXBUhsw09SpEdzh059p0cTMB
ovpUcypxL1oBnqstuUPCZbh64/qodSzKX9uueE2iHDyU8wi89PpjbOt0Y47vbQv+gbj6ySfG0a3O
xaEVBkZqLjAH9NekycThCdxsg4DQb1Afd8SZFx6KbCjqAhi/RiUDXiH9jzk7bYar567W477TRlc1
W+XbJU9CaU4+LW0C92u7RQCkUjs2bigFmZceLCaRkQukMQjYPFod5AcTLQuZCGaVe63W4i3zu3tR
NH5Tqy8Yse20On7VZVyDa1c6FSaDYY8MmlH5rtqa/zoB0YNxbUSB6tzn63oNk206oaRt3ndJ/E+C
9Y1FnKdj4bh1x2F4PowqD4zULndqw/IveLs3DR+g8mrbP52vmHBetj7QbjaaaM7rKuMBOsIOXTjD
T34wibqA1L1pWnPMNGexumqUo+mbWcJZdocobiKm50thuzPIkYOOzIGBclVz0TqTWlLuz5hqSm/9
9G3SptodVDHuzYaIZ1oOo4rsZbjuLtsJYDH+dNUt+2smiJe1IxMkhJ2f47JW1TTslVa9weQDkabY
MsM9v0WDgN0u95oaRsjCAX2DmME5jfefJrT3d7hYPx02/dPxDflHtkiB81jg14H8lx+pxTU3mg8d
EC4Fp9ic+jkVQ+t3tbFu9UMQEeN2i2I9bpWZUz9bDNtXwpzU1ij0mb7QuhH4x0ym5c4VNlNliQkk
djnAGEhq0/sV9QDgheO1ue1z4Ft74aQVnHua82nuB7/WfCydeI1fM6m9W7XR83o49cFx9bGCuPa1
se30F1H9nVbHdBTmZnmN5TDDCA8ZHt2xNS4J6rETBtFVIqw2nJbUplsEzH1fa+3bdsgRofW3N50G
5dfVJbtNHeuVDwhlH0fqV6aCh7eertXsDhNwXbCTuZPXQ67xzc2Iz2UtuRiWSaXcX1GlMGWJAWXw
Sx/FOuMuFnBjHV1PysKwC3u4KvdxczntCXOrZs9/nTbXUR/jefjGmjTWH9Pte1Z4bX9LupRFeVqu
5VsN8D9gcgWHZEvOd5IrNwbdsqULO4o2lY9X5sIO5eAbf58F37QT+p1Im4huJGruRFQjC75pNMPT
20sqjiBbtSoOZNZn3Erb2oni8RekpEV+/2vwDSg2et4b5NHS5M2zgm87wQiRCCSKR0Kf7AWlXfIJ
nfh2QteGVQHHMJoMml59+r7m1gCamLUs7XqymjpAKHvjNw3Prlr9WgMwUWDQhlQYLQHkIh9TjlYY
EsvqgxeP7dMKWYY7m74cRod7jeRKi6qMyF4y+Rvd1piVL5yV/7FtLVb3wF42ffDawKttVeqBSddn
3NvaluuNnpHal4VGk9UPTaE0KIlmUtjbEi+/pfGAB7d0d7la96xG0zYoPqt+WlWb5cuJppFE0ss1
4aC7oAcz/+xGJ6JVFe1F9q/r+eIc1CrqhZ5/oN76pnsTBaYZDQz/IBrEHzc7SXnp1k594wB1jCAa
f/6HY86S7cOT/u3Xw0MDPKXrLQKrpPFFDHrr8LTYH9KYGCrcLIRGvx6etDxRhJywRoiNbh8ekZys
ijJBRlUS/3vO4amJiGROvji3GvVpLILZPrnDEwax3SrH1FYkFWBqFpMk6jDR1uZfH2pzPHpLOyNH
aOqT4W0TXIjOLLIpYkP9t+JIx72zb4eX7aCtn9YTHataA3dCr527TKvuTOLoLqKkrzudeQOd/jhg
KWi1iei4XyyGcW+ypsoSMKnFWWvVmnfcCXP6EpJLF5X19A0oY6P/l1wBk5Jv/9VE5e63u9sxzCI7
HJfu7MCy3b3F7oJAJr71E0Y4MgUPtUqp1HaavVk/YbAlMBKEGzdS+lV82yeUDlLGCX60aNbYRjsh
OV8h2caEaKoKKRivPkd8d1Q/+UF6XcjuUAcgrhNZOybrIPDBzdap9QyIOy5XYdcFzXWB8+4kn7bY
tEcV70lUcMlRck7cm6G04oLd1sTMVl87i3BCCSmTOIhaWJN+E3+1r4/Du8NPSmt9pUPJa4EVIPp+
66JfIGfm0iXKrGeb11ovx123pl8s2nfubLXsVZP69HRGl3xntVicMya23BsShUtaK2yyyjUxMO/j
jHl01nvKBSb9Rpn4IoloRt0zJLA21UAyrM3642Nt0eLV8+vFMuD6pfafzEcub0Tn16yxXFb1Xpxg
J67DOfXCSxoQW0tOuF8dJr0ynRRHsiBplaX0VJKBSBgjXkniNYnMyxviOHbDiZOZ3vNBmAei3ntn
zRnrounOO3q/B+CIi9z60huMbSJRq1q1X0+a+mBR9zr0NhKW8ic9GxCSMZlu5nTUujXQ6gHaGPiL
u1UZ+A27Wk2ImTfBsl2TywPRizZcS/+YNACjn/rezTJovlstQqaB1QlkJYT1KcNoj2liBSirUaER
boZvXfWHSTcIdJJplt8PPd/5JQzK3dpqYV8eFhyR65Q3QrSYgEKGiIqbgbtBktFguQJHdhrpvXE7
XvUYRNPo1pLpiMZxJhxgiwEUbv3K3JQmNbPDy8pQf+Nww3V832qeHVmK4H5udyhjZ1cYFEcVTL4f
JPGmrTrZEL1X0W2qDUSVZAIKOdEput8YE0XNmEO5og2g5LhKD2MYRd2kTgNXY/7LctEMjox13tEU
gjNfl5OHgdHrDBmYLjy9p6eg1LW5xaRD/JRafBcsmdNy+O13b1XQZkSHENPBadfKTx4UAzCAxdbb
vTmuY0dfRou+5TcXR07AnqCDBsYyJTcMAqfYKF/0Oav7iVNldEuv7AwZrbdiujBBrW7LjgezMtDH
1mTdS1bt2htAWcH/qIJr2KL/bd0BwKzxOmw6FcpFWuFZczV779c0xlE4C8ZHtEY1kHsY1TeInepw
sF4yGaNci0+HrsaoK88+A+oXjFJK/ZgoQBTMXnTnY/1D0Ki+BUaS4UhNZ94DwMYHs3ZMjNH2AVNb
TuidnkUEsnvtqh2fz63ZDJA6akFn5Rbl0+NZv74KA2Bgh0a5AkKsu/zNsirzS7DiGQdgrXtt0L87
DR2VMrU/LGxv3Wk351WAnIk88Jxxf+qSU9EX7rFq+BRTMC/LhDKY+lmlWQV2y8dqvHLmy+bU0YGu
c5I+/d/exKLp1G14jNIs3wKnziyWyrh5CuJquUPojjT7itLQdnfBn3UOy9ZOiAtJRuG1yNVT9MA0
RnkxLd2no3Q4bPda4AV0iA83O7MK8NKVB33Z8QnWkf0BAfEFD6XsEcyLGg1X+YdW1ssZSoKHutb1
Ior0U6u5iDr1YD5Y2wG9MlQeIW2/HX7oXnUG2gtgHwydRyXn1Jm7pENhMZ9wvTfi85CwGyjNq+kZ
kAsdbwGWajmMP7a8dZnMJBO3KlMbRM3Ga0Ia4yOvn0KL5CUADwpLCAw3cLVy4b1h1Fh7fmyRbA+W
jGGdVRbdYYXczxjYAIYQkyxc67VWd26tgjfDgBEr8zBq97VW+crHKnnTbpK5jClvJsD8+jCT0mR/
fmnIpQBZATIECBZZHqaUL1Hkhq7RZ7/VWnPnrZNcJVNq4ZbNU/ySKoen4p8xh+QctJJ1k7h6PSag
uGjYcX8ya0Q9ARlL0nvRodgs6Hi+LmCAG/Txj2dE/t7bWhASeZzowPquoQYINvM6ml2QmDvDxWQw
by/bfYoRflvZSc/SAfNuTo1mZaF3ygnSQZB9upy8JkE7BMCAmXKxx4SbqDwHaKg5NgjfVTrjNUNh
vOr6smW9nbdcwoczSs9cK7woV+ZxbzkrT7oOjLaAKe81k3mrR96HDve5Q9a9fqQRa99N0QJzRWhV
zDxd2IFbHndjPPfdeNhq9xjIvujVYkYxtaM+owE+kOUNNir8WfGppwWf/riuNDykvOqAS3IjglED
A2fadLf96Mc/zFyR2gkBHlQfwZBa6hR/9aRrJwz5ZWQylfL0FQqf+Isn3RaYjO0GJxfVJf7sqyfN
jyo0O4L/AmH0zHM8kT0aotGie414Vg23vJpvZ4k8b0zvU72GtIKwHFQFVFZjftewO3XPv4tIYDFr
z72N6TTHYLXq3aljM6gsnsXdcnPyS2THy269OU56W5zc47Wkd5OsHqhaoU6HKh2UN5E6WZyXznxV
ccmE9/wpmElRuHBfNwKA8JzkHkkv9yvO8GM5iqqdsbO+9v3geuq2YpDBvLtkXUnOW85Zy6EhJvDb
H8CcrnSWPpi6jjXgRnY4rwySpjWw0XFn7ev1ehj2WssWqb4pQ6OCgGEcPWtKObHeZrZHi9xrl0zV
GTjhwFAwpJosQUI5VuWCXidn8+J/yJP1uGgRRdoBMQUNdYOVJH6aohjeei/7pcOEHusxN6ioxmhm
uxTeRIH9EG0fOeFRofCk8EG6qBST9RANx4jsKB6ZP/9U00/o3iRpy/lNv7BgqPsGMCH9cZlw8UmT
tmXCWBSw8cWR5IFbTPoWGw6/4S5i7C4d6Q2I57rR3hCKCHE/hQc5ChIPuEBAnhTFceIL92ibB7qO
MmsDZQFsWvq1eeDvz4NvSoIAOHsaE3IktpjQOtEou6XAHetNfLHR20zAnDwhco/Opkci/fpOgpB7
AzNFIT4f/fwT1rVwup4iCjkaX7lQB6aVtl/cBxAexFdOFFogQ/ITkBofRQEN/V2OQ+4NvnIhbXYq
yoXKCeW9gJsAnZl+EbrYloW2fsJjmoDRIXc/pCwQHhGOYTFZqJ+QQ6OnMBP4HdVYRzXiKRDM/NGk
gMzaRjJz19Vzbob2iU5PB8bY41HIK4RKg1QjtoqAW/2xzgCCKar6i+2+SInSxUC/1EbEsYq3z0AV
JE3aGgX2JukdvjYP/IEuBdzAGge3EBc0ujJoNEexPh50rpltLrTBQ0+nxxNpSL9+OFkg/lL8Vqhx
KxDl51A9skHmwkYWiLgIh+UHOwoiAlRQCGqNE4H+olceTUDRISQJQfOEjCj9IOR2fkwhEIjihfUh
ljKx8Ra+5+Ytc1wAM/0E142CJ+G2/WBSQMnHE63knGGxZRpx2zG7pEG53t5DgFHQAhMWU/T5quAJ
WvOL69WlTGqUOl22GW5Nnzj6C5lDskvg0dFIjUhA+b6EFtLfFE7YhvbGyBKf/y75Eqk3tPVD4SNu
fZR+dzOQY+unmSu1/axHduwudO8rZN98bZuBETyMk35qEj++lJgC8vNPrz5ZY8PFhzTkoE3mTm48
TWmlW0rjIOW1Gdwb9kQmjMr5+o4///QiwsHMdG0jIyQ2hyu4KNWO4VqOMTLDcUZr4zpkn17OiEFi
uDMjyAilZFUseBznN42TXJgNQeyadkZHrFXEoopS7Rqze28k71ld1CekAvly1t4EdunScKeSMIgU
c1HCnDBXJqpAcF8TPildiP/dvHqfrVGwGPDq7OPLeXHujjzXDGUmp/M6ijIDynmqWHNFqb4xfFk1
UJtbnOpFEljJOq/OyAAUJ33lkUVn/wJTkozUtivKjBsv3k9bgWBcGGtjOt5liYJzfWl4YcbYVJDF
HIuivBgYD4a3c0QaVQWUOXuek5PlhgIWDwxnZC9MmRdNBSoDwkaSP9MiD1OUyVembzgZmXTrRM18
UarXRmA8mM6+erSqqJksTn+6Y6oQllRAGNvR9n0bBZoRE0yhGDn7+HLFTGLMMnzURkYqpZyOgCp4
/d2ODVug3EqENQXScWswznKH03RsZE96OTduDXsp6318JwVkwf8VZmFezWkqNNKH9b25hx1iMFBR
ib6zTUDXZxmhVDRUqLq3ZIW8Rek8ioPYL/2t1I/obozix5O5/bgqINwKXuTxgRexa4RjO+CR2T/t
fQ8VOBvZKl4uTEw2NiIn2advRMxfweEd2KORY5b6RhhlyxV7BLDcQepokS/htUNO0iPXbsbgv2HN
w7Uv/9wAWG8/lBgTJeYE2ooKXXqrGGxQYDv/+2//EU6NxCidBYkxMljBa+PeA7VrH1Mp9gW6gShG
0RXc2jMvKF+aoQCQ3xATbG0RTCJ3mX2rgGCYOAXTTNzDv/Vsw0vwl+zSu9gdGRJEDVDbZK8UPLTn
TUceDLw1priR9kwyEwWqFCGQ4q92YcR2YE8zQoJtVD6A+SwmBxbdl2uj7Njlh7FtlMMwzuhtPUPB
3t/gae+hrEAHXRp+NM6ZNRvWHL249kVWvmSzu9+ILGUBluf/fEvmN6pEIiXk/pmRpe31P/759rf6
wtLIwmLSs7KfZN88pK06xjig50zaPAXb1k38IEZjftUDKs7JGW5PiQYn29+mXBUx6qKn5DyQLRhq
IRQQDQPDlE1yAUCtYK3zjEp6jjUFt+IbLxjlWCDC6EXXehEvGWuX0UlXK7KVRclemveG68liq+Ia
fTvL8aCpQAO/o4AoyN45ZYGYalaUBTdGPLJLrwLjXvZ+NZGhLkycGdLSXUeqozjVDy6zWUbpmkt9
pnYZUc43E/htRZf+CxZIidCvdJ1SNlqc8m8m7khGRuyjJrKNRdd75ZUQun8KS3m3r6FCr515kC3d
xPcj/Kh8URnZfhVqmdrI+32mJRYM5c9iWkBRHr26j0uDOJQk8pG6ArH8l/f9m/77u37vX0tCeMwA
huXln8Jj6txroOExR4bur3r9qN2377L+fewP+kX/jHktxzJzWkmBungl4oeSYB3d2E2dzUGryotC
QiISWYF2XPQcdAiHyBroqBX8hMUSTyAdkK1OKDYVEZbu2Bht0xRVOkXf/73px/eO/VDyPpWisVli
tIUlOX5iZkzRh/TMmffA3cRjjj9PgQSSSTMDTzZmjmuX4/va9XDI5WB+2kBcMELZhb+A+JdefeI6
4W7JeJQxXsiPitu2a/hm6c4MRlI4QXTZFN7giX1PckaSeNHKW5Ru30r8KCMj2KAiqt+fxwaBPhuO
n8UEsyWdIpo3C6+avvNc/ktMtSpMNhrbni8bkSoiMrcc+zNyzzJl0dVRdMVnBMkk5SrGXxUmSimG
tGUCgKow0R1BoCyxONnu5/+OzNLon84Xni2nNigIL07+wnQTiRWi/KYwLy7t+7xVUFVRLkAg04vG
0uUCErmS9ea4ILryi0rEgDivZYQPOT9TxTUyMBIvkmO6NHqpWLJjLO2MjlCXKXp4cU44OaIKTvGA
i/RBRkGnlT9b+8tj2gODeD0dZFKkjMZKVZQpA5NPnIprbuCthf6dx9LFTAdB8VVf2Zj4GZlUJFRc
GSnVHCMEpk9RUdvcx2IERmjEGbl01boCRfH+8z9i15ZvJJDFs+e8XOje45mMJLGg07I42RszeRib
jpML6YgJdUUZvSml2RicGTXBZ62i4AzemK5pyRkGTWBMFV40JZqBUbo0KeHKqKWLFs0qhYmTzstV
vQBjpYBunAsCg61YnOqtJ3tpmuhVKMyCz//plYAQ/PyPdEbwdfD5v9wH25d5LbBnij6I8Jadq9cB
ykUBXcNd5xW0piKI/cHaOeAqKjM71GNQQlk6NULJLKLrojgzKF22czY9LYrF6faJw0S2K5kEACEU
J/xxxwdhWokCsvbs3rhfylKsIgmx0aE3O+dbABcWPSEdikNuMeakVBfB0uKUX90nculyi4olAf5A
JxIQZSjq4/7U94vDMhMHhLUsDZumlF+QB/7xOgy6+LSyBaFCbZ0BXOnmkyC6gjM1MFe5EUYp2kJR
qd9gtV6La95Mr6CBsIlplsrEfmOiKDgFj3mzm2gnYSb64Yu+x5eAHmHI3GA/IAbbh67q8Ik1UV0j
sO/vzVxulY5r0AYP6eIN/e93gGu0BFeedIAJqrpsxJH2IO8BHhz5Hal/5ru1EOUlQaSUcpL2+MpP
FIFXLknwB4LqkudRpQCuIN28abYnqvS8lfbjwJPNyCpDyqrFlrnpNHi154ild0Qx1sakdnfcAY5u
QdY+ul27awZ+adfDfR6T34qTIPvkoAGBUKmJ+VxiVLFA6ynG82vqLiwv/xRRswfwIf+BGgo89cGM
wlMVHDJj5ASRcbx00qYD2zTQ6cBpPWQmP/VBHcMRiandqwD0Ow4TsGGMZUwxwQ/mYJ76uAFRUJ8y
1pm8VQKGCxhZjbnSVepXQbzbOR7xVwSXJz/MsMaBeZ9turg+mRjBGDPEARCpFuhNh6v3n/qgL9dR
6cokjRgIo4O/3Vyk4rHtOjcTXc56TRMA5kwjrGU/3hN32Tz2+91SG/X05zMzXzkUecmCp8CYekVT
HYGZbD/T7c4+7Nncp15vQgfLa60qsM06pmPZsdxLcOioPXG1HS+EsanR+toM1qblLXLNkQJIoKhh
yeKNXBWoioxPJ3Ys7ElpBwU2VtHl9kzR0yuVjamo7zoPYIPc0KMiVN4Po/zVJrBzizKhuzZFqXhG
KNXBCnh7au94dmJWZNHVnhqBZ+4rPTt4Hz3xkJxSEvxgZovcXAvZp5crijP7HlstVxCqot/tjGm9
bmgm2RLFgvUdoz3+ei0/kQ1nZkB9okxWgWYT3r7MXRW5DSa+Ee6TxJcQUcaSl+/a65iGv0BiApj7
xeme01qZUw5A+SigGxmOvNqqAi68MYOcgFW1Q4bREyXsDVVEZJnl2tp0tEZR/XBpRIucNKiIhF/a
0TjOmyZg5RXftxvHWxjT/JIV8PjSRq8D40p5q1xBWFURvb+MVyZwEHFgZSwQ2gdgtuzjy0/ewHNG
8CQjlNJtKFBrA8818hl9BUeEPrxIXqyKrMA33BSGKmV8eTmDiUwsDVlXqLiagcDNKzYVleDXIDbE
uXRtVUWQ+D0Z1ZyzARZecfaKE03VriQTjMpTQDjVmoHtysk4FV7HjZ9rCcMLVrDghYFDF4wySuIo
Mxss+/hyCb5ZmiP58mAkoAqydgTgUV6MNRVX3oep6LqTjEugJ4uv+TFTcAE+wciT3cbdAO7zbcE7
URWN3DEMStIYDB4ovnY0MheUaQWyQKvwam7ArcodQRU1rvRzm6IUfZBLbIhxO8X5sQkZA51iggIk
r75K7lPBZXXhhd5C4jZI7fXmbtz4+ZLy+d/FudnnmgG9DMAycKMMWKPFqVY//rjvGFoT+Yk/YWRt
bzKmUTkqtd9vJzapyKJbsb1+ceHQkr39rT5JDAU91aZjr3O6vbg66HoAoZTe5xJoSmpknNKN4SwM
4qLZMsXdLGaGFnXAzmheMClVk8yf3ZTf8/ULwGsjkXPJlpj6Bcfl93jXzBUMDgwrllZcPZgFf6Kb
e03VhAwgwdSebP3fsn72SecBmZWh9guBGNBSsEnP/yHO3Ksgvpe37Bhnj4sCKWsbQUjD5EwUvad2
KiOa2q7Zh2/t3VOeYMW2I58OFShSYrUcZ/l0KDAYRPMNiBGIsURaRW9410hwwPYZDCqiCN2cdIiJ
VUV1W89jVkdOHatw9jO6+1vrVEDQEXvNF3Cp8M1R9iPqn2K5eGK3UuAF2h4MCTvbsY2qV+BwvEGO
c/vHKITsMS8/1QMGJiEZ+QYJFc2XwkcKRV15lC0z5cbBXP9TryfyB5EnDAzJI2BOePaol3PkiWPN
hfWVFH3KZfwgO0uaClfplkCLPTJG6WVw691TWJKxJb0LVORLbymw3ox97yKXXrhPGWoqMqib7biz
SW8x4Ev4aaKZeqMVdvASVbSnPXW2cUEB+HBzcHqyAkHuEDXO9UZqKuzkLrYsEKmSSKlofboxZKtI
aynQb+lYuD4FD0SD5NY1TUVb1UY6MWG+PcK9oJwcm2tXlDyhPTE3T9wCpb9s0sh/3d5axs8ed1W+
n+W/r/rp93UC9r37Fvy/tJi+2K0MB+2Y//No9KUqOy2QlEiJq+eZIG0/XnH+q33VoCoSDsQjP3nO
9PFW2pbnJgFPKrl1MVGMMeNUtB5NF+zb4d/Hr90Ur/4J9z2whEcjow0cRDR9omHYAV87l0VXEd7u
BMZa7hhS0RUoQh5S6E1Fz37Xc7w84oQKRN/+Ax6THHQT82TENhaxg09x7x7GAi4khz2hIl18ajjT
b4b29eKLP4uZrSHFWYBCLU72hkZ7wm+SaFRVVIkJfHSCRFI6rNpuFF/xtRnEGZXUyTuuVI8HnD4E
cX6xzHLKHvNy1+uOxN2a5idp46ifPkb5+10D+7oN/oSXwqZ5A0A7Y+ZJm6OiyqxDaWA+KKoiny/U
rbc3Fqhi6EfXE771Xy5M0jSu9dd9XrYKnzdN3wosQRwBoYj3PUdFIVPX8zKbTArKNhTEe0/tiZ0d
YaGDVAyUOKVYQyB/jh6bWNIEuv0Q7E66Odga+ETj5fEuFAO5dybpqEjqPNJPW6XEZotgypdWNzHI
KNdYouBiIMwqVXbstknFzy7yfW1SmPMooek7DB56hDqc7HuSZNFvkgnFy2+MCxDP7wkgZJTSK04F
XEN3HAB1SoZij6PCjM/seS9f+ZW5LHUNZ09VhopSlSs7h6ujolDlznBJxMrmhIpI0BX4RTJVFWdW
MPijSdJY7pqgaqT45l3b0QMRvL2XC016Ch5g+KQMxSvswvVV1eD5O3m0IQVCzSUVgrO/f86PioT9
Jqr32nRIPf1z6VVI6DkE3WgTTxcnluQfsyq6sTuW7BR6J4tvyq03xTaVJFVTYUrcgj8qr1ZMhS3q
v93GVErmFqtAMn9he+1NfuE0jhjqkq00jYapyIjuGJmaCpC0rhjjJHJT2aHdXneDUGqrRbMm08lB
hK43VNQuS3gLpQEltkHpbcxUGuzFvWYck2LrTIqtN9pEwWhfPo7L+R0dnz0N0EUdn+23eQyibn+r
vx2i/X2ifPu6r3/ft9w441IJTraAQ9DRZ6YXWHICU8WYtfdxmOtP11QM5bn9/D+AQiXm9pGktz77
+C0ja59w/D5ysa9NPtuWdK8exfdAXH8Hv2P7bX4M6d/Xn/8nfMs94AA/2Ftui4akBTeJqsfy0wcH
9+vv/wcAAP//AAAA//8=</cx:binary>
              </cx:geoCache>
            </cx:geography>
          </cx:layoutPr>
          <cx:valueColors>
            <cx:minColor>
              <a:schemeClr val="accent5">
                <a:lumMod val="20000"/>
                <a:lumOff val="80000"/>
              </a:schemeClr>
            </cx:minColor>
            <cx:midColor>
              <a:schemeClr val="accent3">
                <a:lumMod val="20000"/>
                <a:lumOff val="80000"/>
              </a:schemeClr>
            </cx:midColor>
            <cx:maxColor>
              <a:schemeClr val="accent1">
                <a:lumMod val="50000"/>
              </a:schemeClr>
            </cx:maxColor>
          </cx:valueColors>
          <cx:valueColorPositions count="3"/>
        </cx:series>
      </cx:plotAreaRegion>
    </cx:plotArea>
    <cx:legend pos="t" align="ctr" overlay="0">
      <cx:spPr>
        <a:ln>
          <a:noFill/>
        </a:ln>
      </cx:spPr>
      <cx:txPr>
        <a:bodyPr spcFirstLastPara="1" vertOverflow="ellipsis" horzOverflow="overflow" wrap="square" lIns="0" tIns="0" rIns="0" bIns="0" anchor="ctr" anchorCtr="1"/>
        <a:lstStyle/>
        <a:p>
          <a:pPr algn="ctr" rtl="0">
            <a:defRPr>
              <a:solidFill>
                <a:srgbClr val="002060"/>
              </a:solidFill>
            </a:defRPr>
          </a:pPr>
          <a:endParaRPr lang="en-US" sz="900" b="0" i="0" u="none" strike="noStrike" baseline="0">
            <a:solidFill>
              <a:srgbClr val="002060"/>
            </a:solidFill>
            <a:latin typeface="Calibri" panose="020F0502020204030204"/>
          </a:endParaRPr>
        </a:p>
      </cx:txPr>
    </cx:legend>
  </cx:chart>
  <cx:spPr>
    <a:ln>
      <a:solidFill>
        <a:schemeClr val="bg1"/>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2.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9.svg"/><Relationship Id="rId18" Type="http://schemas.openxmlformats.org/officeDocument/2006/relationships/image" Target="../media/image14.png"/><Relationship Id="rId3" Type="http://schemas.openxmlformats.org/officeDocument/2006/relationships/chart" Target="../charts/chart12.xml"/><Relationship Id="rId21" Type="http://schemas.microsoft.com/office/2014/relationships/chartEx" Target="../charts/chartEx2.xml"/><Relationship Id="rId7" Type="http://schemas.openxmlformats.org/officeDocument/2006/relationships/image" Target="../media/image3.svg"/><Relationship Id="rId12" Type="http://schemas.openxmlformats.org/officeDocument/2006/relationships/image" Target="../media/image8.png"/><Relationship Id="rId17" Type="http://schemas.openxmlformats.org/officeDocument/2006/relationships/image" Target="../media/image13.svg"/><Relationship Id="rId2" Type="http://schemas.openxmlformats.org/officeDocument/2006/relationships/chart" Target="../charts/chart11.xml"/><Relationship Id="rId16" Type="http://schemas.openxmlformats.org/officeDocument/2006/relationships/image" Target="../media/image12.png"/><Relationship Id="rId20" Type="http://schemas.openxmlformats.org/officeDocument/2006/relationships/chart" Target="../charts/chart15.xml"/><Relationship Id="rId1" Type="http://schemas.openxmlformats.org/officeDocument/2006/relationships/chart" Target="../charts/chart10.xml"/><Relationship Id="rId6" Type="http://schemas.openxmlformats.org/officeDocument/2006/relationships/image" Target="../media/image2.png"/><Relationship Id="rId11" Type="http://schemas.openxmlformats.org/officeDocument/2006/relationships/image" Target="../media/image7.svg"/><Relationship Id="rId5" Type="http://schemas.openxmlformats.org/officeDocument/2006/relationships/chart" Target="../charts/chart14.xml"/><Relationship Id="rId15" Type="http://schemas.openxmlformats.org/officeDocument/2006/relationships/image" Target="../media/image11.svg"/><Relationship Id="rId10" Type="http://schemas.openxmlformats.org/officeDocument/2006/relationships/image" Target="../media/image6.png"/><Relationship Id="rId19" Type="http://schemas.openxmlformats.org/officeDocument/2006/relationships/image" Target="../media/image15.svg"/><Relationship Id="rId4" Type="http://schemas.openxmlformats.org/officeDocument/2006/relationships/chart" Target="../charts/chart13.xml"/><Relationship Id="rId9" Type="http://schemas.openxmlformats.org/officeDocument/2006/relationships/image" Target="../media/image5.svg"/><Relationship Id="rId14" Type="http://schemas.openxmlformats.org/officeDocument/2006/relationships/image" Target="../media/image10.png"/></Relationships>
</file>

<file path=xl/drawings/_rels/drawing14.xml.rels><?xml version="1.0" encoding="UTF-8" standalone="yes"?>
<Relationships xmlns="http://schemas.openxmlformats.org/package/2006/relationships"><Relationship Id="rId8" Type="http://schemas.openxmlformats.org/officeDocument/2006/relationships/hyperlink" Target="#'POST ANALYSIS BOARD'!A1"/><Relationship Id="rId13" Type="http://schemas.microsoft.com/office/2014/relationships/chartEx" Target="../charts/chartEx3.xml"/><Relationship Id="rId18" Type="http://schemas.openxmlformats.org/officeDocument/2006/relationships/chart" Target="../charts/chart20.xml"/><Relationship Id="rId3" Type="http://schemas.openxmlformats.org/officeDocument/2006/relationships/image" Target="../media/image17.png"/><Relationship Id="rId7" Type="http://schemas.openxmlformats.org/officeDocument/2006/relationships/image" Target="../media/image20.svg"/><Relationship Id="rId12" Type="http://schemas.openxmlformats.org/officeDocument/2006/relationships/image" Target="../media/image24.svg"/><Relationship Id="rId17" Type="http://schemas.openxmlformats.org/officeDocument/2006/relationships/chart" Target="../charts/chart19.xml"/><Relationship Id="rId2" Type="http://schemas.openxmlformats.org/officeDocument/2006/relationships/hyperlink" Target="mailto:vda094ikponmwosa@gmail.com?subject=QUESTIONS%20FROM%20SALES%20DASHBOARD" TargetMode="External"/><Relationship Id="rId16" Type="http://schemas.openxmlformats.org/officeDocument/2006/relationships/chart" Target="../charts/chart18.xml"/><Relationship Id="rId1" Type="http://schemas.openxmlformats.org/officeDocument/2006/relationships/image" Target="../media/image16.png"/><Relationship Id="rId6" Type="http://schemas.openxmlformats.org/officeDocument/2006/relationships/image" Target="../media/image19.png"/><Relationship Id="rId11" Type="http://schemas.openxmlformats.org/officeDocument/2006/relationships/image" Target="../media/image23.png"/><Relationship Id="rId5" Type="http://schemas.openxmlformats.org/officeDocument/2006/relationships/hyperlink" Target="mailto:vda094ikponmwosa@gmail.com?subject=QUESTION%20ABOUT%20INSIGHT" TargetMode="External"/><Relationship Id="rId15" Type="http://schemas.openxmlformats.org/officeDocument/2006/relationships/chart" Target="../charts/chart17.xml"/><Relationship Id="rId10" Type="http://schemas.openxmlformats.org/officeDocument/2006/relationships/image" Target="../media/image22.svg"/><Relationship Id="rId4" Type="http://schemas.openxmlformats.org/officeDocument/2006/relationships/image" Target="../media/image18.svg"/><Relationship Id="rId9" Type="http://schemas.openxmlformats.org/officeDocument/2006/relationships/image" Target="../media/image21.png"/><Relationship Id="rId1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4</xdr:col>
      <xdr:colOff>438150</xdr:colOff>
      <xdr:row>2</xdr:row>
      <xdr:rowOff>38100</xdr:rowOff>
    </xdr:from>
    <xdr:to>
      <xdr:col>13</xdr:col>
      <xdr:colOff>476249</xdr:colOff>
      <xdr:row>17</xdr:row>
      <xdr:rowOff>114300</xdr:rowOff>
    </xdr:to>
    <xdr:graphicFrame macro="">
      <xdr:nvGraphicFramePr>
        <xdr:cNvPr id="2" name="Chart 1">
          <a:extLst>
            <a:ext uri="{FF2B5EF4-FFF2-40B4-BE49-F238E27FC236}">
              <a16:creationId xmlns:a16="http://schemas.microsoft.com/office/drawing/2014/main" id="{4D242CF4-8DDE-47E4-8DAB-9A88094C2E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66674</xdr:colOff>
      <xdr:row>7</xdr:row>
      <xdr:rowOff>71438</xdr:rowOff>
    </xdr:from>
    <xdr:to>
      <xdr:col>15</xdr:col>
      <xdr:colOff>285750</xdr:colOff>
      <xdr:row>21</xdr:row>
      <xdr:rowOff>133350</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E15EF970-0725-E6AF-F95F-2BB965ECFB1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57749" y="1404938"/>
              <a:ext cx="5143501" cy="272891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oneCellAnchor>
    <xdr:from>
      <xdr:col>1</xdr:col>
      <xdr:colOff>104775</xdr:colOff>
      <xdr:row>2</xdr:row>
      <xdr:rowOff>66675</xdr:rowOff>
    </xdr:from>
    <xdr:ext cx="184731" cy="264560"/>
    <xdr:sp macro="" textlink="">
      <xdr:nvSpPr>
        <xdr:cNvPr id="3" name="TextBox 2">
          <a:extLst>
            <a:ext uri="{FF2B5EF4-FFF2-40B4-BE49-F238E27FC236}">
              <a16:creationId xmlns:a16="http://schemas.microsoft.com/office/drawing/2014/main" id="{B5719736-8C14-34A7-3301-90C9C9096174}"/>
            </a:ext>
          </a:extLst>
        </xdr:cNvPr>
        <xdr:cNvSpPr txBox="1"/>
      </xdr:nvSpPr>
      <xdr:spPr>
        <a:xfrm>
          <a:off x="714375" y="447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504825</xdr:colOff>
      <xdr:row>1</xdr:row>
      <xdr:rowOff>114300</xdr:rowOff>
    </xdr:from>
    <xdr:ext cx="4848225" cy="3505199"/>
    <xdr:sp macro="" textlink="">
      <xdr:nvSpPr>
        <xdr:cNvPr id="4" name="TextBox 3">
          <a:extLst>
            <a:ext uri="{FF2B5EF4-FFF2-40B4-BE49-F238E27FC236}">
              <a16:creationId xmlns:a16="http://schemas.microsoft.com/office/drawing/2014/main" id="{5AB57E12-C7FD-D5F6-3384-69E2C464C4EE}"/>
            </a:ext>
          </a:extLst>
        </xdr:cNvPr>
        <xdr:cNvSpPr txBox="1"/>
      </xdr:nvSpPr>
      <xdr:spPr>
        <a:xfrm>
          <a:off x="504825" y="304800"/>
          <a:ext cx="4848225" cy="35051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endParaRPr lang="en-US" sz="1200" b="1" baseline="0">
            <a:solidFill>
              <a:schemeClr val="bg1"/>
            </a:solidFill>
          </a:endParaRPr>
        </a:p>
        <a:p>
          <a:pPr algn="ctr"/>
          <a:endParaRPr lang="en-US" sz="1200" b="1" baseline="0">
            <a:solidFill>
              <a:schemeClr val="bg1"/>
            </a:solidFill>
          </a:endParaRPr>
        </a:p>
        <a:p>
          <a:endParaRPr lang="en-US" sz="1200" baseline="0">
            <a:solidFill>
              <a:schemeClr val="bg1"/>
            </a:solidFill>
          </a:endParaRPr>
        </a:p>
        <a:p>
          <a:endParaRPr lang="en-US" sz="1000" baseline="0">
            <a:solidFill>
              <a:schemeClr val="bg1"/>
            </a:solidFill>
          </a:endParaRPr>
        </a:p>
        <a:p>
          <a:endParaRPr lang="en-US" sz="1000" baseline="0">
            <a:solidFill>
              <a:schemeClr val="bg1"/>
            </a:solidFill>
          </a:endParaRPr>
        </a:p>
        <a:p>
          <a:endParaRPr lang="en-US" sz="1100">
            <a:solidFill>
              <a:schemeClr val="bg1"/>
            </a:solidFill>
          </a:endParaRPr>
        </a:p>
      </xdr:txBody>
    </xdr:sp>
    <xdr:clientData/>
  </xdr:oneCellAnchor>
  <xdr:twoCellAnchor>
    <xdr:from>
      <xdr:col>9</xdr:col>
      <xdr:colOff>232682</xdr:colOff>
      <xdr:row>0</xdr:row>
      <xdr:rowOff>43995</xdr:rowOff>
    </xdr:from>
    <xdr:to>
      <xdr:col>20</xdr:col>
      <xdr:colOff>34017</xdr:colOff>
      <xdr:row>19</xdr:row>
      <xdr:rowOff>15421</xdr:rowOff>
    </xdr:to>
    <xdr:sp macro="" textlink="">
      <xdr:nvSpPr>
        <xdr:cNvPr id="11" name="Rectangle: Rounded Corners 10">
          <a:extLst>
            <a:ext uri="{FF2B5EF4-FFF2-40B4-BE49-F238E27FC236}">
              <a16:creationId xmlns:a16="http://schemas.microsoft.com/office/drawing/2014/main" id="{283043BF-0D2D-85DB-2A2E-DEC51712187D}"/>
            </a:ext>
          </a:extLst>
        </xdr:cNvPr>
        <xdr:cNvSpPr/>
      </xdr:nvSpPr>
      <xdr:spPr>
        <a:xfrm>
          <a:off x="5743575" y="43995"/>
          <a:ext cx="6536871" cy="3588658"/>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1">
            <a:solidFill>
              <a:schemeClr val="accent5">
                <a:lumMod val="75000"/>
              </a:schemeClr>
            </a:solidFill>
          </a:endParaRPr>
        </a:p>
      </xdr:txBody>
    </xdr:sp>
    <xdr:clientData/>
  </xdr:twoCellAnchor>
  <xdr:twoCellAnchor>
    <xdr:from>
      <xdr:col>0</xdr:col>
      <xdr:colOff>85725</xdr:colOff>
      <xdr:row>20</xdr:row>
      <xdr:rowOff>85725</xdr:rowOff>
    </xdr:from>
    <xdr:to>
      <xdr:col>9</xdr:col>
      <xdr:colOff>285750</xdr:colOff>
      <xdr:row>45</xdr:row>
      <xdr:rowOff>170090</xdr:rowOff>
    </xdr:to>
    <xdr:sp macro="" textlink="">
      <xdr:nvSpPr>
        <xdr:cNvPr id="39" name="Rectangle: Rounded Corners 38">
          <a:extLst>
            <a:ext uri="{FF2B5EF4-FFF2-40B4-BE49-F238E27FC236}">
              <a16:creationId xmlns:a16="http://schemas.microsoft.com/office/drawing/2014/main" id="{B8F46933-0197-D81D-FF53-16F35A158D9F}"/>
            </a:ext>
          </a:extLst>
        </xdr:cNvPr>
        <xdr:cNvSpPr/>
      </xdr:nvSpPr>
      <xdr:spPr>
        <a:xfrm>
          <a:off x="85725" y="3895725"/>
          <a:ext cx="5710918" cy="4903561"/>
        </a:xfrm>
        <a:prstGeom prst="roundRect">
          <a:avLst/>
        </a:prstGeom>
        <a:ln>
          <a:solidFill>
            <a:schemeClr val="accent5">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US" sz="1100" b="1">
            <a:solidFill>
              <a:schemeClr val="accent5">
                <a:lumMod val="75000"/>
              </a:schemeClr>
            </a:solidFill>
          </a:endParaRPr>
        </a:p>
        <a:p>
          <a:pPr algn="ctr"/>
          <a:endParaRPr lang="en-US" sz="1100"/>
        </a:p>
        <a:p>
          <a:pPr algn="ctr"/>
          <a:endParaRPr lang="en-US" sz="1100"/>
        </a:p>
        <a:p>
          <a:pPr algn="ctr"/>
          <a:endParaRPr lang="en-US" sz="1100"/>
        </a:p>
      </xdr:txBody>
    </xdr:sp>
    <xdr:clientData/>
  </xdr:twoCellAnchor>
  <xdr:oneCellAnchor>
    <xdr:from>
      <xdr:col>0</xdr:col>
      <xdr:colOff>333375</xdr:colOff>
      <xdr:row>21</xdr:row>
      <xdr:rowOff>66674</xdr:rowOff>
    </xdr:from>
    <xdr:ext cx="5191125" cy="4344308"/>
    <xdr:sp macro="" textlink="">
      <xdr:nvSpPr>
        <xdr:cNvPr id="40" name="TextBox 39">
          <a:extLst>
            <a:ext uri="{FF2B5EF4-FFF2-40B4-BE49-F238E27FC236}">
              <a16:creationId xmlns:a16="http://schemas.microsoft.com/office/drawing/2014/main" id="{BAE0743E-9389-5624-AD56-505AE4FA67F5}"/>
            </a:ext>
          </a:extLst>
        </xdr:cNvPr>
        <xdr:cNvSpPr txBox="1"/>
      </xdr:nvSpPr>
      <xdr:spPr>
        <a:xfrm>
          <a:off x="333375" y="4069442"/>
          <a:ext cx="5191125" cy="4344308"/>
        </a:xfrm>
        <a:prstGeom prst="rect">
          <a:avLst/>
        </a:prstGeom>
        <a:no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00">
              <a:solidFill>
                <a:schemeClr val="accent5">
                  <a:lumMod val="75000"/>
                </a:schemeClr>
              </a:solidFill>
            </a:rPr>
            <a:t>ANALYSIS-SALES BY REGIONS</a:t>
          </a:r>
        </a:p>
        <a:p>
          <a:endParaRPr lang="en-US" sz="1000">
            <a:solidFill>
              <a:schemeClr val="accent5">
                <a:lumMod val="75000"/>
              </a:schemeClr>
            </a:solidFill>
          </a:endParaRPr>
        </a:p>
        <a:p>
          <a:r>
            <a:rPr lang="en-US" sz="1000">
              <a:solidFill>
                <a:schemeClr val="accent5">
                  <a:lumMod val="75000"/>
                </a:schemeClr>
              </a:solidFill>
            </a:rPr>
            <a:t>-The North</a:t>
          </a:r>
          <a:r>
            <a:rPr lang="en-US" sz="1000" baseline="0">
              <a:solidFill>
                <a:schemeClr val="accent5">
                  <a:lumMod val="75000"/>
                </a:schemeClr>
              </a:solidFill>
            </a:rPr>
            <a:t> generated the highest revenue of $141,680.34, followed by the the east region with a revenue of $108,275.51, followed by south region with a revenue of 93,858.33</a:t>
          </a:r>
        </a:p>
        <a:p>
          <a:endParaRPr lang="en-US" sz="1000" baseline="0">
            <a:solidFill>
              <a:schemeClr val="accent5">
                <a:lumMod val="75000"/>
              </a:schemeClr>
            </a:solidFill>
          </a:endParaRPr>
        </a:p>
        <a:p>
          <a:r>
            <a:rPr lang="en-US" sz="1000" baseline="0">
              <a:solidFill>
                <a:schemeClr val="accent5">
                  <a:lumMod val="75000"/>
                </a:schemeClr>
              </a:solidFill>
            </a:rPr>
            <a:t>-The least performing region is the western region with a revenue of $91,251.98</a:t>
          </a:r>
        </a:p>
        <a:p>
          <a:endParaRPr lang="en-US" sz="1000" baseline="0">
            <a:solidFill>
              <a:schemeClr val="accent5">
                <a:lumMod val="75000"/>
              </a:schemeClr>
            </a:solidFill>
          </a:endParaRPr>
        </a:p>
        <a:p>
          <a:r>
            <a:rPr lang="en-US" sz="1000" baseline="0">
              <a:solidFill>
                <a:schemeClr val="accent5">
                  <a:lumMod val="75000"/>
                </a:schemeClr>
              </a:solidFill>
            </a:rPr>
            <a:t>PRE INSIGHTS:</a:t>
          </a:r>
        </a:p>
        <a:p>
          <a:r>
            <a:rPr lang="en-US" sz="1000" baseline="0">
              <a:solidFill>
                <a:schemeClr val="accent5">
                  <a:lumMod val="75000"/>
                </a:schemeClr>
              </a:solidFill>
            </a:rPr>
            <a:t>-More sales outlet should be open in the north</a:t>
          </a:r>
        </a:p>
        <a:p>
          <a:endParaRPr lang="en-US" sz="1000" baseline="0">
            <a:solidFill>
              <a:schemeClr val="accent5">
                <a:lumMod val="75000"/>
              </a:schemeClr>
            </a:solidFill>
          </a:endParaRPr>
        </a:p>
        <a:p>
          <a:r>
            <a:rPr lang="en-US" sz="1000" baseline="0">
              <a:solidFill>
                <a:schemeClr val="accent5">
                  <a:lumMod val="75000"/>
                </a:schemeClr>
              </a:solidFill>
            </a:rPr>
            <a:t>-Sales personnel in the north should be rewarded with sales bonuses</a:t>
          </a:r>
        </a:p>
        <a:p>
          <a:endParaRPr lang="en-US" sz="1000" baseline="0">
            <a:solidFill>
              <a:schemeClr val="accent5">
                <a:lumMod val="75000"/>
              </a:schemeClr>
            </a:solidFill>
          </a:endParaRPr>
        </a:p>
        <a:p>
          <a:r>
            <a:rPr lang="en-US" sz="1000" baseline="0">
              <a:solidFill>
                <a:schemeClr val="accent5">
                  <a:lumMod val="75000"/>
                </a:schemeClr>
              </a:solidFill>
            </a:rPr>
            <a:t>-Sales strategy in the norther region should be implemented in the other region to boost sales in other regions especially in the western region</a:t>
          </a:r>
        </a:p>
        <a:p>
          <a:endParaRPr lang="en-US" sz="1000" baseline="0">
            <a:solidFill>
              <a:schemeClr val="accent5">
                <a:lumMod val="75000"/>
              </a:schemeClr>
            </a:solidFill>
          </a:endParaRPr>
        </a:p>
        <a:p>
          <a:r>
            <a:rPr lang="en-US" sz="1000" baseline="0">
              <a:solidFill>
                <a:schemeClr val="accent5">
                  <a:lumMod val="75000"/>
                </a:schemeClr>
              </a:solidFill>
            </a:rPr>
            <a:t>-Sales personnel in the west can be recommended for a weekly virtual knowledge sharing to get more sales insights.</a:t>
          </a:r>
        </a:p>
        <a:p>
          <a:endParaRPr lang="en-US" sz="1000" baseline="0">
            <a:solidFill>
              <a:schemeClr val="accent5">
                <a:lumMod val="75000"/>
              </a:schemeClr>
            </a:solidFill>
          </a:endParaRPr>
        </a:p>
        <a:p>
          <a:r>
            <a:rPr lang="en-US" sz="1000" baseline="0">
              <a:solidFill>
                <a:schemeClr val="accent5">
                  <a:lumMod val="75000"/>
                </a:schemeClr>
              </a:solidFill>
            </a:rPr>
            <a:t>-Team leads and line managers in the eastern and northern are recommended for appraisal rewards such as bonuses, promotions, or public recognition.</a:t>
          </a:r>
        </a:p>
        <a:p>
          <a:endParaRPr lang="en-US" sz="1000" baseline="0">
            <a:solidFill>
              <a:schemeClr val="accent5">
                <a:lumMod val="75000"/>
              </a:schemeClr>
            </a:solidFill>
          </a:endParaRPr>
        </a:p>
        <a:p>
          <a:endParaRPr lang="en-US" sz="1050" baseline="0">
            <a:solidFill>
              <a:schemeClr val="accent5">
                <a:lumMod val="75000"/>
              </a:schemeClr>
            </a:solidFill>
          </a:endParaRPr>
        </a:p>
        <a:p>
          <a:endParaRPr lang="en-US" sz="1050" baseline="0">
            <a:solidFill>
              <a:schemeClr val="accent5">
                <a:lumMod val="75000"/>
              </a:schemeClr>
            </a:solidFill>
          </a:endParaRPr>
        </a:p>
      </xdr:txBody>
    </xdr:sp>
    <xdr:clientData/>
  </xdr:oneCellAnchor>
  <xdr:twoCellAnchor>
    <xdr:from>
      <xdr:col>0</xdr:col>
      <xdr:colOff>123825</xdr:colOff>
      <xdr:row>1</xdr:row>
      <xdr:rowOff>28576</xdr:rowOff>
    </xdr:from>
    <xdr:to>
      <xdr:col>9</xdr:col>
      <xdr:colOff>104776</xdr:colOff>
      <xdr:row>18</xdr:row>
      <xdr:rowOff>114300</xdr:rowOff>
    </xdr:to>
    <xdr:sp macro="" textlink="">
      <xdr:nvSpPr>
        <xdr:cNvPr id="6" name="Rectangle: Rounded Corners 5">
          <a:extLst>
            <a:ext uri="{FF2B5EF4-FFF2-40B4-BE49-F238E27FC236}">
              <a16:creationId xmlns:a16="http://schemas.microsoft.com/office/drawing/2014/main" id="{7A053400-9419-60A3-C870-09A8B18AF923}"/>
            </a:ext>
          </a:extLst>
        </xdr:cNvPr>
        <xdr:cNvSpPr/>
      </xdr:nvSpPr>
      <xdr:spPr>
        <a:xfrm>
          <a:off x="123825" y="171451"/>
          <a:ext cx="5467351" cy="3324224"/>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1"/>
        </a:p>
      </xdr:txBody>
    </xdr:sp>
    <xdr:clientData/>
  </xdr:twoCellAnchor>
  <xdr:twoCellAnchor>
    <xdr:from>
      <xdr:col>0</xdr:col>
      <xdr:colOff>352425</xdr:colOff>
      <xdr:row>2</xdr:row>
      <xdr:rowOff>85725</xdr:rowOff>
    </xdr:from>
    <xdr:to>
      <xdr:col>8</xdr:col>
      <xdr:colOff>342900</xdr:colOff>
      <xdr:row>16</xdr:row>
      <xdr:rowOff>161925</xdr:rowOff>
    </xdr:to>
    <xdr:sp macro="" textlink="">
      <xdr:nvSpPr>
        <xdr:cNvPr id="7" name="TextBox 6">
          <a:extLst>
            <a:ext uri="{FF2B5EF4-FFF2-40B4-BE49-F238E27FC236}">
              <a16:creationId xmlns:a16="http://schemas.microsoft.com/office/drawing/2014/main" id="{F978C6BA-C6A7-FDF7-6166-6A1A2A728020}"/>
            </a:ext>
          </a:extLst>
        </xdr:cNvPr>
        <xdr:cNvSpPr txBox="1"/>
      </xdr:nvSpPr>
      <xdr:spPr>
        <a:xfrm>
          <a:off x="352425" y="419100"/>
          <a:ext cx="4867275" cy="2743200"/>
        </a:xfrm>
        <a:prstGeom prst="rect">
          <a:avLst/>
        </a:prstGeom>
        <a:solidFill>
          <a:schemeClr val="accent5">
            <a:lumMod val="50000"/>
          </a:schemeClr>
        </a:solidFill>
        <a:ln w="9525" cmpd="sng">
          <a:solidFill>
            <a:schemeClr val="accent5">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solidFill>
                <a:schemeClr val="bg1"/>
              </a:solidFill>
            </a:rPr>
            <a:t>ANALYSIS-SALES</a:t>
          </a:r>
          <a:r>
            <a:rPr lang="en-US" sz="900" baseline="0">
              <a:solidFill>
                <a:schemeClr val="bg1"/>
              </a:solidFill>
            </a:rPr>
            <a:t> BY REPS</a:t>
          </a:r>
        </a:p>
        <a:p>
          <a:endParaRPr lang="en-US" sz="900" baseline="0">
            <a:solidFill>
              <a:schemeClr val="bg1"/>
            </a:solidFill>
          </a:endParaRPr>
        </a:p>
        <a:p>
          <a:r>
            <a:rPr lang="en-US" sz="900" baseline="0">
              <a:solidFill>
                <a:schemeClr val="bg1"/>
              </a:solidFill>
            </a:rPr>
            <a:t>OBSERVATIONS</a:t>
          </a:r>
        </a:p>
        <a:p>
          <a:r>
            <a:rPr lang="en-US" sz="900" baseline="0">
              <a:solidFill>
                <a:schemeClr val="bg1"/>
              </a:solidFill>
            </a:rPr>
            <a:t>-Nancy topped the sales chart for the year, generating </a:t>
          </a:r>
          <a:r>
            <a:rPr lang="en-US" sz="900" baseline="0">
              <a:solidFill>
                <a:schemeClr val="dk1"/>
              </a:solidFill>
              <a:effectLst/>
            </a:rPr>
            <a:t> </a:t>
          </a:r>
          <a:r>
            <a:rPr lang="en-US" sz="900">
              <a:solidFill>
                <a:schemeClr val="bg1"/>
              </a:solidFill>
              <a:effectLst/>
            </a:rPr>
            <a:t>$104,252.34</a:t>
          </a:r>
        </a:p>
        <a:p>
          <a:endParaRPr lang="en-US" sz="900">
            <a:solidFill>
              <a:schemeClr val="bg1"/>
            </a:solidFill>
            <a:effectLst/>
          </a:endParaRPr>
        </a:p>
        <a:p>
          <a:r>
            <a:rPr lang="en-US" sz="900">
              <a:solidFill>
                <a:schemeClr val="bg1"/>
              </a:solidFill>
              <a:effectLst/>
            </a:rPr>
            <a:t>-Anne</a:t>
          </a:r>
          <a:r>
            <a:rPr lang="en-US" sz="900" baseline="0">
              <a:solidFill>
                <a:schemeClr val="bg1"/>
              </a:solidFill>
              <a:effectLst/>
            </a:rPr>
            <a:t> is the second on the chart generating a revenue of </a:t>
          </a:r>
          <a:r>
            <a:rPr lang="en-US" sz="900">
              <a:solidFill>
                <a:schemeClr val="bg1"/>
              </a:solidFill>
              <a:effectLst/>
            </a:rPr>
            <a:t>$104,252.34 </a:t>
          </a:r>
        </a:p>
        <a:p>
          <a:endParaRPr lang="en-US" sz="900">
            <a:solidFill>
              <a:schemeClr val="bg1"/>
            </a:solidFill>
            <a:effectLst/>
          </a:endParaRPr>
        </a:p>
        <a:p>
          <a:r>
            <a:rPr lang="en-US" sz="900">
              <a:solidFill>
                <a:schemeClr val="bg1"/>
              </a:solidFill>
              <a:effectLst/>
            </a:rPr>
            <a:t>-Jan is the least performer on the chart,</a:t>
          </a:r>
          <a:r>
            <a:rPr lang="en-US" sz="900" baseline="0">
              <a:solidFill>
                <a:schemeClr val="bg1"/>
              </a:solidFill>
              <a:effectLst/>
            </a:rPr>
            <a:t> generating a revenue of </a:t>
          </a:r>
          <a:r>
            <a:rPr lang="en-US" sz="900">
              <a:solidFill>
                <a:schemeClr val="bg1"/>
              </a:solidFill>
              <a:effectLst/>
            </a:rPr>
            <a:t>$104,252.34</a:t>
          </a:r>
        </a:p>
        <a:p>
          <a:endParaRPr lang="en-US" sz="900">
            <a:solidFill>
              <a:schemeClr val="bg1"/>
            </a:solidFill>
            <a:effectLst/>
          </a:endParaRPr>
        </a:p>
        <a:p>
          <a:endParaRPr lang="en-US" sz="900">
            <a:solidFill>
              <a:schemeClr val="bg1"/>
            </a:solidFill>
            <a:effectLst/>
          </a:endParaRPr>
        </a:p>
        <a:p>
          <a:r>
            <a:rPr lang="en-US" sz="900">
              <a:solidFill>
                <a:schemeClr val="bg1"/>
              </a:solidFill>
              <a:effectLst/>
            </a:rPr>
            <a:t>PRE-INSIGHTS:</a:t>
          </a:r>
        </a:p>
        <a:p>
          <a:r>
            <a:rPr lang="en-US" sz="900">
              <a:solidFill>
                <a:schemeClr val="bg1"/>
              </a:solidFill>
              <a:effectLst/>
            </a:rPr>
            <a:t>-Jan can be recommended to</a:t>
          </a:r>
          <a:r>
            <a:rPr lang="en-US" sz="900" baseline="0">
              <a:solidFill>
                <a:schemeClr val="bg1"/>
              </a:solidFill>
              <a:effectLst/>
            </a:rPr>
            <a:t> go for more sales courses to boost his sales skills</a:t>
          </a:r>
        </a:p>
        <a:p>
          <a:endParaRPr lang="en-US" sz="900" baseline="0">
            <a:solidFill>
              <a:schemeClr val="bg1"/>
            </a:solidFill>
            <a:effectLst/>
          </a:endParaRPr>
        </a:p>
        <a:p>
          <a:r>
            <a:rPr lang="en-US" sz="900" baseline="0">
              <a:solidFill>
                <a:schemeClr val="bg1"/>
              </a:solidFill>
              <a:effectLst/>
            </a:rPr>
            <a:t>-Jan should be mentored by Nancy to get more sales strategy</a:t>
          </a:r>
        </a:p>
        <a:p>
          <a:endParaRPr lang="en-US" sz="900" baseline="0">
            <a:solidFill>
              <a:schemeClr val="bg1"/>
            </a:solidFill>
            <a:effectLst/>
          </a:endParaRPr>
        </a:p>
        <a:p>
          <a:r>
            <a:rPr lang="en-US" sz="900" baseline="0">
              <a:solidFill>
                <a:schemeClr val="bg1"/>
              </a:solidFill>
              <a:effectLst/>
            </a:rPr>
            <a:t>-Nancy can be recommended for promotion or more sales bonus.</a:t>
          </a:r>
          <a:endParaRPr lang="en-US" sz="900">
            <a:solidFill>
              <a:schemeClr val="bg1"/>
            </a:solidFill>
          </a:endParaRPr>
        </a:p>
      </xdr:txBody>
    </xdr:sp>
    <xdr:clientData/>
  </xdr:twoCellAnchor>
  <xdr:twoCellAnchor>
    <xdr:from>
      <xdr:col>10</xdr:col>
      <xdr:colOff>19049</xdr:colOff>
      <xdr:row>1</xdr:row>
      <xdr:rowOff>85724</xdr:rowOff>
    </xdr:from>
    <xdr:to>
      <xdr:col>18</xdr:col>
      <xdr:colOff>104774</xdr:colOff>
      <xdr:row>18</xdr:row>
      <xdr:rowOff>114299</xdr:rowOff>
    </xdr:to>
    <xdr:sp macro="" textlink="">
      <xdr:nvSpPr>
        <xdr:cNvPr id="8" name="TextBox 7">
          <a:extLst>
            <a:ext uri="{FF2B5EF4-FFF2-40B4-BE49-F238E27FC236}">
              <a16:creationId xmlns:a16="http://schemas.microsoft.com/office/drawing/2014/main" id="{0D4ACD48-1710-8B58-709F-C55EAA60E9D7}"/>
            </a:ext>
          </a:extLst>
        </xdr:cNvPr>
        <xdr:cNvSpPr txBox="1"/>
      </xdr:nvSpPr>
      <xdr:spPr>
        <a:xfrm>
          <a:off x="6115049" y="228599"/>
          <a:ext cx="4962525" cy="3267075"/>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accent1"/>
              </a:solidFill>
            </a:rPr>
            <a:t>ANALYSIS-TOP 10 CUSTOMERS</a:t>
          </a:r>
        </a:p>
        <a:p>
          <a:endParaRPr lang="en-US" sz="1100">
            <a:solidFill>
              <a:schemeClr val="accent1"/>
            </a:solidFill>
          </a:endParaRPr>
        </a:p>
        <a:p>
          <a:r>
            <a:rPr lang="en-US" sz="1000">
              <a:solidFill>
                <a:schemeClr val="accent1"/>
              </a:solidFill>
            </a:rPr>
            <a:t>-Company D</a:t>
          </a:r>
          <a:r>
            <a:rPr lang="en-US" sz="1000" baseline="0">
              <a:solidFill>
                <a:schemeClr val="accent1"/>
              </a:solidFill>
            </a:rPr>
            <a:t> top the chart for the top 10 customers, generating a revenue of $67,180.50</a:t>
          </a:r>
        </a:p>
        <a:p>
          <a:r>
            <a:rPr lang="en-US" sz="1000" baseline="0">
              <a:solidFill>
                <a:schemeClr val="accent1"/>
              </a:solidFill>
            </a:rPr>
            <a:t>-Company H came second with a revenue of $50,208.35</a:t>
          </a:r>
        </a:p>
        <a:p>
          <a:r>
            <a:rPr lang="en-US" sz="1000" baseline="0">
              <a:solidFill>
                <a:schemeClr val="accent1"/>
              </a:solidFill>
            </a:rPr>
            <a:t>-Company BB came third with a revenue of $43,713.00</a:t>
          </a:r>
        </a:p>
        <a:p>
          <a:r>
            <a:rPr lang="en-US" sz="1000" baseline="0">
              <a:solidFill>
                <a:schemeClr val="accent1"/>
              </a:solidFill>
            </a:rPr>
            <a:t>-Company F came forth with a revenue of $37,428.99</a:t>
          </a:r>
        </a:p>
        <a:p>
          <a:r>
            <a:rPr lang="en-US" sz="1000" baseline="0">
              <a:solidFill>
                <a:schemeClr val="accent1"/>
              </a:solidFill>
            </a:rPr>
            <a:t>-Company A came fifth with a revenue of $36,839.99</a:t>
          </a:r>
        </a:p>
        <a:p>
          <a:r>
            <a:rPr lang="en-US" sz="1000" baseline="0">
              <a:solidFill>
                <a:schemeClr val="accent1"/>
              </a:solidFill>
            </a:rPr>
            <a:t>-Company I came sixth with a revenue of %32,530.60</a:t>
          </a:r>
        </a:p>
        <a:p>
          <a:r>
            <a:rPr lang="en-US" sz="1000" baseline="0">
              <a:solidFill>
                <a:schemeClr val="accent1"/>
              </a:solidFill>
            </a:rPr>
            <a:t>-Company J came seventh with a revenue of $29,133.01</a:t>
          </a:r>
        </a:p>
        <a:p>
          <a:r>
            <a:rPr lang="en-US" sz="1000" baseline="0">
              <a:solidFill>
                <a:schemeClr val="accent1"/>
              </a:solidFill>
            </a:rPr>
            <a:t>-Company Z came eighth with a revenue of $28,208.25</a:t>
          </a:r>
        </a:p>
        <a:p>
          <a:r>
            <a:rPr lang="en-US" sz="1000" baseline="0">
              <a:solidFill>
                <a:schemeClr val="accent1"/>
              </a:solidFill>
            </a:rPr>
            <a:t>-Company C came ninth with a revenue of $27,005.38</a:t>
          </a:r>
        </a:p>
        <a:p>
          <a:r>
            <a:rPr lang="en-US" sz="1000" baseline="0">
              <a:solidFill>
                <a:schemeClr val="accent1"/>
              </a:solidFill>
            </a:rPr>
            <a:t>-Company K came tenth with a revenue of $21,937.08</a:t>
          </a:r>
        </a:p>
        <a:p>
          <a:endParaRPr lang="en-US" sz="1000" baseline="0">
            <a:solidFill>
              <a:schemeClr val="accent1"/>
            </a:solidFill>
          </a:endParaRPr>
        </a:p>
        <a:p>
          <a:r>
            <a:rPr lang="en-US" sz="1000" baseline="0">
              <a:solidFill>
                <a:schemeClr val="accent1"/>
              </a:solidFill>
            </a:rPr>
            <a:t>PRE-INSIGHTS</a:t>
          </a:r>
        </a:p>
        <a:p>
          <a:r>
            <a:rPr lang="en-US" sz="1000" baseline="0">
              <a:solidFill>
                <a:schemeClr val="accent1"/>
              </a:solidFill>
            </a:rPr>
            <a:t>-Shopping vouchers should be given to top customers</a:t>
          </a:r>
        </a:p>
        <a:p>
          <a:r>
            <a:rPr lang="en-US" sz="1000" baseline="0">
              <a:solidFill>
                <a:schemeClr val="accent1"/>
              </a:solidFill>
            </a:rPr>
            <a:t>-Discounted amount should be given to high demand goods</a:t>
          </a:r>
        </a:p>
        <a:p>
          <a:r>
            <a:rPr lang="en-US" sz="1000" baseline="0">
              <a:solidFill>
                <a:schemeClr val="accent1"/>
              </a:solidFill>
            </a:rPr>
            <a:t>-personalized promotions should be implemented</a:t>
          </a:r>
        </a:p>
        <a:p>
          <a:r>
            <a:rPr lang="en-US" sz="1000" baseline="0">
              <a:solidFill>
                <a:schemeClr val="accent1"/>
              </a:solidFill>
            </a:rPr>
            <a:t>-Business to customer relationship should be implemented</a:t>
          </a:r>
        </a:p>
        <a:p>
          <a:r>
            <a:rPr lang="en-US" sz="1000" baseline="0">
              <a:solidFill>
                <a:schemeClr val="accent1"/>
              </a:solidFill>
            </a:rPr>
            <a:t>-Loyalty rewards should be implemented </a:t>
          </a:r>
        </a:p>
        <a:p>
          <a:r>
            <a:rPr lang="en-US" sz="1000" baseline="0">
              <a:solidFill>
                <a:schemeClr val="accent1"/>
              </a:solidFill>
            </a:rPr>
            <a:t>-Lunch a top shopper club, with early access to sales</a:t>
          </a:r>
          <a:endParaRPr lang="en-US" sz="1000">
            <a:solidFill>
              <a:schemeClr val="accent1"/>
            </a:solidFill>
          </a:endParaRPr>
        </a:p>
      </xdr:txBody>
    </xdr:sp>
    <xdr:clientData/>
  </xdr:twoCellAnchor>
  <xdr:twoCellAnchor>
    <xdr:from>
      <xdr:col>9</xdr:col>
      <xdr:colOff>385537</xdr:colOff>
      <xdr:row>20</xdr:row>
      <xdr:rowOff>45357</xdr:rowOff>
    </xdr:from>
    <xdr:to>
      <xdr:col>22</xdr:col>
      <xdr:colOff>11341</xdr:colOff>
      <xdr:row>45</xdr:row>
      <xdr:rowOff>136072</xdr:rowOff>
    </xdr:to>
    <xdr:sp macro="" textlink="">
      <xdr:nvSpPr>
        <xdr:cNvPr id="2" name="Rectangle: Rounded Corners 1">
          <a:extLst>
            <a:ext uri="{FF2B5EF4-FFF2-40B4-BE49-F238E27FC236}">
              <a16:creationId xmlns:a16="http://schemas.microsoft.com/office/drawing/2014/main" id="{065063E8-495D-12EC-E205-1CEE09617669}"/>
            </a:ext>
          </a:extLst>
        </xdr:cNvPr>
        <xdr:cNvSpPr/>
      </xdr:nvSpPr>
      <xdr:spPr>
        <a:xfrm>
          <a:off x="5896430" y="3855357"/>
          <a:ext cx="7585982" cy="4909911"/>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1"/>
        </a:p>
      </xdr:txBody>
    </xdr:sp>
    <xdr:clientData/>
  </xdr:twoCellAnchor>
  <xdr:twoCellAnchor>
    <xdr:from>
      <xdr:col>10</xdr:col>
      <xdr:colOff>136072</xdr:colOff>
      <xdr:row>21</xdr:row>
      <xdr:rowOff>102053</xdr:rowOff>
    </xdr:from>
    <xdr:to>
      <xdr:col>21</xdr:col>
      <xdr:colOff>306161</xdr:colOff>
      <xdr:row>44</xdr:row>
      <xdr:rowOff>79376</xdr:rowOff>
    </xdr:to>
    <xdr:sp macro="" textlink="">
      <xdr:nvSpPr>
        <xdr:cNvPr id="5" name="TextBox 4">
          <a:extLst>
            <a:ext uri="{FF2B5EF4-FFF2-40B4-BE49-F238E27FC236}">
              <a16:creationId xmlns:a16="http://schemas.microsoft.com/office/drawing/2014/main" id="{9E500866-24E5-EB3B-13EF-C0B5EE273F36}"/>
            </a:ext>
          </a:extLst>
        </xdr:cNvPr>
        <xdr:cNvSpPr txBox="1"/>
      </xdr:nvSpPr>
      <xdr:spPr>
        <a:xfrm>
          <a:off x="6259286" y="4104821"/>
          <a:ext cx="6905625" cy="4410984"/>
        </a:xfrm>
        <a:prstGeom prst="rect">
          <a:avLst/>
        </a:prstGeom>
        <a:solidFill>
          <a:schemeClr val="accent5">
            <a:lumMod val="50000"/>
          </a:schemeClr>
        </a:solidFill>
        <a:ln w="9525" cmpd="sng">
          <a:solidFill>
            <a:schemeClr val="accent5">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ANALYSIS-SALES TREND REPORT</a:t>
          </a:r>
        </a:p>
        <a:p>
          <a:endParaRPr lang="en-US" sz="1100">
            <a:solidFill>
              <a:schemeClr val="bg1"/>
            </a:solidFill>
          </a:endParaRPr>
        </a:p>
        <a:p>
          <a:r>
            <a:rPr lang="en-US" sz="1100">
              <a:solidFill>
                <a:schemeClr val="bg1"/>
              </a:solidFill>
            </a:rPr>
            <a:t>-December has the</a:t>
          </a:r>
          <a:r>
            <a:rPr lang="en-US" sz="1100" baseline="0">
              <a:solidFill>
                <a:schemeClr val="bg1"/>
              </a:solidFill>
            </a:rPr>
            <a:t> highest sales with a revenue of $66,642.78</a:t>
          </a:r>
        </a:p>
        <a:p>
          <a:endParaRPr lang="en-US" sz="1100" baseline="0">
            <a:solidFill>
              <a:schemeClr val="bg1"/>
            </a:solidFill>
          </a:endParaRPr>
        </a:p>
        <a:p>
          <a:r>
            <a:rPr lang="en-US" sz="1100" baseline="0">
              <a:solidFill>
                <a:schemeClr val="bg1"/>
              </a:solidFill>
            </a:rPr>
            <a:t>-Peak sales was in June with a revenue of $55,601.61, with a sharp downward movement in July with a revenue of $27,318.64</a:t>
          </a:r>
        </a:p>
        <a:p>
          <a:endParaRPr lang="en-US" sz="1100" baseline="0">
            <a:solidFill>
              <a:schemeClr val="bg1"/>
            </a:solidFill>
          </a:endParaRPr>
        </a:p>
        <a:p>
          <a:r>
            <a:rPr lang="en-US" sz="1100" baseline="0">
              <a:solidFill>
                <a:schemeClr val="bg1"/>
              </a:solidFill>
            </a:rPr>
            <a:t>-The sales movement increase slightly in August and September with a revenue of $29,921.46 and $31,949.97</a:t>
          </a:r>
        </a:p>
        <a:p>
          <a:endParaRPr lang="en-US" sz="1100" baseline="0">
            <a:solidFill>
              <a:schemeClr val="bg1"/>
            </a:solidFill>
          </a:endParaRPr>
        </a:p>
        <a:p>
          <a:r>
            <a:rPr lang="en-US" sz="1100" baseline="0">
              <a:solidFill>
                <a:schemeClr val="bg1"/>
              </a:solidFill>
            </a:rPr>
            <a:t>-The sales trend increased sharply in October with a revenue of $53,033.59</a:t>
          </a:r>
        </a:p>
        <a:p>
          <a:endParaRPr lang="en-US" sz="1100" baseline="0">
            <a:solidFill>
              <a:schemeClr val="bg1"/>
            </a:solidFill>
          </a:endParaRPr>
        </a:p>
        <a:p>
          <a:r>
            <a:rPr lang="en-US" sz="1100" baseline="0">
              <a:solidFill>
                <a:schemeClr val="bg1"/>
              </a:solidFill>
            </a:rPr>
            <a:t>-In November the sales trend experience a downward movement with a revenue of $31,773.43</a:t>
          </a:r>
        </a:p>
        <a:p>
          <a:endParaRPr lang="en-US" sz="1100" baseline="0">
            <a:solidFill>
              <a:schemeClr val="bg1"/>
            </a:solidFill>
          </a:endParaRPr>
        </a:p>
        <a:p>
          <a:r>
            <a:rPr lang="en-US" sz="1100" baseline="0">
              <a:solidFill>
                <a:schemeClr val="bg1"/>
              </a:solidFill>
            </a:rPr>
            <a:t>-Feburary experienced the lowest sales with a revenue of $19,985.50</a:t>
          </a:r>
        </a:p>
        <a:p>
          <a:endParaRPr lang="en-US" sz="1100" baseline="0">
            <a:solidFill>
              <a:schemeClr val="bg1"/>
            </a:solidFill>
          </a:endParaRPr>
        </a:p>
        <a:p>
          <a:r>
            <a:rPr lang="en-US" sz="1100" baseline="0">
              <a:solidFill>
                <a:schemeClr val="bg1"/>
              </a:solidFill>
            </a:rPr>
            <a:t>-The open revenue for the year in January is $32,907.84,while the closing revenue in December is $66,642.78</a:t>
          </a:r>
        </a:p>
        <a:p>
          <a:endParaRPr lang="en-US" sz="1100" baseline="0">
            <a:solidFill>
              <a:schemeClr val="bg1"/>
            </a:solidFill>
          </a:endParaRPr>
        </a:p>
        <a:p>
          <a:r>
            <a:rPr lang="en-US" sz="1100" baseline="0">
              <a:solidFill>
                <a:schemeClr val="bg1"/>
              </a:solidFill>
            </a:rPr>
            <a:t>PRE-INSIGHTS:</a:t>
          </a:r>
        </a:p>
        <a:p>
          <a:endParaRPr lang="en-US" sz="1100" baseline="0">
            <a:solidFill>
              <a:schemeClr val="bg1"/>
            </a:solidFill>
          </a:endParaRPr>
        </a:p>
        <a:p>
          <a:r>
            <a:rPr lang="en-US" sz="1100" baseline="0">
              <a:solidFill>
                <a:schemeClr val="bg1"/>
              </a:solidFill>
            </a:rPr>
            <a:t>-Promotional offers show be made for opening stock at the beginning of the year</a:t>
          </a:r>
        </a:p>
        <a:p>
          <a:endParaRPr lang="en-US" sz="1100" baseline="0">
            <a:solidFill>
              <a:schemeClr val="bg1"/>
            </a:solidFill>
          </a:endParaRPr>
        </a:p>
        <a:p>
          <a:r>
            <a:rPr lang="en-US" sz="1100" baseline="0">
              <a:solidFill>
                <a:schemeClr val="bg1"/>
              </a:solidFill>
            </a:rPr>
            <a:t>-Investigation should be made into downward movement of sales for the months where sales are low</a:t>
          </a:r>
        </a:p>
        <a:p>
          <a:endParaRPr lang="en-US" sz="1100" baseline="0">
            <a:solidFill>
              <a:schemeClr val="bg1"/>
            </a:solidFill>
          </a:endParaRPr>
        </a:p>
        <a:p>
          <a:r>
            <a:rPr lang="en-US" sz="1100" baseline="0">
              <a:solidFill>
                <a:schemeClr val="bg1"/>
              </a:solidFill>
            </a:rPr>
            <a:t>-Sales strategy that makes revenue to increase in July and December should be look into.</a:t>
          </a:r>
        </a:p>
      </xdr:txBody>
    </xdr:sp>
    <xdr:clientData/>
  </xdr:twoCellAnchor>
  <xdr:twoCellAnchor>
    <xdr:from>
      <xdr:col>20</xdr:col>
      <xdr:colOff>204108</xdr:colOff>
      <xdr:row>0</xdr:row>
      <xdr:rowOff>0</xdr:rowOff>
    </xdr:from>
    <xdr:to>
      <xdr:col>32</xdr:col>
      <xdr:colOff>158751</xdr:colOff>
      <xdr:row>19</xdr:row>
      <xdr:rowOff>181428</xdr:rowOff>
    </xdr:to>
    <xdr:sp macro="" textlink="">
      <xdr:nvSpPr>
        <xdr:cNvPr id="9" name="Rectangle: Rounded Corners 8">
          <a:extLst>
            <a:ext uri="{FF2B5EF4-FFF2-40B4-BE49-F238E27FC236}">
              <a16:creationId xmlns:a16="http://schemas.microsoft.com/office/drawing/2014/main" id="{8D0B18C8-CFFB-92EB-0A6B-F9F7C701F5DB}"/>
            </a:ext>
          </a:extLst>
        </xdr:cNvPr>
        <xdr:cNvSpPr/>
      </xdr:nvSpPr>
      <xdr:spPr>
        <a:xfrm>
          <a:off x="12450537" y="0"/>
          <a:ext cx="7302500" cy="3798660"/>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1"/>
        </a:p>
      </xdr:txBody>
    </xdr:sp>
    <xdr:clientData/>
  </xdr:twoCellAnchor>
  <xdr:twoCellAnchor>
    <xdr:from>
      <xdr:col>20</xdr:col>
      <xdr:colOff>487590</xdr:colOff>
      <xdr:row>2</xdr:row>
      <xdr:rowOff>22678</xdr:rowOff>
    </xdr:from>
    <xdr:to>
      <xdr:col>31</xdr:col>
      <xdr:colOff>306163</xdr:colOff>
      <xdr:row>17</xdr:row>
      <xdr:rowOff>34019</xdr:rowOff>
    </xdr:to>
    <xdr:sp macro="" textlink="">
      <xdr:nvSpPr>
        <xdr:cNvPr id="10" name="TextBox 9">
          <a:extLst>
            <a:ext uri="{FF2B5EF4-FFF2-40B4-BE49-F238E27FC236}">
              <a16:creationId xmlns:a16="http://schemas.microsoft.com/office/drawing/2014/main" id="{D891D24F-5B9F-F471-6213-36D3DDC290B9}"/>
            </a:ext>
          </a:extLst>
        </xdr:cNvPr>
        <xdr:cNvSpPr txBox="1"/>
      </xdr:nvSpPr>
      <xdr:spPr>
        <a:xfrm>
          <a:off x="12734019" y="362857"/>
          <a:ext cx="6554108" cy="2902858"/>
        </a:xfrm>
        <a:prstGeom prst="rect">
          <a:avLst/>
        </a:prstGeom>
        <a:solidFill>
          <a:schemeClr val="accent5">
            <a:lumMod val="50000"/>
          </a:schemeClr>
        </a:solidFill>
        <a:ln w="9525" cmpd="sng">
          <a:solidFill>
            <a:schemeClr val="accent5">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ANALYSIS-SALES BY PRODUCT CATEGORY</a:t>
          </a:r>
        </a:p>
        <a:p>
          <a:endParaRPr lang="en-US" sz="1100">
            <a:solidFill>
              <a:schemeClr val="bg1"/>
            </a:solidFill>
          </a:endParaRPr>
        </a:p>
        <a:p>
          <a:r>
            <a:rPr lang="en-US" sz="1100">
              <a:solidFill>
                <a:schemeClr val="bg1"/>
              </a:solidFill>
            </a:rPr>
            <a:t>OBSERVATION</a:t>
          </a:r>
        </a:p>
        <a:p>
          <a:r>
            <a:rPr lang="en-US" sz="1100">
              <a:solidFill>
                <a:schemeClr val="bg1"/>
              </a:solidFill>
            </a:rPr>
            <a:t>-Beverages topped as the best</a:t>
          </a:r>
          <a:r>
            <a:rPr lang="en-US" sz="1100" baseline="0">
              <a:solidFill>
                <a:schemeClr val="bg1"/>
              </a:solidFill>
            </a:rPr>
            <a:t> performing product for the year generating a revenue of $110,577.11</a:t>
          </a:r>
        </a:p>
        <a:p>
          <a:r>
            <a:rPr lang="en-US" sz="1100" baseline="0">
              <a:solidFill>
                <a:schemeClr val="bg1"/>
              </a:solidFill>
            </a:rPr>
            <a:t>-Sauces came second with generating a revenue of $69,000.00</a:t>
          </a:r>
        </a:p>
        <a:p>
          <a:r>
            <a:rPr lang="en-US" sz="1100" baseline="0">
              <a:solidFill>
                <a:schemeClr val="bg1"/>
              </a:solidFill>
            </a:rPr>
            <a:t>-Jams, Preserves came third generating a revenue of $51,541.00</a:t>
          </a:r>
        </a:p>
        <a:p>
          <a:r>
            <a:rPr lang="en-US" sz="1100" baseline="0">
              <a:solidFill>
                <a:schemeClr val="bg1"/>
              </a:solidFill>
            </a:rPr>
            <a:t>-Dairy Product came forth generating a revenue of $33,129.60 </a:t>
          </a:r>
        </a:p>
        <a:p>
          <a:r>
            <a:rPr lang="en-US" sz="1100" baseline="0">
              <a:solidFill>
                <a:schemeClr val="bg1"/>
              </a:solidFill>
            </a:rPr>
            <a:t>-Dried fruits and nuts followed, generating a revenue of $27,999.50</a:t>
          </a:r>
        </a:p>
        <a:p>
          <a:r>
            <a:rPr lang="en-US" sz="1100" baseline="0">
              <a:solidFill>
                <a:schemeClr val="bg1"/>
              </a:solidFill>
            </a:rPr>
            <a:t>-Canned Meat followed generating a revenue of $25,465.60</a:t>
          </a:r>
        </a:p>
        <a:p>
          <a:endParaRPr lang="en-US" sz="1100" baseline="0">
            <a:solidFill>
              <a:schemeClr val="bg1"/>
            </a:solidFill>
          </a:endParaRPr>
        </a:p>
        <a:p>
          <a:r>
            <a:rPr lang="en-US" sz="1100" baseline="0">
              <a:solidFill>
                <a:schemeClr val="bg1"/>
              </a:solidFill>
            </a:rPr>
            <a:t>INSIGHTS</a:t>
          </a:r>
        </a:p>
        <a:p>
          <a:r>
            <a:rPr lang="en-US" sz="1100" baseline="0">
              <a:solidFill>
                <a:schemeClr val="bg1"/>
              </a:solidFill>
            </a:rPr>
            <a:t>-Beverages should be in stock all year round</a:t>
          </a:r>
        </a:p>
        <a:p>
          <a:r>
            <a:rPr lang="en-US" sz="1100" baseline="0">
              <a:solidFill>
                <a:schemeClr val="bg1"/>
              </a:solidFill>
            </a:rPr>
            <a:t>-promotional discount should be placed on the top six products generating the most revenue</a:t>
          </a:r>
        </a:p>
        <a:p>
          <a:r>
            <a:rPr lang="en-US" sz="1100" baseline="0">
              <a:solidFill>
                <a:schemeClr val="bg1"/>
              </a:solidFill>
            </a:rPr>
            <a:t>-Fast payment way should be created for high revenue generating products</a:t>
          </a:r>
        </a:p>
        <a:p>
          <a:r>
            <a:rPr lang="en-US" sz="1100" baseline="0">
              <a:solidFill>
                <a:schemeClr val="bg1"/>
              </a:solidFill>
            </a:rPr>
            <a:t>-Faster delivery channel should be created to easy online order</a:t>
          </a:r>
          <a:endParaRPr lang="en-US" sz="1100">
            <a:solidFill>
              <a:schemeClr val="bg1"/>
            </a:solidFill>
          </a:endParaRPr>
        </a:p>
      </xdr:txBody>
    </xdr:sp>
    <xdr:clientData/>
  </xdr:twoCellAnchor>
  <xdr:twoCellAnchor>
    <xdr:from>
      <xdr:col>22</xdr:col>
      <xdr:colOff>317048</xdr:colOff>
      <xdr:row>20</xdr:row>
      <xdr:rowOff>162377</xdr:rowOff>
    </xdr:from>
    <xdr:to>
      <xdr:col>33</xdr:col>
      <xdr:colOff>118383</xdr:colOff>
      <xdr:row>39</xdr:row>
      <xdr:rowOff>88446</xdr:rowOff>
    </xdr:to>
    <xdr:sp macro="" textlink="">
      <xdr:nvSpPr>
        <xdr:cNvPr id="12" name="Rectangle: Rounded Corners 11">
          <a:extLst>
            <a:ext uri="{FF2B5EF4-FFF2-40B4-BE49-F238E27FC236}">
              <a16:creationId xmlns:a16="http://schemas.microsoft.com/office/drawing/2014/main" id="{175A85F8-2BBE-9271-31DB-42EA3248C029}"/>
            </a:ext>
          </a:extLst>
        </xdr:cNvPr>
        <xdr:cNvSpPr/>
      </xdr:nvSpPr>
      <xdr:spPr>
        <a:xfrm>
          <a:off x="13788119" y="3972377"/>
          <a:ext cx="6536871" cy="3588658"/>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1">
            <a:solidFill>
              <a:schemeClr val="accent5">
                <a:lumMod val="75000"/>
              </a:schemeClr>
            </a:solidFill>
          </a:endParaRPr>
        </a:p>
      </xdr:txBody>
    </xdr:sp>
    <xdr:clientData/>
  </xdr:twoCellAnchor>
  <xdr:twoCellAnchor>
    <xdr:from>
      <xdr:col>23</xdr:col>
      <xdr:colOff>45357</xdr:colOff>
      <xdr:row>21</xdr:row>
      <xdr:rowOff>136071</xdr:rowOff>
    </xdr:from>
    <xdr:to>
      <xdr:col>32</xdr:col>
      <xdr:colOff>487590</xdr:colOff>
      <xdr:row>39</xdr:row>
      <xdr:rowOff>22679</xdr:rowOff>
    </xdr:to>
    <xdr:sp macro="" textlink="">
      <xdr:nvSpPr>
        <xdr:cNvPr id="13" name="TextBox 12">
          <a:extLst>
            <a:ext uri="{FF2B5EF4-FFF2-40B4-BE49-F238E27FC236}">
              <a16:creationId xmlns:a16="http://schemas.microsoft.com/office/drawing/2014/main" id="{D44837DF-6F9F-C770-D372-7F1C2D60C48D}"/>
            </a:ext>
          </a:extLst>
        </xdr:cNvPr>
        <xdr:cNvSpPr txBox="1"/>
      </xdr:nvSpPr>
      <xdr:spPr>
        <a:xfrm>
          <a:off x="14128750" y="4138839"/>
          <a:ext cx="5953126" cy="335642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sz="1100">
              <a:solidFill>
                <a:srgbClr val="0070C0"/>
              </a:solidFill>
            </a:rPr>
            <a:t>ANALYSIS-TRANSACTIONS</a:t>
          </a:r>
          <a:r>
            <a:rPr lang="en-US" sz="1100" baseline="0">
              <a:solidFill>
                <a:srgbClr val="0070C0"/>
              </a:solidFill>
            </a:rPr>
            <a:t> BY AMOUNT</a:t>
          </a:r>
        </a:p>
        <a:p>
          <a:endParaRPr lang="en-US" sz="1100" baseline="0">
            <a:solidFill>
              <a:srgbClr val="0070C0"/>
            </a:solidFill>
          </a:endParaRPr>
        </a:p>
        <a:p>
          <a:r>
            <a:rPr lang="en-US" sz="1100" baseline="0">
              <a:solidFill>
                <a:srgbClr val="0070C0"/>
              </a:solidFill>
            </a:rPr>
            <a:t>OBSERVATION</a:t>
          </a:r>
        </a:p>
        <a:p>
          <a:endParaRPr lang="en-US" sz="1100" baseline="0">
            <a:solidFill>
              <a:srgbClr val="0070C0"/>
            </a:solidFill>
          </a:endParaRPr>
        </a:p>
        <a:p>
          <a:r>
            <a:rPr lang="en-US" sz="1100" baseline="0">
              <a:solidFill>
                <a:srgbClr val="0070C0"/>
              </a:solidFill>
            </a:rPr>
            <a:t>-1 count of goods gerenated revenue of $7000-8000</a:t>
          </a:r>
        </a:p>
        <a:p>
          <a:r>
            <a:rPr lang="en-US" sz="1100" baseline="0">
              <a:solidFill>
                <a:srgbClr val="0070C0"/>
              </a:solidFill>
            </a:rPr>
            <a:t>-2 count of goods generated revenue worths $6000-7000</a:t>
          </a:r>
        </a:p>
        <a:p>
          <a:r>
            <a:rPr lang="en-US" sz="1100" baseline="0">
              <a:solidFill>
                <a:srgbClr val="0070C0"/>
              </a:solidFill>
            </a:rPr>
            <a:t>-8 counts generated revenue of $4000-5000</a:t>
          </a:r>
        </a:p>
        <a:p>
          <a:r>
            <a:rPr lang="en-US" sz="1100" baseline="0">
              <a:solidFill>
                <a:srgbClr val="0070C0"/>
              </a:solidFill>
            </a:rPr>
            <a:t>-24 counts generated revenue of $3000-40000</a:t>
          </a:r>
        </a:p>
        <a:p>
          <a:r>
            <a:rPr lang="en-US" sz="1100" baseline="0">
              <a:solidFill>
                <a:srgbClr val="0070C0"/>
              </a:solidFill>
            </a:rPr>
            <a:t>-31 counts generated revenue of $2000-30000</a:t>
          </a:r>
        </a:p>
        <a:p>
          <a:r>
            <a:rPr lang="en-US" sz="1100" baseline="0">
              <a:solidFill>
                <a:srgbClr val="0070C0"/>
              </a:solidFill>
            </a:rPr>
            <a:t>-85 counts generated revenue of $1000-2000</a:t>
          </a:r>
        </a:p>
        <a:p>
          <a:r>
            <a:rPr lang="en-US" sz="1100" baseline="0">
              <a:solidFill>
                <a:srgbClr val="0070C0"/>
              </a:solidFill>
            </a:rPr>
            <a:t>-218 counts generated revenue less than $1000</a:t>
          </a:r>
        </a:p>
        <a:p>
          <a:endParaRPr lang="en-US" sz="1100" baseline="0">
            <a:solidFill>
              <a:srgbClr val="0070C0"/>
            </a:solidFill>
          </a:endParaRPr>
        </a:p>
        <a:p>
          <a:r>
            <a:rPr lang="en-US" sz="1100" baseline="0">
              <a:solidFill>
                <a:srgbClr val="0070C0"/>
              </a:solidFill>
            </a:rPr>
            <a:t>PRE-INSIGHTS</a:t>
          </a:r>
        </a:p>
        <a:p>
          <a:r>
            <a:rPr lang="en-US" sz="1100" baseline="0">
              <a:solidFill>
                <a:srgbClr val="0070C0"/>
              </a:solidFill>
            </a:rPr>
            <a:t>-More goods with amounts less than $1000 should be introduced accross all stores</a:t>
          </a:r>
        </a:p>
        <a:p>
          <a:r>
            <a:rPr lang="en-US" sz="1100" baseline="0">
              <a:solidFill>
                <a:srgbClr val="0070C0"/>
              </a:solidFill>
            </a:rPr>
            <a:t>-Goods that spans around beverages,canned meat,dried fruits should be availables always</a:t>
          </a:r>
        </a:p>
        <a:p>
          <a:r>
            <a:rPr lang="en-US" sz="1100" baseline="0">
              <a:solidFill>
                <a:srgbClr val="0070C0"/>
              </a:solidFill>
            </a:rPr>
            <a:t>-Promotional sales should be on goods generating low counts to increase it awearness and revenue</a:t>
          </a:r>
        </a:p>
        <a:p>
          <a:r>
            <a:rPr lang="en-US" sz="1100" baseline="0">
              <a:solidFill>
                <a:srgbClr val="0070C0"/>
              </a:solidFill>
            </a:rPr>
            <a:t>-Customer survey should be carried out on goods with lower counts to assertain the reason for low count.</a:t>
          </a:r>
        </a:p>
        <a:p>
          <a:r>
            <a:rPr lang="en-US" sz="1100" baseline="0">
              <a:solidFill>
                <a:srgbClr val="0070C0"/>
              </a:solidFill>
            </a:rPr>
            <a:t>-Price surve should be carried out on goods with low counts.</a:t>
          </a:r>
        </a:p>
        <a:p>
          <a:endParaRPr lang="en-US" sz="1100"/>
        </a:p>
      </xdr:txBody>
    </xdr:sp>
    <xdr:clientData/>
  </xdr:twoCellAnchor>
  <xdr:twoCellAnchor>
    <xdr:from>
      <xdr:col>32</xdr:col>
      <xdr:colOff>401412</xdr:colOff>
      <xdr:row>0</xdr:row>
      <xdr:rowOff>53973</xdr:rowOff>
    </xdr:from>
    <xdr:to>
      <xdr:col>44</xdr:col>
      <xdr:colOff>408214</xdr:colOff>
      <xdr:row>20</xdr:row>
      <xdr:rowOff>170089</xdr:rowOff>
    </xdr:to>
    <xdr:sp macro="" textlink="">
      <xdr:nvSpPr>
        <xdr:cNvPr id="14" name="Rectangle: Rounded Corners 13">
          <a:extLst>
            <a:ext uri="{FF2B5EF4-FFF2-40B4-BE49-F238E27FC236}">
              <a16:creationId xmlns:a16="http://schemas.microsoft.com/office/drawing/2014/main" id="{3DF7E80C-027F-65E1-50B5-6537CA70B44D}"/>
            </a:ext>
          </a:extLst>
        </xdr:cNvPr>
        <xdr:cNvSpPr/>
      </xdr:nvSpPr>
      <xdr:spPr>
        <a:xfrm>
          <a:off x="19995698" y="53973"/>
          <a:ext cx="7354659" cy="3926116"/>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1">
            <a:solidFill>
              <a:schemeClr val="accent5">
                <a:lumMod val="75000"/>
              </a:schemeClr>
            </a:solidFill>
          </a:endParaRPr>
        </a:p>
      </xdr:txBody>
    </xdr:sp>
    <xdr:clientData/>
  </xdr:twoCellAnchor>
  <xdr:twoCellAnchor>
    <xdr:from>
      <xdr:col>33</xdr:col>
      <xdr:colOff>226786</xdr:colOff>
      <xdr:row>1</xdr:row>
      <xdr:rowOff>90714</xdr:rowOff>
    </xdr:from>
    <xdr:to>
      <xdr:col>44</xdr:col>
      <xdr:colOff>45357</xdr:colOff>
      <xdr:row>20</xdr:row>
      <xdr:rowOff>56696</xdr:rowOff>
    </xdr:to>
    <xdr:sp macro="" textlink="">
      <xdr:nvSpPr>
        <xdr:cNvPr id="15" name="TextBox 14">
          <a:extLst>
            <a:ext uri="{FF2B5EF4-FFF2-40B4-BE49-F238E27FC236}">
              <a16:creationId xmlns:a16="http://schemas.microsoft.com/office/drawing/2014/main" id="{127569FD-918D-1F37-A4D8-12A6AB5C0C96}"/>
            </a:ext>
          </a:extLst>
        </xdr:cNvPr>
        <xdr:cNvSpPr txBox="1"/>
      </xdr:nvSpPr>
      <xdr:spPr>
        <a:xfrm>
          <a:off x="20433393" y="238125"/>
          <a:ext cx="6554107" cy="36285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accent5"/>
              </a:solidFill>
            </a:rPr>
            <a:t>ANALYSIS</a:t>
          </a:r>
          <a:r>
            <a:rPr lang="en-US" sz="1100" baseline="0">
              <a:solidFill>
                <a:schemeClr val="accent5"/>
              </a:solidFill>
            </a:rPr>
            <a:t>-PERFORMANCE BY STATES</a:t>
          </a:r>
        </a:p>
        <a:p>
          <a:endParaRPr lang="en-US" sz="1100" baseline="0">
            <a:solidFill>
              <a:schemeClr val="accent5"/>
            </a:solidFill>
          </a:endParaRPr>
        </a:p>
        <a:p>
          <a:r>
            <a:rPr lang="en-US" sz="1100" baseline="0">
              <a:solidFill>
                <a:schemeClr val="accent5"/>
              </a:solidFill>
            </a:rPr>
            <a:t>OBSERVATIONS</a:t>
          </a:r>
        </a:p>
        <a:p>
          <a:r>
            <a:rPr lang="en-US" sz="1100" baseline="0">
              <a:solidFill>
                <a:schemeClr val="accent5"/>
              </a:solidFill>
            </a:rPr>
            <a:t>-New york is the best performing state with a revenue of $67,180.50</a:t>
          </a:r>
        </a:p>
        <a:p>
          <a:r>
            <a:rPr lang="en-US" sz="1100" baseline="0">
              <a:solidFill>
                <a:schemeClr val="accent5"/>
              </a:solidFill>
            </a:rPr>
            <a:t>-Neveda is the least performing state with a revenue of $15,365.50</a:t>
          </a:r>
        </a:p>
        <a:p>
          <a:r>
            <a:rPr lang="en-US" sz="1100" baseline="0">
              <a:solidFill>
                <a:schemeClr val="accent5"/>
              </a:solidFill>
            </a:rPr>
            <a:t>-Idaho and Colorado also under performed generating a revenue of $17,201.00 and $16,350.50 respectively</a:t>
          </a:r>
        </a:p>
        <a:p>
          <a:r>
            <a:rPr lang="en-US" sz="1100" baseline="0">
              <a:solidFill>
                <a:schemeClr val="accent5"/>
              </a:solidFill>
            </a:rPr>
            <a:t>-Florida and Oregon, had a good performance of generating a revenue of $50,208.35 and $50,145.33 respectively</a:t>
          </a:r>
        </a:p>
        <a:p>
          <a:r>
            <a:rPr lang="en-US" sz="1100" baseline="0">
              <a:solidFill>
                <a:schemeClr val="accent5"/>
              </a:solidFill>
            </a:rPr>
            <a:t>-Tennesis and Illinois generated revenue of $43,713.00 and $41,095.01 respectively</a:t>
          </a:r>
        </a:p>
        <a:p>
          <a:r>
            <a:rPr lang="en-US" sz="1100" baseline="0">
              <a:solidFill>
                <a:schemeClr val="accent5"/>
              </a:solidFill>
            </a:rPr>
            <a:t>-Utah, Washinton, Willigton generated revenue of $32,530.60, $36,839.99, and $37,428.00 respectively</a:t>
          </a:r>
        </a:p>
        <a:p>
          <a:r>
            <a:rPr lang="en-US" sz="1100" baseline="0">
              <a:solidFill>
                <a:schemeClr val="accent5"/>
              </a:solidFill>
            </a:rPr>
            <a:t>-Carlifonia generated a revenue of $27,005.38</a:t>
          </a:r>
        </a:p>
        <a:p>
          <a:endParaRPr lang="en-US" sz="1100" baseline="0">
            <a:solidFill>
              <a:schemeClr val="accent5"/>
            </a:solidFill>
          </a:endParaRPr>
        </a:p>
        <a:p>
          <a:r>
            <a:rPr lang="en-US" sz="1100" baseline="0">
              <a:solidFill>
                <a:schemeClr val="accent5"/>
              </a:solidFill>
            </a:rPr>
            <a:t>PRE INSIGHTS</a:t>
          </a:r>
        </a:p>
        <a:p>
          <a:r>
            <a:rPr lang="en-US" sz="1100" baseline="0">
              <a:solidFill>
                <a:schemeClr val="accent5"/>
              </a:solidFill>
            </a:rPr>
            <a:t>-New york is the best performing state</a:t>
          </a:r>
        </a:p>
        <a:p>
          <a:r>
            <a:rPr lang="en-US" sz="1100" baseline="0">
              <a:solidFill>
                <a:schemeClr val="accent5"/>
              </a:solidFill>
            </a:rPr>
            <a:t>-Instead of employing more staffs in New York outlets, more stores should be open in New York</a:t>
          </a:r>
        </a:p>
        <a:p>
          <a:r>
            <a:rPr lang="en-US" sz="1100" baseline="0">
              <a:solidFill>
                <a:schemeClr val="accent5"/>
              </a:solidFill>
            </a:rPr>
            <a:t>-Internal Auditing should be carried out in Neveda store to detect the reason for low sales turn out</a:t>
          </a:r>
        </a:p>
        <a:p>
          <a:r>
            <a:rPr lang="en-US" sz="1100" baseline="0">
              <a:solidFill>
                <a:schemeClr val="accent5"/>
              </a:solidFill>
            </a:rPr>
            <a:t>-More goods should be shipped to New York to boost revenue</a:t>
          </a:r>
        </a:p>
        <a:p>
          <a:r>
            <a:rPr lang="en-US" sz="1100" baseline="0">
              <a:solidFill>
                <a:schemeClr val="accent5"/>
              </a:solidFill>
            </a:rPr>
            <a:t>-Customer survey should be carried out on states with low sales performance</a:t>
          </a:r>
        </a:p>
        <a:p>
          <a:r>
            <a:rPr lang="en-US" sz="1100" baseline="0">
              <a:solidFill>
                <a:schemeClr val="accent5"/>
              </a:solidFill>
            </a:rPr>
            <a:t>-Sales strategies implemented in New York should employed in least performing states.</a:t>
          </a:r>
        </a:p>
        <a:p>
          <a:endParaRPr lang="en-US" sz="1100" baseline="0">
            <a:solidFill>
              <a:schemeClr val="accent5"/>
            </a:solidFill>
          </a:endParaRPr>
        </a:p>
        <a:p>
          <a:endParaRPr lang="en-US" sz="1100" baseline="0">
            <a:solidFill>
              <a:schemeClr val="accent5"/>
            </a:solidFill>
          </a:endParaRPr>
        </a:p>
      </xdr:txBody>
    </xdr:sp>
    <xdr:clientData/>
  </xdr:twoCellAnchor>
  <xdr:twoCellAnchor>
    <xdr:from>
      <xdr:col>33</xdr:col>
      <xdr:colOff>311150</xdr:colOff>
      <xdr:row>22</xdr:row>
      <xdr:rowOff>27667</xdr:rowOff>
    </xdr:from>
    <xdr:to>
      <xdr:col>45</xdr:col>
      <xdr:colOff>265793</xdr:colOff>
      <xdr:row>41</xdr:row>
      <xdr:rowOff>163738</xdr:rowOff>
    </xdr:to>
    <xdr:sp macro="" textlink="">
      <xdr:nvSpPr>
        <xdr:cNvPr id="17" name="Rectangle: Rounded Corners 16">
          <a:extLst>
            <a:ext uri="{FF2B5EF4-FFF2-40B4-BE49-F238E27FC236}">
              <a16:creationId xmlns:a16="http://schemas.microsoft.com/office/drawing/2014/main" id="{1AAF50D9-3DCB-00B9-02FE-1B808A13C27E}"/>
            </a:ext>
          </a:extLst>
        </xdr:cNvPr>
        <xdr:cNvSpPr/>
      </xdr:nvSpPr>
      <xdr:spPr>
        <a:xfrm>
          <a:off x="20517757" y="4223203"/>
          <a:ext cx="7302500" cy="3798660"/>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1"/>
        </a:p>
      </xdr:txBody>
    </xdr:sp>
    <xdr:clientData/>
  </xdr:twoCellAnchor>
  <xdr:twoCellAnchor>
    <xdr:from>
      <xdr:col>34</xdr:col>
      <xdr:colOff>204107</xdr:colOff>
      <xdr:row>24</xdr:row>
      <xdr:rowOff>45358</xdr:rowOff>
    </xdr:from>
    <xdr:to>
      <xdr:col>44</xdr:col>
      <xdr:colOff>204107</xdr:colOff>
      <xdr:row>41</xdr:row>
      <xdr:rowOff>0</xdr:rowOff>
    </xdr:to>
    <xdr:sp macro="" textlink="">
      <xdr:nvSpPr>
        <xdr:cNvPr id="18" name="TextBox 17">
          <a:extLst>
            <a:ext uri="{FF2B5EF4-FFF2-40B4-BE49-F238E27FC236}">
              <a16:creationId xmlns:a16="http://schemas.microsoft.com/office/drawing/2014/main" id="{5561EA14-0438-B637-F180-113B0CFB5372}"/>
            </a:ext>
          </a:extLst>
        </xdr:cNvPr>
        <xdr:cNvSpPr txBox="1"/>
      </xdr:nvSpPr>
      <xdr:spPr>
        <a:xfrm>
          <a:off x="21023036" y="4626429"/>
          <a:ext cx="6123214" cy="3231696"/>
        </a:xfrm>
        <a:prstGeom prst="rect">
          <a:avLst/>
        </a:prstGeom>
        <a:solidFill>
          <a:schemeClr val="accent5">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ANALYSIS-TOP</a:t>
          </a:r>
          <a:r>
            <a:rPr lang="en-US" sz="1100" baseline="0">
              <a:solidFill>
                <a:schemeClr val="bg1"/>
              </a:solidFill>
            </a:rPr>
            <a:t> 5 CITIES </a:t>
          </a:r>
        </a:p>
        <a:p>
          <a:endParaRPr lang="en-US" sz="1100" baseline="0">
            <a:solidFill>
              <a:schemeClr val="bg1"/>
            </a:solidFill>
          </a:endParaRPr>
        </a:p>
        <a:p>
          <a:r>
            <a:rPr lang="en-US" sz="1100" baseline="0">
              <a:solidFill>
                <a:schemeClr val="bg1"/>
              </a:solidFill>
            </a:rPr>
            <a:t>OBSERVATIONS</a:t>
          </a:r>
        </a:p>
        <a:p>
          <a:endParaRPr lang="en-US" sz="1100" baseline="0">
            <a:solidFill>
              <a:schemeClr val="bg1"/>
            </a:solidFill>
          </a:endParaRPr>
        </a:p>
        <a:p>
          <a:r>
            <a:rPr lang="en-US" sz="1100" baseline="0">
              <a:solidFill>
                <a:schemeClr val="bg1"/>
              </a:solidFill>
            </a:rPr>
            <a:t>The top 5 cities are;</a:t>
          </a:r>
        </a:p>
        <a:p>
          <a:endParaRPr lang="en-US" sz="1100" baseline="0">
            <a:solidFill>
              <a:schemeClr val="bg1"/>
            </a:solidFill>
          </a:endParaRPr>
        </a:p>
        <a:p>
          <a:r>
            <a:rPr lang="en-US" sz="1100" baseline="0">
              <a:solidFill>
                <a:schemeClr val="bg1"/>
              </a:solidFill>
            </a:rPr>
            <a:t>New York</a:t>
          </a:r>
        </a:p>
        <a:p>
          <a:r>
            <a:rPr lang="en-US" sz="1100" baseline="0">
              <a:solidFill>
                <a:schemeClr val="bg1"/>
              </a:solidFill>
            </a:rPr>
            <a:t>Port Land</a:t>
          </a:r>
        </a:p>
        <a:p>
          <a:r>
            <a:rPr lang="en-US" sz="1100" baseline="0">
              <a:solidFill>
                <a:schemeClr val="bg1"/>
              </a:solidFill>
            </a:rPr>
            <a:t>Miami</a:t>
          </a:r>
        </a:p>
        <a:p>
          <a:r>
            <a:rPr lang="en-US" sz="1100" baseline="0">
              <a:solidFill>
                <a:schemeClr val="bg1"/>
              </a:solidFill>
            </a:rPr>
            <a:t>Memphis</a:t>
          </a:r>
        </a:p>
        <a:p>
          <a:r>
            <a:rPr lang="en-US" sz="1100" baseline="0">
              <a:solidFill>
                <a:schemeClr val="bg1"/>
              </a:solidFill>
            </a:rPr>
            <a:t>Chicago</a:t>
          </a:r>
        </a:p>
        <a:p>
          <a:endParaRPr lang="en-US" sz="1100" baseline="0">
            <a:solidFill>
              <a:schemeClr val="bg1"/>
            </a:solidFill>
          </a:endParaRPr>
        </a:p>
        <a:p>
          <a:r>
            <a:rPr lang="en-US" sz="1100" baseline="0">
              <a:solidFill>
                <a:schemeClr val="bg1"/>
              </a:solidFill>
            </a:rPr>
            <a:t>PRE INSIGHTS</a:t>
          </a:r>
        </a:p>
        <a:p>
          <a:r>
            <a:rPr lang="en-US" sz="1100" baseline="0">
              <a:solidFill>
                <a:schemeClr val="bg1"/>
              </a:solidFill>
              <a:effectLst/>
              <a:latin typeface="+mn-lt"/>
              <a:ea typeface="+mn-ea"/>
              <a:cs typeface="+mn-cs"/>
            </a:rPr>
            <a:t>-New york is the best performing state</a:t>
          </a:r>
          <a:endParaRPr lang="en-US">
            <a:solidFill>
              <a:schemeClr val="bg1"/>
            </a:solidFill>
            <a:effectLst/>
          </a:endParaRPr>
        </a:p>
        <a:p>
          <a:r>
            <a:rPr lang="en-US" sz="1100" baseline="0">
              <a:solidFill>
                <a:schemeClr val="bg1"/>
              </a:solidFill>
              <a:effectLst/>
              <a:latin typeface="+mn-lt"/>
              <a:ea typeface="+mn-ea"/>
              <a:cs typeface="+mn-cs"/>
            </a:rPr>
            <a:t>-Instead of employing more staffs in New York outlets, more stores should be open in New York</a:t>
          </a:r>
          <a:endParaRPr lang="en-US">
            <a:solidFill>
              <a:schemeClr val="bg1"/>
            </a:solidFill>
            <a:effectLst/>
          </a:endParaRPr>
        </a:p>
        <a:p>
          <a:r>
            <a:rPr lang="en-US" sz="1100">
              <a:solidFill>
                <a:schemeClr val="bg1"/>
              </a:solidFill>
            </a:rPr>
            <a:t>-Sales representatives</a:t>
          </a:r>
          <a:r>
            <a:rPr lang="en-US" sz="1100" baseline="0">
              <a:solidFill>
                <a:schemeClr val="bg1"/>
              </a:solidFill>
            </a:rPr>
            <a:t> in the top 5 cities should be entitled to more sales bonus</a:t>
          </a:r>
        </a:p>
        <a:p>
          <a:r>
            <a:rPr lang="en-US" sz="1100" baseline="0">
              <a:solidFill>
                <a:schemeClr val="bg1"/>
              </a:solidFill>
            </a:rPr>
            <a:t>-Goods generating more revenues for the company should be made available at all time.</a:t>
          </a:r>
          <a:endParaRPr lang="en-US" sz="1100">
            <a:solidFill>
              <a:schemeClr val="bg1"/>
            </a:solidFill>
          </a:endParaRPr>
        </a:p>
      </xdr:txBody>
    </xdr:sp>
    <xdr:clientData/>
  </xdr:twoCellAnchor>
  <xdr:twoCellAnchor>
    <xdr:from>
      <xdr:col>45</xdr:col>
      <xdr:colOff>21319</xdr:colOff>
      <xdr:row>0</xdr:row>
      <xdr:rowOff>123370</xdr:rowOff>
    </xdr:from>
    <xdr:to>
      <xdr:col>56</xdr:col>
      <xdr:colOff>588283</xdr:colOff>
      <xdr:row>20</xdr:row>
      <xdr:rowOff>112030</xdr:rowOff>
    </xdr:to>
    <xdr:sp macro="" textlink="">
      <xdr:nvSpPr>
        <xdr:cNvPr id="19" name="Rectangle: Rounded Corners 18">
          <a:extLst>
            <a:ext uri="{FF2B5EF4-FFF2-40B4-BE49-F238E27FC236}">
              <a16:creationId xmlns:a16="http://schemas.microsoft.com/office/drawing/2014/main" id="{ECEC8CA8-1750-0CAF-A562-C55EF82B988E}"/>
            </a:ext>
          </a:extLst>
        </xdr:cNvPr>
        <xdr:cNvSpPr/>
      </xdr:nvSpPr>
      <xdr:spPr>
        <a:xfrm>
          <a:off x="27575783" y="123370"/>
          <a:ext cx="7302500" cy="3798660"/>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1"/>
        </a:p>
      </xdr:txBody>
    </xdr:sp>
    <xdr:clientData/>
  </xdr:twoCellAnchor>
  <xdr:twoCellAnchor>
    <xdr:from>
      <xdr:col>45</xdr:col>
      <xdr:colOff>544286</xdr:colOff>
      <xdr:row>2</xdr:row>
      <xdr:rowOff>147410</xdr:rowOff>
    </xdr:from>
    <xdr:to>
      <xdr:col>56</xdr:col>
      <xdr:colOff>147411</xdr:colOff>
      <xdr:row>19</xdr:row>
      <xdr:rowOff>22679</xdr:rowOff>
    </xdr:to>
    <xdr:sp macro="" textlink="">
      <xdr:nvSpPr>
        <xdr:cNvPr id="20" name="TextBox 19">
          <a:extLst>
            <a:ext uri="{FF2B5EF4-FFF2-40B4-BE49-F238E27FC236}">
              <a16:creationId xmlns:a16="http://schemas.microsoft.com/office/drawing/2014/main" id="{D3D566BC-24C9-4ED9-FDCD-9FB2AE76ECB4}"/>
            </a:ext>
          </a:extLst>
        </xdr:cNvPr>
        <xdr:cNvSpPr txBox="1"/>
      </xdr:nvSpPr>
      <xdr:spPr>
        <a:xfrm>
          <a:off x="28098750" y="487589"/>
          <a:ext cx="6338661" cy="3152322"/>
        </a:xfrm>
        <a:prstGeom prst="rect">
          <a:avLst/>
        </a:prstGeom>
        <a:solidFill>
          <a:schemeClr val="accent5">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ANALYSIS-TOP</a:t>
          </a:r>
          <a:r>
            <a:rPr lang="en-US" sz="1100" baseline="0">
              <a:solidFill>
                <a:schemeClr val="bg1"/>
              </a:solidFill>
            </a:rPr>
            <a:t> 6 SHIP CITIES</a:t>
          </a:r>
        </a:p>
        <a:p>
          <a:endParaRPr lang="en-US" sz="1100" baseline="0">
            <a:solidFill>
              <a:schemeClr val="bg1"/>
            </a:solidFill>
          </a:endParaRPr>
        </a:p>
        <a:p>
          <a:r>
            <a:rPr lang="en-US" sz="1100" baseline="0">
              <a:solidFill>
                <a:schemeClr val="bg1"/>
              </a:solidFill>
            </a:rPr>
            <a:t>OBSERVATIONS</a:t>
          </a:r>
        </a:p>
        <a:p>
          <a:r>
            <a:rPr lang="en-US" sz="1100" baseline="0">
              <a:solidFill>
                <a:schemeClr val="bg1"/>
              </a:solidFill>
            </a:rPr>
            <a:t>-The top six ship cities are;</a:t>
          </a:r>
        </a:p>
        <a:p>
          <a:r>
            <a:rPr lang="en-US" sz="1100" baseline="0">
              <a:solidFill>
                <a:schemeClr val="bg1"/>
              </a:solidFill>
            </a:rPr>
            <a:t>New York generating a revenue of $67,180.50</a:t>
          </a:r>
        </a:p>
        <a:p>
          <a:r>
            <a:rPr lang="en-US" sz="1100" baseline="0">
              <a:solidFill>
                <a:schemeClr val="bg1"/>
              </a:solidFill>
            </a:rPr>
            <a:t>portland  generating a revenue of $50,208.33</a:t>
          </a:r>
        </a:p>
        <a:p>
          <a:r>
            <a:rPr lang="en-US" sz="1100" baseline="0">
              <a:solidFill>
                <a:schemeClr val="bg1"/>
              </a:solidFill>
            </a:rPr>
            <a:t>Miami generating a revenue of $50,145.33</a:t>
          </a:r>
        </a:p>
        <a:p>
          <a:r>
            <a:rPr lang="en-US" sz="1100" baseline="0">
              <a:solidFill>
                <a:schemeClr val="bg1"/>
              </a:solidFill>
            </a:rPr>
            <a:t>Memphis generating a revenue of $43,713.00</a:t>
          </a:r>
        </a:p>
        <a:p>
          <a:r>
            <a:rPr lang="en-US" sz="1100" baseline="0">
              <a:solidFill>
                <a:schemeClr val="bg1"/>
              </a:solidFill>
            </a:rPr>
            <a:t>chicago generating a revenue of $41,095.01</a:t>
          </a:r>
        </a:p>
        <a:p>
          <a:r>
            <a:rPr lang="en-US" sz="1100" baseline="0">
              <a:solidFill>
                <a:schemeClr val="bg1"/>
              </a:solidFill>
            </a:rPr>
            <a:t>Milwaukee generating a revenue of $37,428.00</a:t>
          </a:r>
        </a:p>
        <a:p>
          <a:endParaRPr lang="en-US" sz="1100" baseline="0">
            <a:solidFill>
              <a:schemeClr val="bg1"/>
            </a:solidFill>
          </a:endParaRPr>
        </a:p>
        <a:p>
          <a:r>
            <a:rPr lang="en-US" sz="1100" baseline="0">
              <a:solidFill>
                <a:schemeClr val="bg1"/>
              </a:solidFill>
            </a:rPr>
            <a:t>PRE INSIGHTS</a:t>
          </a:r>
        </a:p>
        <a:p>
          <a:endParaRPr lang="en-US" sz="1100" baseline="0">
            <a:solidFill>
              <a:schemeClr val="bg1"/>
            </a:solidFill>
          </a:endParaRPr>
        </a:p>
        <a:p>
          <a:r>
            <a:rPr lang="en-US" sz="1100" baseline="0">
              <a:solidFill>
                <a:schemeClr val="bg1"/>
              </a:solidFill>
            </a:rPr>
            <a:t>-More goods should be shipped to the top 6 ships cities.</a:t>
          </a:r>
        </a:p>
        <a:p>
          <a:endParaRPr lang="en-US" sz="1100">
            <a:solidFill>
              <a:schemeClr val="bg1"/>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380999</xdr:colOff>
      <xdr:row>1</xdr:row>
      <xdr:rowOff>57150</xdr:rowOff>
    </xdr:from>
    <xdr:to>
      <xdr:col>15</xdr:col>
      <xdr:colOff>161925</xdr:colOff>
      <xdr:row>19</xdr:row>
      <xdr:rowOff>38100</xdr:rowOff>
    </xdr:to>
    <xdr:graphicFrame macro="">
      <xdr:nvGraphicFramePr>
        <xdr:cNvPr id="2" name="Chart 1">
          <a:extLst>
            <a:ext uri="{FF2B5EF4-FFF2-40B4-BE49-F238E27FC236}">
              <a16:creationId xmlns:a16="http://schemas.microsoft.com/office/drawing/2014/main" id="{26C05CCA-78A6-4ABE-A05E-9A748F5105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1142998</xdr:colOff>
      <xdr:row>2</xdr:row>
      <xdr:rowOff>38100</xdr:rowOff>
    </xdr:from>
    <xdr:to>
      <xdr:col>13</xdr:col>
      <xdr:colOff>476249</xdr:colOff>
      <xdr:row>17</xdr:row>
      <xdr:rowOff>114300</xdr:rowOff>
    </xdr:to>
    <xdr:graphicFrame macro="">
      <xdr:nvGraphicFramePr>
        <xdr:cNvPr id="2" name="Chart 1">
          <a:extLst>
            <a:ext uri="{FF2B5EF4-FFF2-40B4-BE49-F238E27FC236}">
              <a16:creationId xmlns:a16="http://schemas.microsoft.com/office/drawing/2014/main" id="{FBE1737E-30EE-C699-9395-338AF43F9C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142874</xdr:colOff>
      <xdr:row>5</xdr:row>
      <xdr:rowOff>161925</xdr:rowOff>
    </xdr:from>
    <xdr:to>
      <xdr:col>12</xdr:col>
      <xdr:colOff>333375</xdr:colOff>
      <xdr:row>16</xdr:row>
      <xdr:rowOff>95251</xdr:rowOff>
    </xdr:to>
    <xdr:graphicFrame macro="">
      <xdr:nvGraphicFramePr>
        <xdr:cNvPr id="2" name="Chart 1">
          <a:extLst>
            <a:ext uri="{FF2B5EF4-FFF2-40B4-BE49-F238E27FC236}">
              <a16:creationId xmlns:a16="http://schemas.microsoft.com/office/drawing/2014/main" id="{4C36353A-9393-451F-83DB-678B6F1FBF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428625</xdr:colOff>
      <xdr:row>3</xdr:row>
      <xdr:rowOff>152400</xdr:rowOff>
    </xdr:from>
    <xdr:to>
      <xdr:col>15</xdr:col>
      <xdr:colOff>447675</xdr:colOff>
      <xdr:row>19</xdr:row>
      <xdr:rowOff>38100</xdr:rowOff>
    </xdr:to>
    <xdr:graphicFrame macro="">
      <xdr:nvGraphicFramePr>
        <xdr:cNvPr id="2" name="Chart 1">
          <a:extLst>
            <a:ext uri="{FF2B5EF4-FFF2-40B4-BE49-F238E27FC236}">
              <a16:creationId xmlns:a16="http://schemas.microsoft.com/office/drawing/2014/main" id="{3204C5B1-4D09-4F14-B6B0-7DEA69D711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114300</xdr:colOff>
      <xdr:row>3</xdr:row>
      <xdr:rowOff>142875</xdr:rowOff>
    </xdr:from>
    <xdr:to>
      <xdr:col>24</xdr:col>
      <xdr:colOff>304800</xdr:colOff>
      <xdr:row>20</xdr:row>
      <xdr:rowOff>180975</xdr:rowOff>
    </xdr:to>
    <xdr:graphicFrame macro="">
      <xdr:nvGraphicFramePr>
        <xdr:cNvPr id="4" name="Chart 3">
          <a:extLst>
            <a:ext uri="{FF2B5EF4-FFF2-40B4-BE49-F238E27FC236}">
              <a16:creationId xmlns:a16="http://schemas.microsoft.com/office/drawing/2014/main" id="{5D93B9D0-7135-0CBB-9DF8-90DD43DBB9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438149</xdr:colOff>
      <xdr:row>3</xdr:row>
      <xdr:rowOff>95250</xdr:rowOff>
    </xdr:from>
    <xdr:to>
      <xdr:col>17</xdr:col>
      <xdr:colOff>571500</xdr:colOff>
      <xdr:row>19</xdr:row>
      <xdr:rowOff>38100</xdr:rowOff>
    </xdr:to>
    <xdr:graphicFrame macro="">
      <xdr:nvGraphicFramePr>
        <xdr:cNvPr id="2" name="Chart 1">
          <a:extLst>
            <a:ext uri="{FF2B5EF4-FFF2-40B4-BE49-F238E27FC236}">
              <a16:creationId xmlns:a16="http://schemas.microsoft.com/office/drawing/2014/main" id="{B321B329-6A41-48C9-9207-B2FD11100E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209550</xdr:colOff>
      <xdr:row>1</xdr:row>
      <xdr:rowOff>161925</xdr:rowOff>
    </xdr:from>
    <xdr:to>
      <xdr:col>11</xdr:col>
      <xdr:colOff>542926</xdr:colOff>
      <xdr:row>19</xdr:row>
      <xdr:rowOff>104775</xdr:rowOff>
    </xdr:to>
    <xdr:graphicFrame macro="">
      <xdr:nvGraphicFramePr>
        <xdr:cNvPr id="2" name="Chart 1">
          <a:extLst>
            <a:ext uri="{FF2B5EF4-FFF2-40B4-BE49-F238E27FC236}">
              <a16:creationId xmlns:a16="http://schemas.microsoft.com/office/drawing/2014/main" id="{6261E33F-F845-3819-A4D5-672200DA1C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514350</xdr:colOff>
      <xdr:row>1</xdr:row>
      <xdr:rowOff>142875</xdr:rowOff>
    </xdr:from>
    <xdr:to>
      <xdr:col>10</xdr:col>
      <xdr:colOff>504064</xdr:colOff>
      <xdr:row>17</xdr:row>
      <xdr:rowOff>113923</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514350" y="333375"/>
          <a:ext cx="6085714" cy="3019048"/>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3</xdr:col>
      <xdr:colOff>161924</xdr:colOff>
      <xdr:row>2</xdr:row>
      <xdr:rowOff>95250</xdr:rowOff>
    </xdr:from>
    <xdr:to>
      <xdr:col>11</xdr:col>
      <xdr:colOff>85725</xdr:colOff>
      <xdr:row>20</xdr:row>
      <xdr:rowOff>171450</xdr:rowOff>
    </xdr:to>
    <xdr:graphicFrame macro="">
      <xdr:nvGraphicFramePr>
        <xdr:cNvPr id="2" name="Chart 1">
          <a:extLst>
            <a:ext uri="{FF2B5EF4-FFF2-40B4-BE49-F238E27FC236}">
              <a16:creationId xmlns:a16="http://schemas.microsoft.com/office/drawing/2014/main" id="{1A67A683-F616-49C5-9B19-6976B50A39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28</xdr:col>
      <xdr:colOff>366346</xdr:colOff>
      <xdr:row>8</xdr:row>
      <xdr:rowOff>0</xdr:rowOff>
    </xdr:from>
    <xdr:to>
      <xdr:col>35</xdr:col>
      <xdr:colOff>494568</xdr:colOff>
      <xdr:row>47</xdr:row>
      <xdr:rowOff>91587</xdr:rowOff>
    </xdr:to>
    <xdr:sp macro="" textlink="">
      <xdr:nvSpPr>
        <xdr:cNvPr id="34" name="Rectangle: Rounded Corners 33">
          <a:extLst>
            <a:ext uri="{FF2B5EF4-FFF2-40B4-BE49-F238E27FC236}">
              <a16:creationId xmlns:a16="http://schemas.microsoft.com/office/drawing/2014/main" id="{7DB7E621-EAEE-E0C5-951C-68D05895BF1B}"/>
            </a:ext>
          </a:extLst>
        </xdr:cNvPr>
        <xdr:cNvSpPr/>
      </xdr:nvSpPr>
      <xdr:spPr>
        <a:xfrm>
          <a:off x="17291538" y="1611923"/>
          <a:ext cx="4359520" cy="7235337"/>
        </a:xfrm>
        <a:prstGeom prst="roundRect">
          <a:avLst>
            <a:gd name="adj" fmla="val 2167"/>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128221</xdr:colOff>
      <xdr:row>0</xdr:row>
      <xdr:rowOff>73269</xdr:rowOff>
    </xdr:from>
    <xdr:to>
      <xdr:col>39</xdr:col>
      <xdr:colOff>512885</xdr:colOff>
      <xdr:row>2</xdr:row>
      <xdr:rowOff>36635</xdr:rowOff>
    </xdr:to>
    <xdr:sp macro="" textlink="">
      <xdr:nvSpPr>
        <xdr:cNvPr id="2" name="Rectangle: Rounded Corners 1">
          <a:extLst>
            <a:ext uri="{FF2B5EF4-FFF2-40B4-BE49-F238E27FC236}">
              <a16:creationId xmlns:a16="http://schemas.microsoft.com/office/drawing/2014/main" id="{71BA3733-CC4B-49FD-8C04-FDDDFDCC3FBA}"/>
            </a:ext>
          </a:extLst>
        </xdr:cNvPr>
        <xdr:cNvSpPr/>
      </xdr:nvSpPr>
      <xdr:spPr>
        <a:xfrm>
          <a:off x="128221" y="73269"/>
          <a:ext cx="23959039" cy="384664"/>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accent5">
                  <a:lumMod val="50000"/>
                </a:schemeClr>
              </a:solidFill>
              <a:latin typeface="Arial" panose="020B0604020202020204" pitchFamily="34" charset="0"/>
              <a:cs typeface="Arial" panose="020B0604020202020204" pitchFamily="34" charset="0"/>
            </a:rPr>
            <a:t>FLUTTERCO GROUP OF COMPANIES SALES REPORT FOR THE YEAR 2022</a:t>
          </a:r>
        </a:p>
      </xdr:txBody>
    </xdr:sp>
    <xdr:clientData/>
  </xdr:twoCellAnchor>
  <xdr:twoCellAnchor>
    <xdr:from>
      <xdr:col>17</xdr:col>
      <xdr:colOff>109903</xdr:colOff>
      <xdr:row>8</xdr:row>
      <xdr:rowOff>0</xdr:rowOff>
    </xdr:from>
    <xdr:to>
      <xdr:col>28</xdr:col>
      <xdr:colOff>238125</xdr:colOff>
      <xdr:row>24</xdr:row>
      <xdr:rowOff>91587</xdr:rowOff>
    </xdr:to>
    <xdr:graphicFrame macro="">
      <xdr:nvGraphicFramePr>
        <xdr:cNvPr id="4" name="Chart 3">
          <a:extLst>
            <a:ext uri="{FF2B5EF4-FFF2-40B4-BE49-F238E27FC236}">
              <a16:creationId xmlns:a16="http://schemas.microsoft.com/office/drawing/2014/main" id="{BC1D81AD-9184-4363-935A-2749BAB154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476250</xdr:colOff>
      <xdr:row>48</xdr:row>
      <xdr:rowOff>164856</xdr:rowOff>
    </xdr:from>
    <xdr:to>
      <xdr:col>35</xdr:col>
      <xdr:colOff>457933</xdr:colOff>
      <xdr:row>64</xdr:row>
      <xdr:rowOff>18318</xdr:rowOff>
    </xdr:to>
    <xdr:graphicFrame macro="">
      <xdr:nvGraphicFramePr>
        <xdr:cNvPr id="5" name="Chart 4">
          <a:extLst>
            <a:ext uri="{FF2B5EF4-FFF2-40B4-BE49-F238E27FC236}">
              <a16:creationId xmlns:a16="http://schemas.microsoft.com/office/drawing/2014/main" id="{14D5719C-1EB4-4107-993B-315E7796BB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457933</xdr:colOff>
      <xdr:row>25</xdr:row>
      <xdr:rowOff>91587</xdr:rowOff>
    </xdr:from>
    <xdr:to>
      <xdr:col>28</xdr:col>
      <xdr:colOff>256443</xdr:colOff>
      <xdr:row>47</xdr:row>
      <xdr:rowOff>128221</xdr:rowOff>
    </xdr:to>
    <xdr:graphicFrame macro="">
      <xdr:nvGraphicFramePr>
        <xdr:cNvPr id="6" name="Chart 5">
          <a:extLst>
            <a:ext uri="{FF2B5EF4-FFF2-40B4-BE49-F238E27FC236}">
              <a16:creationId xmlns:a16="http://schemas.microsoft.com/office/drawing/2014/main" id="{B168AC0B-62D9-4791-A7A9-5810F2290E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146540</xdr:colOff>
      <xdr:row>48</xdr:row>
      <xdr:rowOff>164856</xdr:rowOff>
    </xdr:from>
    <xdr:to>
      <xdr:col>19</xdr:col>
      <xdr:colOff>348028</xdr:colOff>
      <xdr:row>64</xdr:row>
      <xdr:rowOff>91587</xdr:rowOff>
    </xdr:to>
    <xdr:graphicFrame macro="">
      <xdr:nvGraphicFramePr>
        <xdr:cNvPr id="8" name="Chart 7">
          <a:extLst>
            <a:ext uri="{FF2B5EF4-FFF2-40B4-BE49-F238E27FC236}">
              <a16:creationId xmlns:a16="http://schemas.microsoft.com/office/drawing/2014/main" id="{57C717AF-102E-432A-9C20-A8447872AB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146538</xdr:colOff>
      <xdr:row>25</xdr:row>
      <xdr:rowOff>109903</xdr:rowOff>
    </xdr:from>
    <xdr:to>
      <xdr:col>13</xdr:col>
      <xdr:colOff>348028</xdr:colOff>
      <xdr:row>47</xdr:row>
      <xdr:rowOff>183172</xdr:rowOff>
    </xdr:to>
    <xdr:graphicFrame macro="">
      <xdr:nvGraphicFramePr>
        <xdr:cNvPr id="9" name="Chart 8">
          <a:extLst>
            <a:ext uri="{FF2B5EF4-FFF2-40B4-BE49-F238E27FC236}">
              <a16:creationId xmlns:a16="http://schemas.microsoft.com/office/drawing/2014/main" id="{362D8142-E396-4920-9617-7BCBDB3DA9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512886</xdr:colOff>
      <xdr:row>2</xdr:row>
      <xdr:rowOff>91587</xdr:rowOff>
    </xdr:from>
    <xdr:to>
      <xdr:col>35</xdr:col>
      <xdr:colOff>512885</xdr:colOff>
      <xdr:row>7</xdr:row>
      <xdr:rowOff>54953</xdr:rowOff>
    </xdr:to>
    <xdr:sp macro="" textlink="">
      <xdr:nvSpPr>
        <xdr:cNvPr id="10" name="Rectangle: Rounded Corners 9">
          <a:extLst>
            <a:ext uri="{FF2B5EF4-FFF2-40B4-BE49-F238E27FC236}">
              <a16:creationId xmlns:a16="http://schemas.microsoft.com/office/drawing/2014/main" id="{14A0150F-3ADE-49D6-8E07-624C160ACD70}"/>
            </a:ext>
          </a:extLst>
        </xdr:cNvPr>
        <xdr:cNvSpPr/>
      </xdr:nvSpPr>
      <xdr:spPr>
        <a:xfrm>
          <a:off x="18042549" y="512885"/>
          <a:ext cx="3626826" cy="970818"/>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rgbClr val="002060"/>
              </a:solidFill>
              <a:latin typeface="Arial" panose="020B0604020202020204" pitchFamily="34" charset="0"/>
              <a:cs typeface="Arial" panose="020B0604020202020204" pitchFamily="34" charset="0"/>
            </a:rPr>
            <a:t>SOLD</a:t>
          </a:r>
          <a:r>
            <a:rPr lang="en-US" sz="1200" baseline="0">
              <a:solidFill>
                <a:srgbClr val="002060"/>
              </a:solidFill>
              <a:latin typeface="Arial" panose="020B0604020202020204" pitchFamily="34" charset="0"/>
              <a:cs typeface="Arial" panose="020B0604020202020204" pitchFamily="34" charset="0"/>
            </a:rPr>
            <a:t> OUT PRODUCT FOR THE YEAR 22'</a:t>
          </a:r>
        </a:p>
        <a:p>
          <a:pPr algn="ctr"/>
          <a:r>
            <a:rPr lang="en-US" sz="1200" baseline="0">
              <a:solidFill>
                <a:srgbClr val="002060"/>
              </a:solidFill>
              <a:latin typeface="Arial" panose="020B0604020202020204" pitchFamily="34" charset="0"/>
              <a:cs typeface="Arial" panose="020B0604020202020204" pitchFamily="34" charset="0"/>
            </a:rPr>
            <a:t>BEVERAGES</a:t>
          </a:r>
          <a:endParaRPr lang="en-US" sz="1200">
            <a:solidFill>
              <a:srgbClr val="002060"/>
            </a:solidFill>
            <a:latin typeface="Arial" panose="020B0604020202020204" pitchFamily="34" charset="0"/>
            <a:cs typeface="Arial" panose="020B0604020202020204" pitchFamily="34" charset="0"/>
          </a:endParaRPr>
        </a:p>
      </xdr:txBody>
    </xdr:sp>
    <xdr:clientData/>
  </xdr:twoCellAnchor>
  <xdr:twoCellAnchor>
    <xdr:from>
      <xdr:col>24</xdr:col>
      <xdr:colOff>476250</xdr:colOff>
      <xdr:row>2</xdr:row>
      <xdr:rowOff>109903</xdr:rowOff>
    </xdr:from>
    <xdr:to>
      <xdr:col>29</xdr:col>
      <xdr:colOff>376599</xdr:colOff>
      <xdr:row>7</xdr:row>
      <xdr:rowOff>46895</xdr:rowOff>
    </xdr:to>
    <xdr:sp macro="" textlink="">
      <xdr:nvSpPr>
        <xdr:cNvPr id="11" name="Rectangle: Rounded Corners 10">
          <a:extLst>
            <a:ext uri="{FF2B5EF4-FFF2-40B4-BE49-F238E27FC236}">
              <a16:creationId xmlns:a16="http://schemas.microsoft.com/office/drawing/2014/main" id="{796C7F94-2FC7-4398-B647-0A6C8F9D5C50}"/>
            </a:ext>
          </a:extLst>
        </xdr:cNvPr>
        <xdr:cNvSpPr/>
      </xdr:nvSpPr>
      <xdr:spPr>
        <a:xfrm>
          <a:off x="14983558" y="531201"/>
          <a:ext cx="2922704" cy="944444"/>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chemeClr val="accent5">
                  <a:lumMod val="50000"/>
                </a:schemeClr>
              </a:solidFill>
              <a:latin typeface="Garamond" panose="02020404030301010803" pitchFamily="18" charset="0"/>
            </a:rPr>
            <a:t> </a:t>
          </a:r>
          <a:r>
            <a:rPr lang="en-US" sz="1200">
              <a:solidFill>
                <a:srgbClr val="002060"/>
              </a:solidFill>
              <a:latin typeface="Arial" panose="020B0604020202020204" pitchFamily="34" charset="0"/>
              <a:cs typeface="Arial" panose="020B0604020202020204" pitchFamily="34" charset="0"/>
            </a:rPr>
            <a:t>OUTSTANDING SALES REP FOR</a:t>
          </a:r>
          <a:r>
            <a:rPr lang="en-US" sz="1200" baseline="0">
              <a:solidFill>
                <a:srgbClr val="002060"/>
              </a:solidFill>
              <a:latin typeface="Arial" panose="020B0604020202020204" pitchFamily="34" charset="0"/>
              <a:cs typeface="Arial" panose="020B0604020202020204" pitchFamily="34" charset="0"/>
            </a:rPr>
            <a:t> THE YEAR 22</a:t>
          </a:r>
        </a:p>
        <a:p>
          <a:pPr algn="ctr"/>
          <a:r>
            <a:rPr lang="en-US" sz="1200" baseline="0">
              <a:solidFill>
                <a:srgbClr val="002060"/>
              </a:solidFill>
              <a:latin typeface="Arial" panose="020B0604020202020204" pitchFamily="34" charset="0"/>
              <a:cs typeface="Arial" panose="020B0604020202020204" pitchFamily="34" charset="0"/>
            </a:rPr>
            <a:t>NANCY</a:t>
          </a:r>
          <a:endParaRPr lang="en-US" sz="1200">
            <a:solidFill>
              <a:srgbClr val="002060"/>
            </a:solidFill>
            <a:latin typeface="Arial" panose="020B0604020202020204" pitchFamily="34" charset="0"/>
            <a:cs typeface="Arial" panose="020B0604020202020204" pitchFamily="34" charset="0"/>
          </a:endParaRPr>
        </a:p>
      </xdr:txBody>
    </xdr:sp>
    <xdr:clientData/>
  </xdr:twoCellAnchor>
  <xdr:twoCellAnchor>
    <xdr:from>
      <xdr:col>19</xdr:col>
      <xdr:colOff>402980</xdr:colOff>
      <xdr:row>2</xdr:row>
      <xdr:rowOff>109903</xdr:rowOff>
    </xdr:from>
    <xdr:to>
      <xdr:col>24</xdr:col>
      <xdr:colOff>384663</xdr:colOff>
      <xdr:row>7</xdr:row>
      <xdr:rowOff>34440</xdr:rowOff>
    </xdr:to>
    <xdr:sp macro="" textlink="">
      <xdr:nvSpPr>
        <xdr:cNvPr id="12" name="Rectangle: Rounded Corners 11">
          <a:extLst>
            <a:ext uri="{FF2B5EF4-FFF2-40B4-BE49-F238E27FC236}">
              <a16:creationId xmlns:a16="http://schemas.microsoft.com/office/drawing/2014/main" id="{C3404B4C-3F8B-4313-8711-329A9A48300B}"/>
            </a:ext>
          </a:extLst>
        </xdr:cNvPr>
        <xdr:cNvSpPr/>
      </xdr:nvSpPr>
      <xdr:spPr>
        <a:xfrm>
          <a:off x="11887932" y="531201"/>
          <a:ext cx="3004039" cy="931989"/>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rgbClr val="002060"/>
              </a:solidFill>
              <a:latin typeface="Arial" panose="020B0604020202020204" pitchFamily="34" charset="0"/>
              <a:cs typeface="Arial" panose="020B0604020202020204" pitchFamily="34" charset="0"/>
            </a:rPr>
            <a:t>HIGHEST TRANSACTION</a:t>
          </a:r>
          <a:r>
            <a:rPr lang="en-US" sz="1200" baseline="0">
              <a:solidFill>
                <a:srgbClr val="002060"/>
              </a:solidFill>
              <a:latin typeface="Arial" panose="020B0604020202020204" pitchFamily="34" charset="0"/>
              <a:cs typeface="Arial" panose="020B0604020202020204" pitchFamily="34" charset="0"/>
            </a:rPr>
            <a:t> BY AMOUNT FOR THE YEAR 22</a:t>
          </a:r>
          <a:endParaRPr lang="en-US" sz="1200">
            <a:solidFill>
              <a:srgbClr val="002060"/>
            </a:solidFill>
            <a:latin typeface="Arial" panose="020B0604020202020204" pitchFamily="34" charset="0"/>
            <a:cs typeface="Arial" panose="020B0604020202020204" pitchFamily="34" charset="0"/>
          </a:endParaRPr>
        </a:p>
      </xdr:txBody>
    </xdr:sp>
    <xdr:clientData/>
  </xdr:twoCellAnchor>
  <xdr:twoCellAnchor>
    <xdr:from>
      <xdr:col>14</xdr:col>
      <xdr:colOff>384664</xdr:colOff>
      <xdr:row>2</xdr:row>
      <xdr:rowOff>109903</xdr:rowOff>
    </xdr:from>
    <xdr:to>
      <xdr:col>19</xdr:col>
      <xdr:colOff>311394</xdr:colOff>
      <xdr:row>7</xdr:row>
      <xdr:rowOff>21984</xdr:rowOff>
    </xdr:to>
    <xdr:sp macro="" textlink="">
      <xdr:nvSpPr>
        <xdr:cNvPr id="13" name="Rectangle: Rounded Corners 12">
          <a:extLst>
            <a:ext uri="{FF2B5EF4-FFF2-40B4-BE49-F238E27FC236}">
              <a16:creationId xmlns:a16="http://schemas.microsoft.com/office/drawing/2014/main" id="{F75E871E-6B26-482A-B334-1A0C1D30F285}"/>
            </a:ext>
          </a:extLst>
        </xdr:cNvPr>
        <xdr:cNvSpPr/>
      </xdr:nvSpPr>
      <xdr:spPr>
        <a:xfrm>
          <a:off x="8847260" y="531201"/>
          <a:ext cx="2949086" cy="919533"/>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chemeClr val="accent5">
                  <a:lumMod val="50000"/>
                </a:schemeClr>
              </a:solidFill>
            </a:rPr>
            <a:t> </a:t>
          </a:r>
          <a:r>
            <a:rPr lang="en-US" sz="1200">
              <a:solidFill>
                <a:schemeClr val="accent5">
                  <a:lumMod val="50000"/>
                </a:schemeClr>
              </a:solidFill>
              <a:latin typeface="Arial" panose="020B0604020202020204" pitchFamily="34" charset="0"/>
              <a:cs typeface="Arial" panose="020B0604020202020204" pitchFamily="34" charset="0"/>
            </a:rPr>
            <a:t>TOP</a:t>
          </a:r>
          <a:r>
            <a:rPr lang="en-US" sz="1200" baseline="0">
              <a:solidFill>
                <a:schemeClr val="accent5">
                  <a:lumMod val="50000"/>
                </a:schemeClr>
              </a:solidFill>
              <a:latin typeface="Arial" panose="020B0604020202020204" pitchFamily="34" charset="0"/>
              <a:cs typeface="Arial" panose="020B0604020202020204" pitchFamily="34" charset="0"/>
            </a:rPr>
            <a:t> PERFORMING STATE BY REVENUE FOR THE YEAR 22 </a:t>
          </a:r>
        </a:p>
        <a:p>
          <a:pPr algn="ctr"/>
          <a:r>
            <a:rPr lang="en-US" sz="1200" baseline="0">
              <a:solidFill>
                <a:schemeClr val="accent5">
                  <a:lumMod val="50000"/>
                </a:schemeClr>
              </a:solidFill>
              <a:latin typeface="Arial" panose="020B0604020202020204" pitchFamily="34" charset="0"/>
              <a:cs typeface="Arial" panose="020B0604020202020204" pitchFamily="34" charset="0"/>
            </a:rPr>
            <a:t>NEW YORK</a:t>
          </a:r>
          <a:endParaRPr lang="en-US" sz="1200">
            <a:solidFill>
              <a:schemeClr val="accent5">
                <a:lumMod val="50000"/>
              </a:schemeClr>
            </a:solidFill>
            <a:latin typeface="Arial" panose="020B0604020202020204" pitchFamily="34" charset="0"/>
            <a:cs typeface="Arial" panose="020B0604020202020204" pitchFamily="34" charset="0"/>
          </a:endParaRPr>
        </a:p>
      </xdr:txBody>
    </xdr:sp>
    <xdr:clientData/>
  </xdr:twoCellAnchor>
  <xdr:twoCellAnchor>
    <xdr:from>
      <xdr:col>9</xdr:col>
      <xdr:colOff>316526</xdr:colOff>
      <xdr:row>2</xdr:row>
      <xdr:rowOff>109904</xdr:rowOff>
    </xdr:from>
    <xdr:to>
      <xdr:col>14</xdr:col>
      <xdr:colOff>302600</xdr:colOff>
      <xdr:row>7</xdr:row>
      <xdr:rowOff>27847</xdr:rowOff>
    </xdr:to>
    <xdr:sp macro="" textlink="">
      <xdr:nvSpPr>
        <xdr:cNvPr id="14" name="Rectangle: Rounded Corners 13">
          <a:extLst>
            <a:ext uri="{FF2B5EF4-FFF2-40B4-BE49-F238E27FC236}">
              <a16:creationId xmlns:a16="http://schemas.microsoft.com/office/drawing/2014/main" id="{3298664E-7F95-4335-BDD0-62D93E7201A1}"/>
            </a:ext>
          </a:extLst>
        </xdr:cNvPr>
        <xdr:cNvSpPr/>
      </xdr:nvSpPr>
      <xdr:spPr>
        <a:xfrm>
          <a:off x="5756766" y="531202"/>
          <a:ext cx="3008430" cy="925395"/>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rgbClr val="002060"/>
              </a:solidFill>
              <a:latin typeface="Arial" panose="020B0604020202020204" pitchFamily="34" charset="0"/>
              <a:cs typeface="Arial" panose="020B0604020202020204" pitchFamily="34" charset="0"/>
            </a:rPr>
            <a:t>BEST</a:t>
          </a:r>
          <a:r>
            <a:rPr lang="en-US" sz="1200" baseline="0">
              <a:solidFill>
                <a:srgbClr val="002060"/>
              </a:solidFill>
              <a:latin typeface="Arial" panose="020B0604020202020204" pitchFamily="34" charset="0"/>
              <a:cs typeface="Arial" panose="020B0604020202020204" pitchFamily="34" charset="0"/>
            </a:rPr>
            <a:t> PERFORMING SHIP CITY FOR THE YEAR 22</a:t>
          </a:r>
        </a:p>
        <a:p>
          <a:pPr algn="ctr"/>
          <a:r>
            <a:rPr lang="en-US" sz="1200" baseline="0">
              <a:solidFill>
                <a:srgbClr val="002060"/>
              </a:solidFill>
              <a:latin typeface="Arial" panose="020B0604020202020204" pitchFamily="34" charset="0"/>
              <a:cs typeface="Arial" panose="020B0604020202020204" pitchFamily="34" charset="0"/>
            </a:rPr>
            <a:t>NEW YORK</a:t>
          </a:r>
          <a:r>
            <a:rPr lang="en-US" sz="1200">
              <a:solidFill>
                <a:srgbClr val="002060"/>
              </a:solidFill>
              <a:latin typeface="Arial" panose="020B0604020202020204" pitchFamily="34" charset="0"/>
              <a:cs typeface="Arial" panose="020B0604020202020204" pitchFamily="34" charset="0"/>
            </a:rPr>
            <a:t> </a:t>
          </a:r>
        </a:p>
      </xdr:txBody>
    </xdr:sp>
    <xdr:clientData/>
  </xdr:twoCellAnchor>
  <xdr:twoCellAnchor>
    <xdr:from>
      <xdr:col>4</xdr:col>
      <xdr:colOff>439616</xdr:colOff>
      <xdr:row>2</xdr:row>
      <xdr:rowOff>146538</xdr:rowOff>
    </xdr:from>
    <xdr:to>
      <xdr:col>9</xdr:col>
      <xdr:colOff>238125</xdr:colOff>
      <xdr:row>7</xdr:row>
      <xdr:rowOff>52024</xdr:rowOff>
    </xdr:to>
    <xdr:sp macro="" textlink="">
      <xdr:nvSpPr>
        <xdr:cNvPr id="15" name="Rectangle: Rounded Corners 14">
          <a:extLst>
            <a:ext uri="{FF2B5EF4-FFF2-40B4-BE49-F238E27FC236}">
              <a16:creationId xmlns:a16="http://schemas.microsoft.com/office/drawing/2014/main" id="{BC9BCF86-DCDF-43BB-AA68-9C549F9A6121}"/>
            </a:ext>
          </a:extLst>
        </xdr:cNvPr>
        <xdr:cNvSpPr/>
      </xdr:nvSpPr>
      <xdr:spPr>
        <a:xfrm>
          <a:off x="2857501" y="567836"/>
          <a:ext cx="2820864" cy="912938"/>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rgbClr val="002060"/>
              </a:solidFill>
              <a:latin typeface="Garamond" panose="02020404030301010803" pitchFamily="18" charset="0"/>
            </a:rPr>
            <a:t>TOP PERFORMING</a:t>
          </a:r>
          <a:r>
            <a:rPr lang="en-US" sz="1200" baseline="0">
              <a:solidFill>
                <a:srgbClr val="002060"/>
              </a:solidFill>
              <a:latin typeface="Garamond" panose="02020404030301010803" pitchFamily="18" charset="0"/>
            </a:rPr>
            <a:t> REGION 22'</a:t>
          </a:r>
        </a:p>
        <a:p>
          <a:pPr algn="ctr"/>
          <a:r>
            <a:rPr lang="en-US" sz="1200" baseline="0">
              <a:solidFill>
                <a:srgbClr val="002060"/>
              </a:solidFill>
              <a:latin typeface="Garamond" panose="02020404030301010803" pitchFamily="18" charset="0"/>
            </a:rPr>
            <a:t> NORTH</a:t>
          </a:r>
          <a:endParaRPr lang="en-US" sz="1200">
            <a:solidFill>
              <a:srgbClr val="002060"/>
            </a:solidFill>
            <a:latin typeface="Garamond" panose="02020404030301010803" pitchFamily="18" charset="0"/>
          </a:endParaRPr>
        </a:p>
      </xdr:txBody>
    </xdr:sp>
    <xdr:clientData/>
  </xdr:twoCellAnchor>
  <xdr:twoCellAnchor>
    <xdr:from>
      <xdr:col>0</xdr:col>
      <xdr:colOff>146537</xdr:colOff>
      <xdr:row>2</xdr:row>
      <xdr:rowOff>131157</xdr:rowOff>
    </xdr:from>
    <xdr:to>
      <xdr:col>4</xdr:col>
      <xdr:colOff>384661</xdr:colOff>
      <xdr:row>7</xdr:row>
      <xdr:rowOff>21253</xdr:rowOff>
    </xdr:to>
    <xdr:sp macro="" textlink="">
      <xdr:nvSpPr>
        <xdr:cNvPr id="16" name="Rectangle: Rounded Corners 15">
          <a:extLst>
            <a:ext uri="{FF2B5EF4-FFF2-40B4-BE49-F238E27FC236}">
              <a16:creationId xmlns:a16="http://schemas.microsoft.com/office/drawing/2014/main" id="{00C580C6-C45B-4D84-A2C4-6A090DC62230}"/>
            </a:ext>
          </a:extLst>
        </xdr:cNvPr>
        <xdr:cNvSpPr/>
      </xdr:nvSpPr>
      <xdr:spPr>
        <a:xfrm>
          <a:off x="146537" y="552455"/>
          <a:ext cx="2656009" cy="897548"/>
        </a:xfrm>
        <a:prstGeom prst="roundRect">
          <a:avLst>
            <a:gd name="adj" fmla="val 12585"/>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aseline="0">
              <a:solidFill>
                <a:schemeClr val="accent5">
                  <a:lumMod val="50000"/>
                </a:schemeClr>
              </a:solidFill>
              <a:latin typeface="Arial" panose="020B0604020202020204" pitchFamily="34" charset="0"/>
              <a:cs typeface="Arial" panose="020B0604020202020204" pitchFamily="34" charset="0"/>
            </a:rPr>
            <a:t>MONTH WITH THE HIGHEST SALES TREND </a:t>
          </a:r>
        </a:p>
        <a:p>
          <a:pPr algn="ctr"/>
          <a:r>
            <a:rPr lang="en-US" sz="1200" baseline="0">
              <a:solidFill>
                <a:schemeClr val="accent5">
                  <a:lumMod val="50000"/>
                </a:schemeClr>
              </a:solidFill>
              <a:latin typeface="Arial" panose="020B0604020202020204" pitchFamily="34" charset="0"/>
              <a:cs typeface="Arial" panose="020B0604020202020204" pitchFamily="34" charset="0"/>
            </a:rPr>
            <a:t>JUNE</a:t>
          </a:r>
        </a:p>
      </xdr:txBody>
    </xdr:sp>
    <xdr:clientData/>
  </xdr:twoCellAnchor>
  <xdr:twoCellAnchor editAs="oneCell">
    <xdr:from>
      <xdr:col>0</xdr:col>
      <xdr:colOff>201491</xdr:colOff>
      <xdr:row>3</xdr:row>
      <xdr:rowOff>219807</xdr:rowOff>
    </xdr:from>
    <xdr:to>
      <xdr:col>1</xdr:col>
      <xdr:colOff>237100</xdr:colOff>
      <xdr:row>7</xdr:row>
      <xdr:rowOff>35608</xdr:rowOff>
    </xdr:to>
    <xdr:pic>
      <xdr:nvPicPr>
        <xdr:cNvPr id="17" name="Graphic 16" descr="Bar graph with upward trend with solid fill">
          <a:extLst>
            <a:ext uri="{FF2B5EF4-FFF2-40B4-BE49-F238E27FC236}">
              <a16:creationId xmlns:a16="http://schemas.microsoft.com/office/drawing/2014/main" id="{7D206853-A928-42BF-8992-2C1547C31BB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01491" y="824278"/>
          <a:ext cx="640080" cy="640080"/>
        </a:xfrm>
        <a:prstGeom prst="rect">
          <a:avLst/>
        </a:prstGeom>
      </xdr:spPr>
    </xdr:pic>
    <xdr:clientData/>
  </xdr:twoCellAnchor>
  <xdr:twoCellAnchor editAs="oneCell">
    <xdr:from>
      <xdr:col>4</xdr:col>
      <xdr:colOff>512885</xdr:colOff>
      <xdr:row>3</xdr:row>
      <xdr:rowOff>237100</xdr:rowOff>
    </xdr:from>
    <xdr:to>
      <xdr:col>5</xdr:col>
      <xdr:colOff>457932</xdr:colOff>
      <xdr:row>6</xdr:row>
      <xdr:rowOff>145512</xdr:rowOff>
    </xdr:to>
    <xdr:pic>
      <xdr:nvPicPr>
        <xdr:cNvPr id="18" name="Graphic 17" descr="Earth globe: Americas with solid fill">
          <a:extLst>
            <a:ext uri="{FF2B5EF4-FFF2-40B4-BE49-F238E27FC236}">
              <a16:creationId xmlns:a16="http://schemas.microsoft.com/office/drawing/2014/main" id="{29C64D83-3F5F-4A4C-85C8-27BBC9FD11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930770" y="841571"/>
          <a:ext cx="549518" cy="549518"/>
        </a:xfrm>
        <a:prstGeom prst="rect">
          <a:avLst/>
        </a:prstGeom>
      </xdr:spPr>
    </xdr:pic>
    <xdr:clientData/>
  </xdr:twoCellAnchor>
  <xdr:twoCellAnchor editAs="oneCell">
    <xdr:from>
      <xdr:col>9</xdr:col>
      <xdr:colOff>366346</xdr:colOff>
      <xdr:row>3</xdr:row>
      <xdr:rowOff>255416</xdr:rowOff>
    </xdr:from>
    <xdr:to>
      <xdr:col>10</xdr:col>
      <xdr:colOff>256442</xdr:colOff>
      <xdr:row>6</xdr:row>
      <xdr:rowOff>108878</xdr:rowOff>
    </xdr:to>
    <xdr:pic>
      <xdr:nvPicPr>
        <xdr:cNvPr id="19" name="Graphic 18" descr="Globe with solid fill">
          <a:extLst>
            <a:ext uri="{FF2B5EF4-FFF2-40B4-BE49-F238E27FC236}">
              <a16:creationId xmlns:a16="http://schemas.microsoft.com/office/drawing/2014/main" id="{10931730-358F-434D-956B-483ABE581DC8}"/>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806586" y="859887"/>
          <a:ext cx="494568" cy="494568"/>
        </a:xfrm>
        <a:prstGeom prst="rect">
          <a:avLst/>
        </a:prstGeom>
      </xdr:spPr>
    </xdr:pic>
    <xdr:clientData/>
  </xdr:twoCellAnchor>
  <xdr:twoCellAnchor editAs="oneCell">
    <xdr:from>
      <xdr:col>14</xdr:col>
      <xdr:colOff>421298</xdr:colOff>
      <xdr:row>4</xdr:row>
      <xdr:rowOff>127195</xdr:rowOff>
    </xdr:from>
    <xdr:to>
      <xdr:col>15</xdr:col>
      <xdr:colOff>293077</xdr:colOff>
      <xdr:row>7</xdr:row>
      <xdr:rowOff>35608</xdr:rowOff>
    </xdr:to>
    <xdr:pic>
      <xdr:nvPicPr>
        <xdr:cNvPr id="20" name="Graphic 19" descr="Earth globe: Africa and Europe with solid fill">
          <a:extLst>
            <a:ext uri="{FF2B5EF4-FFF2-40B4-BE49-F238E27FC236}">
              <a16:creationId xmlns:a16="http://schemas.microsoft.com/office/drawing/2014/main" id="{12B9CADC-8044-41E8-B54C-1BC503A69701}"/>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8883894" y="988108"/>
          <a:ext cx="476250" cy="476250"/>
        </a:xfrm>
        <a:prstGeom prst="rect">
          <a:avLst/>
        </a:prstGeom>
      </xdr:spPr>
    </xdr:pic>
    <xdr:clientData/>
  </xdr:twoCellAnchor>
  <xdr:twoCellAnchor editAs="oneCell">
    <xdr:from>
      <xdr:col>19</xdr:col>
      <xdr:colOff>293077</xdr:colOff>
      <xdr:row>3</xdr:row>
      <xdr:rowOff>91586</xdr:rowOff>
    </xdr:from>
    <xdr:to>
      <xdr:col>20</xdr:col>
      <xdr:colOff>328686</xdr:colOff>
      <xdr:row>6</xdr:row>
      <xdr:rowOff>90560</xdr:rowOff>
    </xdr:to>
    <xdr:pic>
      <xdr:nvPicPr>
        <xdr:cNvPr id="21" name="Graphic 20" descr="Dollar with solid fill">
          <a:extLst>
            <a:ext uri="{FF2B5EF4-FFF2-40B4-BE49-F238E27FC236}">
              <a16:creationId xmlns:a16="http://schemas.microsoft.com/office/drawing/2014/main" id="{109E808A-051D-4CF8-BE73-4E9E2EF4192D}"/>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1875477" y="720236"/>
          <a:ext cx="645209" cy="646674"/>
        </a:xfrm>
        <a:prstGeom prst="rect">
          <a:avLst/>
        </a:prstGeom>
      </xdr:spPr>
    </xdr:pic>
    <xdr:clientData/>
  </xdr:twoCellAnchor>
  <xdr:twoCellAnchor editAs="oneCell">
    <xdr:from>
      <xdr:col>25</xdr:col>
      <xdr:colOff>256443</xdr:colOff>
      <xdr:row>3</xdr:row>
      <xdr:rowOff>201491</xdr:rowOff>
    </xdr:from>
    <xdr:to>
      <xdr:col>26</xdr:col>
      <xdr:colOff>292052</xdr:colOff>
      <xdr:row>7</xdr:row>
      <xdr:rowOff>17292</xdr:rowOff>
    </xdr:to>
    <xdr:pic>
      <xdr:nvPicPr>
        <xdr:cNvPr id="22" name="Graphic 21" descr="Group with solid fill">
          <a:extLst>
            <a:ext uri="{FF2B5EF4-FFF2-40B4-BE49-F238E27FC236}">
              <a16:creationId xmlns:a16="http://schemas.microsoft.com/office/drawing/2014/main" id="{7D98AC9D-FB8D-46DF-B41F-941635DD132C}"/>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5368222" y="805962"/>
          <a:ext cx="640080" cy="640080"/>
        </a:xfrm>
        <a:prstGeom prst="rect">
          <a:avLst/>
        </a:prstGeom>
      </xdr:spPr>
    </xdr:pic>
    <xdr:clientData/>
  </xdr:twoCellAnchor>
  <xdr:twoCellAnchor editAs="oneCell">
    <xdr:from>
      <xdr:col>29</xdr:col>
      <xdr:colOff>567837</xdr:colOff>
      <xdr:row>3</xdr:row>
      <xdr:rowOff>238125</xdr:rowOff>
    </xdr:from>
    <xdr:to>
      <xdr:col>30</xdr:col>
      <xdr:colOff>603445</xdr:colOff>
      <xdr:row>7</xdr:row>
      <xdr:rowOff>53926</xdr:rowOff>
    </xdr:to>
    <xdr:pic>
      <xdr:nvPicPr>
        <xdr:cNvPr id="23" name="Graphic 22" descr="Shopping cart with solid fill">
          <a:extLst>
            <a:ext uri="{FF2B5EF4-FFF2-40B4-BE49-F238E27FC236}">
              <a16:creationId xmlns:a16="http://schemas.microsoft.com/office/drawing/2014/main" id="{D4C2CB1C-7A24-4EBE-8FA8-38DB31D8161B}"/>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8097500" y="842596"/>
          <a:ext cx="640080" cy="640080"/>
        </a:xfrm>
        <a:prstGeom prst="rect">
          <a:avLst/>
        </a:prstGeom>
      </xdr:spPr>
    </xdr:pic>
    <xdr:clientData/>
  </xdr:twoCellAnchor>
  <xdr:twoCellAnchor editAs="oneCell">
    <xdr:from>
      <xdr:col>36</xdr:col>
      <xdr:colOff>18317</xdr:colOff>
      <xdr:row>2</xdr:row>
      <xdr:rowOff>70340</xdr:rowOff>
    </xdr:from>
    <xdr:to>
      <xdr:col>39</xdr:col>
      <xdr:colOff>531201</xdr:colOff>
      <xdr:row>15</xdr:row>
      <xdr:rowOff>73270</xdr:rowOff>
    </xdr:to>
    <mc:AlternateContent xmlns:mc="http://schemas.openxmlformats.org/markup-compatibility/2006">
      <mc:Choice xmlns:a14="http://schemas.microsoft.com/office/drawing/2010/main" Requires="a14">
        <xdr:graphicFrame macro="">
          <xdr:nvGraphicFramePr>
            <xdr:cNvPr id="24" name="Salesperson 2">
              <a:extLst>
                <a:ext uri="{FF2B5EF4-FFF2-40B4-BE49-F238E27FC236}">
                  <a16:creationId xmlns:a16="http://schemas.microsoft.com/office/drawing/2014/main" id="{A18AF4B5-5BF1-4A2D-8A55-937584E31FF7}"/>
                </a:ext>
              </a:extLst>
            </xdr:cNvPr>
            <xdr:cNvGraphicFramePr/>
          </xdr:nvGraphicFramePr>
          <xdr:xfrm>
            <a:off x="0" y="0"/>
            <a:ext cx="0" cy="0"/>
          </xdr:xfrm>
          <a:graphic>
            <a:graphicData uri="http://schemas.microsoft.com/office/drawing/2010/slicer">
              <sle:slicer xmlns:sle="http://schemas.microsoft.com/office/drawing/2010/slicer" name="Salesperson 2"/>
            </a:graphicData>
          </a:graphic>
        </xdr:graphicFrame>
      </mc:Choice>
      <mc:Fallback>
        <xdr:sp macro="" textlink="">
          <xdr:nvSpPr>
            <xdr:cNvPr id="0" name=""/>
            <xdr:cNvSpPr>
              <a:spLocks noTextEdit="1"/>
            </xdr:cNvSpPr>
          </xdr:nvSpPr>
          <xdr:spPr>
            <a:xfrm>
              <a:off x="21779279" y="491638"/>
              <a:ext cx="2326297" cy="24757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36634</xdr:colOff>
      <xdr:row>15</xdr:row>
      <xdr:rowOff>143609</xdr:rowOff>
    </xdr:from>
    <xdr:to>
      <xdr:col>39</xdr:col>
      <xdr:colOff>531203</xdr:colOff>
      <xdr:row>17</xdr:row>
      <xdr:rowOff>109904</xdr:rowOff>
    </xdr:to>
    <mc:AlternateContent xmlns:mc="http://schemas.openxmlformats.org/markup-compatibility/2006">
      <mc:Choice xmlns:a14="http://schemas.microsoft.com/office/drawing/2010/main" Requires="a14">
        <xdr:graphicFrame macro="">
          <xdr:nvGraphicFramePr>
            <xdr:cNvPr id="25" name="Region 3">
              <a:extLst>
                <a:ext uri="{FF2B5EF4-FFF2-40B4-BE49-F238E27FC236}">
                  <a16:creationId xmlns:a16="http://schemas.microsoft.com/office/drawing/2014/main" id="{8A2EB5AA-76EB-4005-B6DD-3C4C731029FB}"/>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dr:sp macro="" textlink="">
          <xdr:nvSpPr>
            <xdr:cNvPr id="0" name=""/>
            <xdr:cNvSpPr>
              <a:spLocks noTextEdit="1"/>
            </xdr:cNvSpPr>
          </xdr:nvSpPr>
          <xdr:spPr>
            <a:xfrm>
              <a:off x="21797596" y="3037744"/>
              <a:ext cx="2307982" cy="3326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36634</xdr:colOff>
      <xdr:row>17</xdr:row>
      <xdr:rowOff>164856</xdr:rowOff>
    </xdr:from>
    <xdr:to>
      <xdr:col>39</xdr:col>
      <xdr:colOff>567835</xdr:colOff>
      <xdr:row>37</xdr:row>
      <xdr:rowOff>0</xdr:rowOff>
    </xdr:to>
    <mc:AlternateContent xmlns:mc="http://schemas.openxmlformats.org/markup-compatibility/2006">
      <mc:Choice xmlns:a14="http://schemas.microsoft.com/office/drawing/2010/main" Requires="a14">
        <xdr:graphicFrame macro="">
          <xdr:nvGraphicFramePr>
            <xdr:cNvPr id="26" name="Product Name 2">
              <a:extLst>
                <a:ext uri="{FF2B5EF4-FFF2-40B4-BE49-F238E27FC236}">
                  <a16:creationId xmlns:a16="http://schemas.microsoft.com/office/drawing/2014/main" id="{30127EF6-6430-4534-985D-5E1B40B90C84}"/>
                </a:ext>
              </a:extLst>
            </xdr:cNvPr>
            <xdr:cNvGraphicFramePr/>
          </xdr:nvGraphicFramePr>
          <xdr:xfrm>
            <a:off x="0" y="0"/>
            <a:ext cx="0" cy="0"/>
          </xdr:xfrm>
          <a:graphic>
            <a:graphicData uri="http://schemas.microsoft.com/office/drawing/2010/slicer">
              <sle:slicer xmlns:sle="http://schemas.microsoft.com/office/drawing/2010/slicer" name="Product Name 2"/>
            </a:graphicData>
          </a:graphic>
        </xdr:graphicFrame>
      </mc:Choice>
      <mc:Fallback>
        <xdr:sp macro="" textlink="">
          <xdr:nvSpPr>
            <xdr:cNvPr id="0" name=""/>
            <xdr:cNvSpPr>
              <a:spLocks noTextEdit="1"/>
            </xdr:cNvSpPr>
          </xdr:nvSpPr>
          <xdr:spPr>
            <a:xfrm>
              <a:off x="21797596" y="3425337"/>
              <a:ext cx="2344614" cy="34986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0</xdr:colOff>
      <xdr:row>37</xdr:row>
      <xdr:rowOff>91587</xdr:rowOff>
    </xdr:from>
    <xdr:to>
      <xdr:col>40</xdr:col>
      <xdr:colOff>0</xdr:colOff>
      <xdr:row>42</xdr:row>
      <xdr:rowOff>36634</xdr:rowOff>
    </xdr:to>
    <mc:AlternateContent xmlns:mc="http://schemas.openxmlformats.org/markup-compatibility/2006">
      <mc:Choice xmlns:a14="http://schemas.microsoft.com/office/drawing/2010/main" Requires="a14">
        <xdr:graphicFrame macro="">
          <xdr:nvGraphicFramePr>
            <xdr:cNvPr id="27" name="Customer Name 2">
              <a:extLst>
                <a:ext uri="{FF2B5EF4-FFF2-40B4-BE49-F238E27FC236}">
                  <a16:creationId xmlns:a16="http://schemas.microsoft.com/office/drawing/2014/main" id="{73ACF6D6-179F-454E-8BDA-D9AC718183C5}"/>
                </a:ext>
              </a:extLst>
            </xdr:cNvPr>
            <xdr:cNvGraphicFramePr/>
          </xdr:nvGraphicFramePr>
          <xdr:xfrm>
            <a:off x="0" y="0"/>
            <a:ext cx="0" cy="0"/>
          </xdr:xfrm>
          <a:graphic>
            <a:graphicData uri="http://schemas.microsoft.com/office/drawing/2010/slicer">
              <sle:slicer xmlns:sle="http://schemas.microsoft.com/office/drawing/2010/slicer" name="Customer Name 2"/>
            </a:graphicData>
          </a:graphic>
        </xdr:graphicFrame>
      </mc:Choice>
      <mc:Fallback>
        <xdr:sp macro="" textlink="">
          <xdr:nvSpPr>
            <xdr:cNvPr id="0" name=""/>
            <xdr:cNvSpPr>
              <a:spLocks noTextEdit="1"/>
            </xdr:cNvSpPr>
          </xdr:nvSpPr>
          <xdr:spPr>
            <a:xfrm>
              <a:off x="21760962" y="7015529"/>
              <a:ext cx="2417884" cy="8609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18317</xdr:colOff>
      <xdr:row>42</xdr:row>
      <xdr:rowOff>128222</xdr:rowOff>
    </xdr:from>
    <xdr:to>
      <xdr:col>39</xdr:col>
      <xdr:colOff>586152</xdr:colOff>
      <xdr:row>64</xdr:row>
      <xdr:rowOff>0</xdr:rowOff>
    </xdr:to>
    <mc:AlternateContent xmlns:mc="http://schemas.openxmlformats.org/markup-compatibility/2006">
      <mc:Choice xmlns:a14="http://schemas.microsoft.com/office/drawing/2010/main" Requires="a14">
        <xdr:graphicFrame macro="">
          <xdr:nvGraphicFramePr>
            <xdr:cNvPr id="30" name="Category 1">
              <a:extLst>
                <a:ext uri="{FF2B5EF4-FFF2-40B4-BE49-F238E27FC236}">
                  <a16:creationId xmlns:a16="http://schemas.microsoft.com/office/drawing/2014/main" id="{BF5F0F0D-6888-48A2-9959-954CEFBC6BE9}"/>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21779279" y="7968030"/>
              <a:ext cx="2381248" cy="39015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183173</xdr:colOff>
      <xdr:row>8</xdr:row>
      <xdr:rowOff>36635</xdr:rowOff>
    </xdr:from>
    <xdr:to>
      <xdr:col>17</xdr:col>
      <xdr:colOff>0</xdr:colOff>
      <xdr:row>24</xdr:row>
      <xdr:rowOff>96716</xdr:rowOff>
    </xdr:to>
    <xdr:graphicFrame macro="">
      <xdr:nvGraphicFramePr>
        <xdr:cNvPr id="32" name="Chart 31">
          <a:extLst>
            <a:ext uri="{FF2B5EF4-FFF2-40B4-BE49-F238E27FC236}">
              <a16:creationId xmlns:a16="http://schemas.microsoft.com/office/drawing/2014/main" id="{23E0E762-B236-4F9E-B5D7-8E9BB1247A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28</xdr:col>
      <xdr:colOff>384663</xdr:colOff>
      <xdr:row>8</xdr:row>
      <xdr:rowOff>18319</xdr:rowOff>
    </xdr:from>
    <xdr:to>
      <xdr:col>35</xdr:col>
      <xdr:colOff>439616</xdr:colOff>
      <xdr:row>46</xdr:row>
      <xdr:rowOff>146538</xdr:rowOff>
    </xdr:to>
    <mc:AlternateContent xmlns:mc="http://schemas.openxmlformats.org/markup-compatibility/2006">
      <mc:Choice xmlns:cx4="http://schemas.microsoft.com/office/drawing/2016/5/10/chartex" Requires="cx4">
        <xdr:graphicFrame macro="">
          <xdr:nvGraphicFramePr>
            <xdr:cNvPr id="33" name="Chart 32">
              <a:extLst>
                <a:ext uri="{FF2B5EF4-FFF2-40B4-BE49-F238E27FC236}">
                  <a16:creationId xmlns:a16="http://schemas.microsoft.com/office/drawing/2014/main" id="{2D44277F-1E79-4B73-8EBA-C63995DF8A9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1"/>
            </a:graphicData>
          </a:graphic>
        </xdr:graphicFrame>
      </mc:Choice>
      <mc:Fallback>
        <xdr:sp macro="" textlink="">
          <xdr:nvSpPr>
            <xdr:cNvPr id="0" name=""/>
            <xdr:cNvSpPr>
              <a:spLocks noTextEdit="1"/>
            </xdr:cNvSpPr>
          </xdr:nvSpPr>
          <xdr:spPr>
            <a:xfrm>
              <a:off x="17309855" y="1630242"/>
              <a:ext cx="4286251" cy="708879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3.xml><?xml version="1.0" encoding="utf-8"?>
<xdr:wsDr xmlns:xdr="http://schemas.openxmlformats.org/drawingml/2006/spreadsheetDrawing" xmlns:a="http://schemas.openxmlformats.org/drawingml/2006/main">
  <xdr:oneCellAnchor>
    <xdr:from>
      <xdr:col>1</xdr:col>
      <xdr:colOff>104775</xdr:colOff>
      <xdr:row>2</xdr:row>
      <xdr:rowOff>66675</xdr:rowOff>
    </xdr:from>
    <xdr:ext cx="184731" cy="264560"/>
    <xdr:sp macro="" textlink="">
      <xdr:nvSpPr>
        <xdr:cNvPr id="2" name="TextBox 1">
          <a:extLst>
            <a:ext uri="{FF2B5EF4-FFF2-40B4-BE49-F238E27FC236}">
              <a16:creationId xmlns:a16="http://schemas.microsoft.com/office/drawing/2014/main" id="{051F364D-7C58-4D25-8BDC-C23702AAE0BE}"/>
            </a:ext>
          </a:extLst>
        </xdr:cNvPr>
        <xdr:cNvSpPr txBox="1"/>
      </xdr:nvSpPr>
      <xdr:spPr>
        <a:xfrm>
          <a:off x="714375" y="400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504825</xdr:colOff>
      <xdr:row>1</xdr:row>
      <xdr:rowOff>114300</xdr:rowOff>
    </xdr:from>
    <xdr:ext cx="4848225" cy="3505199"/>
    <xdr:sp macro="" textlink="">
      <xdr:nvSpPr>
        <xdr:cNvPr id="3" name="TextBox 2">
          <a:extLst>
            <a:ext uri="{FF2B5EF4-FFF2-40B4-BE49-F238E27FC236}">
              <a16:creationId xmlns:a16="http://schemas.microsoft.com/office/drawing/2014/main" id="{ED88E410-71D9-45CB-A4A1-5A4AC8950598}"/>
            </a:ext>
          </a:extLst>
        </xdr:cNvPr>
        <xdr:cNvSpPr txBox="1"/>
      </xdr:nvSpPr>
      <xdr:spPr>
        <a:xfrm>
          <a:off x="504825" y="257175"/>
          <a:ext cx="4848225" cy="35051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endParaRPr lang="en-US" sz="1200" b="1" baseline="0">
            <a:solidFill>
              <a:schemeClr val="bg1"/>
            </a:solidFill>
          </a:endParaRPr>
        </a:p>
        <a:p>
          <a:pPr algn="ctr"/>
          <a:endParaRPr lang="en-US" sz="1200" b="1" baseline="0">
            <a:solidFill>
              <a:schemeClr val="bg1"/>
            </a:solidFill>
          </a:endParaRPr>
        </a:p>
        <a:p>
          <a:endParaRPr lang="en-US" sz="1200" baseline="0">
            <a:solidFill>
              <a:schemeClr val="bg1"/>
            </a:solidFill>
          </a:endParaRPr>
        </a:p>
        <a:p>
          <a:endParaRPr lang="en-US" sz="1000" baseline="0">
            <a:solidFill>
              <a:schemeClr val="bg1"/>
            </a:solidFill>
          </a:endParaRPr>
        </a:p>
        <a:p>
          <a:endParaRPr lang="en-US" sz="1000" baseline="0">
            <a:solidFill>
              <a:schemeClr val="bg1"/>
            </a:solidFill>
          </a:endParaRPr>
        </a:p>
        <a:p>
          <a:endParaRPr lang="en-US" sz="1100">
            <a:solidFill>
              <a:schemeClr val="bg1"/>
            </a:solidFill>
          </a:endParaRPr>
        </a:p>
      </xdr:txBody>
    </xdr:sp>
    <xdr:clientData/>
  </xdr:oneCellAnchor>
  <xdr:twoCellAnchor>
    <xdr:from>
      <xdr:col>9</xdr:col>
      <xdr:colOff>232682</xdr:colOff>
      <xdr:row>0</xdr:row>
      <xdr:rowOff>78011</xdr:rowOff>
    </xdr:from>
    <xdr:to>
      <xdr:col>20</xdr:col>
      <xdr:colOff>34017</xdr:colOff>
      <xdr:row>45</xdr:row>
      <xdr:rowOff>22679</xdr:rowOff>
    </xdr:to>
    <xdr:sp macro="" textlink="">
      <xdr:nvSpPr>
        <xdr:cNvPr id="4" name="Rectangle: Rounded Corners 3">
          <a:extLst>
            <a:ext uri="{FF2B5EF4-FFF2-40B4-BE49-F238E27FC236}">
              <a16:creationId xmlns:a16="http://schemas.microsoft.com/office/drawing/2014/main" id="{585CE2CD-0493-4D60-9055-7D57D8F9C252}"/>
            </a:ext>
          </a:extLst>
        </xdr:cNvPr>
        <xdr:cNvSpPr/>
      </xdr:nvSpPr>
      <xdr:spPr>
        <a:xfrm>
          <a:off x="5743575" y="78011"/>
          <a:ext cx="6536871" cy="8573864"/>
        </a:xfrm>
        <a:prstGeom prst="roundRect">
          <a:avLst>
            <a:gd name="adj" fmla="val 2932"/>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1">
            <a:solidFill>
              <a:schemeClr val="accent5">
                <a:lumMod val="75000"/>
              </a:schemeClr>
            </a:solidFill>
          </a:endParaRPr>
        </a:p>
      </xdr:txBody>
    </xdr:sp>
    <xdr:clientData/>
  </xdr:twoCellAnchor>
  <xdr:oneCellAnchor>
    <xdr:from>
      <xdr:col>0</xdr:col>
      <xdr:colOff>333375</xdr:colOff>
      <xdr:row>21</xdr:row>
      <xdr:rowOff>66674</xdr:rowOff>
    </xdr:from>
    <xdr:ext cx="5191125" cy="4344308"/>
    <xdr:sp macro="" textlink="">
      <xdr:nvSpPr>
        <xdr:cNvPr id="6" name="TextBox 5">
          <a:extLst>
            <a:ext uri="{FF2B5EF4-FFF2-40B4-BE49-F238E27FC236}">
              <a16:creationId xmlns:a16="http://schemas.microsoft.com/office/drawing/2014/main" id="{A4CD6428-7EE8-4DA6-9442-E2256AF6EE19}"/>
            </a:ext>
          </a:extLst>
        </xdr:cNvPr>
        <xdr:cNvSpPr txBox="1"/>
      </xdr:nvSpPr>
      <xdr:spPr>
        <a:xfrm>
          <a:off x="333375" y="4019549"/>
          <a:ext cx="5191125" cy="4344308"/>
        </a:xfrm>
        <a:prstGeom prst="rect">
          <a:avLst/>
        </a:prstGeom>
        <a:no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US" sz="1050" baseline="0">
            <a:solidFill>
              <a:schemeClr val="accent5">
                <a:lumMod val="75000"/>
              </a:schemeClr>
            </a:solidFill>
          </a:endParaRPr>
        </a:p>
      </xdr:txBody>
    </xdr:sp>
    <xdr:clientData/>
  </xdr:oneCellAnchor>
  <xdr:twoCellAnchor>
    <xdr:from>
      <xdr:col>0</xdr:col>
      <xdr:colOff>169183</xdr:colOff>
      <xdr:row>0</xdr:row>
      <xdr:rowOff>56697</xdr:rowOff>
    </xdr:from>
    <xdr:to>
      <xdr:col>9</xdr:col>
      <xdr:colOff>150134</xdr:colOff>
      <xdr:row>37</xdr:row>
      <xdr:rowOff>11339</xdr:rowOff>
    </xdr:to>
    <xdr:sp macro="" textlink="">
      <xdr:nvSpPr>
        <xdr:cNvPr id="7" name="Rectangle: Rounded Corners 6">
          <a:extLst>
            <a:ext uri="{FF2B5EF4-FFF2-40B4-BE49-F238E27FC236}">
              <a16:creationId xmlns:a16="http://schemas.microsoft.com/office/drawing/2014/main" id="{C6A99AFF-01A1-4C6B-AA9E-5FE87055D3E0}"/>
            </a:ext>
          </a:extLst>
        </xdr:cNvPr>
        <xdr:cNvSpPr/>
      </xdr:nvSpPr>
      <xdr:spPr>
        <a:xfrm>
          <a:off x="169183" y="56697"/>
          <a:ext cx="5491844" cy="7041696"/>
        </a:xfrm>
        <a:prstGeom prst="roundRect">
          <a:avLst>
            <a:gd name="adj" fmla="val 2314"/>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GENERAL OBSERVATIONS</a:t>
          </a:r>
        </a:p>
        <a:p>
          <a:pPr algn="ctr"/>
          <a:endParaRPr lang="en-US" sz="1400" b="1"/>
        </a:p>
      </xdr:txBody>
    </xdr:sp>
    <xdr:clientData/>
  </xdr:twoCellAnchor>
  <xdr:twoCellAnchor>
    <xdr:from>
      <xdr:col>9</xdr:col>
      <xdr:colOff>510268</xdr:colOff>
      <xdr:row>1</xdr:row>
      <xdr:rowOff>147409</xdr:rowOff>
    </xdr:from>
    <xdr:to>
      <xdr:col>19</xdr:col>
      <xdr:colOff>396876</xdr:colOff>
      <xdr:row>44</xdr:row>
      <xdr:rowOff>102053</xdr:rowOff>
    </xdr:to>
    <xdr:sp macro="" textlink="">
      <xdr:nvSpPr>
        <xdr:cNvPr id="9" name="TextBox 8">
          <a:extLst>
            <a:ext uri="{FF2B5EF4-FFF2-40B4-BE49-F238E27FC236}">
              <a16:creationId xmlns:a16="http://schemas.microsoft.com/office/drawing/2014/main" id="{E90F52BB-36BF-4F80-B13B-727CCB908DE5}"/>
            </a:ext>
          </a:extLst>
        </xdr:cNvPr>
        <xdr:cNvSpPr txBox="1"/>
      </xdr:nvSpPr>
      <xdr:spPr>
        <a:xfrm>
          <a:off x="6021161" y="294820"/>
          <a:ext cx="6009822" cy="8243662"/>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400">
            <a:solidFill>
              <a:schemeClr val="accent5">
                <a:lumMod val="50000"/>
              </a:schemeClr>
            </a:solidFill>
          </a:endParaRPr>
        </a:p>
        <a:p>
          <a:pPr algn="ctr"/>
          <a:r>
            <a:rPr lang="en-US" sz="1400" b="1">
              <a:solidFill>
                <a:srgbClr val="002060"/>
              </a:solidFill>
              <a:effectLst/>
              <a:latin typeface="+mn-lt"/>
              <a:ea typeface="+mn-ea"/>
              <a:cs typeface="+mn-cs"/>
            </a:rPr>
            <a:t>Sales Trend Report (Line Chart)</a:t>
          </a:r>
        </a:p>
        <a:p>
          <a:pPr lvl="0" algn="ctr"/>
          <a:r>
            <a:rPr lang="en-US" sz="1400" b="1" i="0">
              <a:solidFill>
                <a:srgbClr val="002060"/>
              </a:solidFill>
              <a:effectLst/>
              <a:latin typeface="+mn-lt"/>
              <a:ea typeface="+mn-ea"/>
              <a:cs typeface="+mn-cs"/>
            </a:rPr>
            <a:t>Volatility:</a:t>
          </a:r>
          <a:r>
            <a:rPr lang="en-US" sz="1400" b="0" i="0">
              <a:solidFill>
                <a:srgbClr val="002060"/>
              </a:solidFill>
              <a:effectLst/>
              <a:latin typeface="+mn-lt"/>
              <a:ea typeface="+mn-ea"/>
              <a:cs typeface="+mn-cs"/>
            </a:rPr>
            <a:t> Sales fluctuated significantly throughout the year, ranging from a low of </a:t>
          </a:r>
          <a:r>
            <a:rPr lang="en-US" sz="1400" b="1" i="0">
              <a:solidFill>
                <a:srgbClr val="002060"/>
              </a:solidFill>
              <a:effectLst/>
              <a:latin typeface="+mn-lt"/>
              <a:ea typeface="+mn-ea"/>
              <a:cs typeface="+mn-cs"/>
            </a:rPr>
            <a:t>$671.20 to a high of $2,922.80</a:t>
          </a:r>
          <a:r>
            <a:rPr lang="en-US" sz="1400" b="0" i="0">
              <a:solidFill>
                <a:srgbClr val="002060"/>
              </a:solidFill>
              <a:effectLst/>
              <a:latin typeface="+mn-lt"/>
              <a:ea typeface="+mn-ea"/>
              <a:cs typeface="+mn-cs"/>
            </a:rPr>
            <a:t>.</a:t>
          </a:r>
        </a:p>
        <a:p>
          <a:pPr lvl="0" algn="ctr"/>
          <a:endParaRPr lang="en-US" sz="1400" b="0" i="0">
            <a:solidFill>
              <a:srgbClr val="002060"/>
            </a:solidFill>
            <a:effectLst/>
            <a:latin typeface="+mn-lt"/>
            <a:ea typeface="+mn-ea"/>
            <a:cs typeface="+mn-cs"/>
          </a:endParaRPr>
        </a:p>
        <a:p>
          <a:pPr lvl="0" algn="ctr"/>
          <a:r>
            <a:rPr lang="en-US" sz="1400" b="1" i="0">
              <a:solidFill>
                <a:srgbClr val="002060"/>
              </a:solidFill>
              <a:effectLst/>
              <a:latin typeface="+mn-lt"/>
              <a:ea typeface="+mn-ea"/>
              <a:cs typeface="+mn-cs"/>
            </a:rPr>
            <a:t>Trend:</a:t>
          </a:r>
          <a:r>
            <a:rPr lang="en-US" sz="1400" b="0" i="0">
              <a:solidFill>
                <a:srgbClr val="002060"/>
              </a:solidFill>
              <a:effectLst/>
              <a:latin typeface="+mn-lt"/>
              <a:ea typeface="+mn-ea"/>
              <a:cs typeface="+mn-cs"/>
            </a:rPr>
            <a:t> Sales started low in January, peaked in March, dipped significantly in June, recovered through September, and ended the year with a strong spike in December.</a:t>
          </a:r>
        </a:p>
        <a:p>
          <a:pPr lvl="0" algn="ctr"/>
          <a:endParaRPr lang="en-US" sz="1400" b="0" i="0">
            <a:solidFill>
              <a:srgbClr val="002060"/>
            </a:solidFill>
            <a:effectLst/>
            <a:latin typeface="+mn-lt"/>
            <a:ea typeface="+mn-ea"/>
            <a:cs typeface="+mn-cs"/>
          </a:endParaRPr>
        </a:p>
        <a:p>
          <a:pPr lvl="0" algn="ctr"/>
          <a:r>
            <a:rPr lang="en-US" sz="1400" b="1" i="0">
              <a:solidFill>
                <a:srgbClr val="002060"/>
              </a:solidFill>
              <a:effectLst/>
              <a:latin typeface="+mn-lt"/>
              <a:ea typeface="+mn-ea"/>
              <a:cs typeface="+mn-cs"/>
            </a:rPr>
            <a:t>December Spike:</a:t>
          </a:r>
          <a:r>
            <a:rPr lang="en-US" sz="1400" b="0" i="0">
              <a:solidFill>
                <a:srgbClr val="002060"/>
              </a:solidFill>
              <a:effectLst/>
              <a:latin typeface="+mn-lt"/>
              <a:ea typeface="+mn-ea"/>
              <a:cs typeface="+mn-cs"/>
            </a:rPr>
            <a:t> The highest sales month was December ($2,922.80), indicating a strong end-of-year performance.</a:t>
          </a:r>
        </a:p>
        <a:p>
          <a:pPr algn="ctr"/>
          <a:endParaRPr lang="en-US" sz="1400">
            <a:solidFill>
              <a:schemeClr val="accent5">
                <a:lumMod val="50000"/>
              </a:schemeClr>
            </a:solidFill>
          </a:endParaRPr>
        </a:p>
        <a:p>
          <a:pPr algn="ctr"/>
          <a:r>
            <a:rPr lang="en-US" sz="1400" b="1">
              <a:solidFill>
                <a:srgbClr val="002060"/>
              </a:solidFill>
              <a:effectLst/>
              <a:latin typeface="+mn-lt"/>
              <a:ea typeface="+mn-ea"/>
              <a:cs typeface="+mn-cs"/>
            </a:rPr>
            <a:t>Top 6 Ship Cities (Bar Chart)</a:t>
          </a:r>
        </a:p>
        <a:p>
          <a:pPr lvl="0" algn="ctr"/>
          <a:r>
            <a:rPr lang="en-US" sz="1400" b="1" i="0">
              <a:solidFill>
                <a:srgbClr val="002060"/>
              </a:solidFill>
              <a:effectLst/>
              <a:latin typeface="+mn-lt"/>
              <a:ea typeface="+mn-ea"/>
              <a:cs typeface="+mn-cs"/>
            </a:rPr>
            <a:t>Dominance:</a:t>
          </a:r>
          <a:r>
            <a:rPr lang="en-US" sz="1400" b="0" i="0">
              <a:solidFill>
                <a:srgbClr val="002060"/>
              </a:solidFill>
              <a:effectLst/>
              <a:latin typeface="+mn-lt"/>
              <a:ea typeface="+mn-ea"/>
              <a:cs typeface="+mn-cs"/>
            </a:rPr>
            <a:t> </a:t>
          </a:r>
          <a:r>
            <a:rPr lang="en-US" sz="1400" b="1" i="0">
              <a:solidFill>
                <a:srgbClr val="002060"/>
              </a:solidFill>
              <a:effectLst/>
              <a:latin typeface="+mn-lt"/>
              <a:ea typeface="+mn-ea"/>
              <a:cs typeface="+mn-cs"/>
            </a:rPr>
            <a:t>New York</a:t>
          </a:r>
          <a:r>
            <a:rPr lang="en-US" sz="1400" b="0" i="0">
              <a:solidFill>
                <a:srgbClr val="002060"/>
              </a:solidFill>
              <a:effectLst/>
              <a:latin typeface="+mn-lt"/>
              <a:ea typeface="+mn-ea"/>
              <a:cs typeface="+mn-cs"/>
            </a:rPr>
            <a:t> is the clear leader, with sales ($67,180.50) significantly higher than the second-place city, Portland ($50,208.35).</a:t>
          </a:r>
        </a:p>
        <a:p>
          <a:pPr lvl="0" algn="ctr"/>
          <a:endParaRPr lang="en-US" sz="1400" b="0" i="0">
            <a:solidFill>
              <a:srgbClr val="002060"/>
            </a:solidFill>
            <a:effectLst/>
            <a:latin typeface="+mn-lt"/>
            <a:ea typeface="+mn-ea"/>
            <a:cs typeface="+mn-cs"/>
          </a:endParaRPr>
        </a:p>
        <a:p>
          <a:pPr lvl="0" algn="ctr"/>
          <a:r>
            <a:rPr lang="en-US" sz="1400" b="1" i="0">
              <a:solidFill>
                <a:srgbClr val="002060"/>
              </a:solidFill>
              <a:effectLst/>
              <a:latin typeface="+mn-lt"/>
              <a:ea typeface="+mn-ea"/>
              <a:cs typeface="+mn-cs"/>
            </a:rPr>
            <a:t>Distribution:</a:t>
          </a:r>
          <a:r>
            <a:rPr lang="en-US" sz="1400" b="0" i="0">
              <a:solidFill>
                <a:srgbClr val="002060"/>
              </a:solidFill>
              <a:effectLst/>
              <a:latin typeface="+mn-lt"/>
              <a:ea typeface="+mn-ea"/>
              <a:cs typeface="+mn-cs"/>
            </a:rPr>
            <a:t> There is a gradual decline in sales across the remaining top cities: Miami, Memphis, Chicago, and Milwaukee (which had the lowest sales among the top 6 at $37,428.00).</a:t>
          </a:r>
        </a:p>
        <a:p>
          <a:pPr lvl="0" algn="ctr"/>
          <a:endParaRPr lang="en-US" sz="1400" b="0" i="0">
            <a:solidFill>
              <a:srgbClr val="002060"/>
            </a:solidFill>
            <a:effectLst/>
            <a:latin typeface="+mn-lt"/>
            <a:ea typeface="+mn-ea"/>
            <a:cs typeface="+mn-cs"/>
          </a:endParaRPr>
        </a:p>
        <a:p>
          <a:pPr algn="ctr"/>
          <a:r>
            <a:rPr lang="en-US" sz="1400" b="1">
              <a:solidFill>
                <a:srgbClr val="002060"/>
              </a:solidFill>
              <a:effectLst/>
              <a:latin typeface="+mn-lt"/>
              <a:ea typeface="+mn-ea"/>
              <a:cs typeface="+mn-cs"/>
            </a:rPr>
            <a:t>Top 10 Customers (Horizontal Bar Chart)</a:t>
          </a:r>
        </a:p>
        <a:p>
          <a:pPr lvl="0" algn="ctr"/>
          <a:r>
            <a:rPr lang="en-US" sz="1400" b="1" i="0">
              <a:solidFill>
                <a:srgbClr val="002060"/>
              </a:solidFill>
              <a:effectLst/>
              <a:latin typeface="+mn-lt"/>
              <a:ea typeface="+mn-ea"/>
              <a:cs typeface="+mn-cs"/>
            </a:rPr>
            <a:t>Dominance:</a:t>
          </a:r>
          <a:r>
            <a:rPr lang="en-US" sz="1400" b="0" i="0">
              <a:solidFill>
                <a:srgbClr val="002060"/>
              </a:solidFill>
              <a:effectLst/>
              <a:latin typeface="+mn-lt"/>
              <a:ea typeface="+mn-ea"/>
              <a:cs typeface="+mn-cs"/>
            </a:rPr>
            <a:t> </a:t>
          </a:r>
          <a:r>
            <a:rPr lang="en-US" sz="1400" b="1" i="0">
              <a:solidFill>
                <a:srgbClr val="002060"/>
              </a:solidFill>
              <a:effectLst/>
              <a:latin typeface="+mn-lt"/>
              <a:ea typeface="+mn-ea"/>
              <a:cs typeface="+mn-cs"/>
            </a:rPr>
            <a:t>Company D</a:t>
          </a:r>
          <a:r>
            <a:rPr lang="en-US" sz="1400" b="0" i="0">
              <a:solidFill>
                <a:srgbClr val="002060"/>
              </a:solidFill>
              <a:effectLst/>
              <a:latin typeface="+mn-lt"/>
              <a:ea typeface="+mn-ea"/>
              <a:cs typeface="+mn-cs"/>
            </a:rPr>
            <a:t> is the top customer, accounting for </a:t>
          </a:r>
          <a:r>
            <a:rPr lang="en-US" sz="1400" b="1" i="0">
              <a:solidFill>
                <a:srgbClr val="002060"/>
              </a:solidFill>
              <a:effectLst/>
              <a:latin typeface="+mn-lt"/>
              <a:ea typeface="+mn-ea"/>
              <a:cs typeface="+mn-cs"/>
            </a:rPr>
            <a:t>41.70%</a:t>
          </a:r>
          <a:r>
            <a:rPr lang="en-US" sz="1400" b="0" i="0">
              <a:solidFill>
                <a:srgbClr val="002060"/>
              </a:solidFill>
              <a:effectLst/>
              <a:latin typeface="+mn-lt"/>
              <a:ea typeface="+mn-ea"/>
              <a:cs typeface="+mn-cs"/>
            </a:rPr>
            <a:t> of the top 10 volume.</a:t>
          </a:r>
        </a:p>
        <a:p>
          <a:pPr lvl="0" algn="ctr"/>
          <a:endParaRPr lang="en-US" sz="1400" b="0" i="0">
            <a:solidFill>
              <a:srgbClr val="002060"/>
            </a:solidFill>
            <a:effectLst/>
            <a:latin typeface="+mn-lt"/>
            <a:ea typeface="+mn-ea"/>
            <a:cs typeface="+mn-cs"/>
          </a:endParaRPr>
        </a:p>
        <a:p>
          <a:pPr lvl="0" algn="ctr"/>
          <a:r>
            <a:rPr lang="en-US" sz="1400" b="1" i="0">
              <a:solidFill>
                <a:srgbClr val="002060"/>
              </a:solidFill>
              <a:effectLst/>
              <a:latin typeface="+mn-lt"/>
              <a:ea typeface="+mn-ea"/>
              <a:cs typeface="+mn-cs"/>
            </a:rPr>
            <a:t>Distribution:</a:t>
          </a:r>
          <a:r>
            <a:rPr lang="en-US" sz="1400" b="0" i="0">
              <a:solidFill>
                <a:srgbClr val="002060"/>
              </a:solidFill>
              <a:effectLst/>
              <a:latin typeface="+mn-lt"/>
              <a:ea typeface="+mn-ea"/>
              <a:cs typeface="+mn-cs"/>
            </a:rPr>
            <a:t> </a:t>
          </a:r>
          <a:r>
            <a:rPr lang="en-US" sz="1400" b="1" i="0">
              <a:solidFill>
                <a:srgbClr val="002060"/>
              </a:solidFill>
              <a:effectLst/>
              <a:latin typeface="+mn-lt"/>
              <a:ea typeface="+mn-ea"/>
              <a:cs typeface="+mn-cs"/>
            </a:rPr>
            <a:t>Company H</a:t>
          </a:r>
          <a:r>
            <a:rPr lang="en-US" sz="1400" b="0" i="0">
              <a:solidFill>
                <a:srgbClr val="002060"/>
              </a:solidFill>
              <a:effectLst/>
              <a:latin typeface="+mn-lt"/>
              <a:ea typeface="+mn-ea"/>
              <a:cs typeface="+mn-cs"/>
            </a:rPr>
            <a:t> follows with </a:t>
          </a:r>
          <a:r>
            <a:rPr lang="en-US" sz="1400" b="1" i="0">
              <a:solidFill>
                <a:srgbClr val="002060"/>
              </a:solidFill>
              <a:effectLst/>
              <a:latin typeface="+mn-lt"/>
              <a:ea typeface="+mn-ea"/>
              <a:cs typeface="+mn-cs"/>
            </a:rPr>
            <a:t>31.17%</a:t>
          </a:r>
          <a:r>
            <a:rPr lang="en-US" sz="1400" b="0" i="0">
              <a:solidFill>
                <a:srgbClr val="002060"/>
              </a:solidFill>
              <a:effectLst/>
              <a:latin typeface="+mn-lt"/>
              <a:ea typeface="+mn-ea"/>
              <a:cs typeface="+mn-cs"/>
            </a:rPr>
            <a:t>, and </a:t>
          </a:r>
          <a:r>
            <a:rPr lang="en-US" sz="1400" b="1" i="0">
              <a:solidFill>
                <a:srgbClr val="002060"/>
              </a:solidFill>
              <a:effectLst/>
              <a:latin typeface="+mn-lt"/>
              <a:ea typeface="+mn-ea"/>
              <a:cs typeface="+mn-cs"/>
            </a:rPr>
            <a:t>Company BB</a:t>
          </a:r>
          <a:r>
            <a:rPr lang="en-US" sz="1400" b="0" i="0">
              <a:solidFill>
                <a:srgbClr val="002060"/>
              </a:solidFill>
              <a:effectLst/>
              <a:latin typeface="+mn-lt"/>
              <a:ea typeface="+mn-ea"/>
              <a:cs typeface="+mn-cs"/>
            </a:rPr>
            <a:t> holds </a:t>
          </a:r>
          <a:r>
            <a:rPr lang="en-US" sz="1400" b="1" i="0">
              <a:solidFill>
                <a:srgbClr val="002060"/>
              </a:solidFill>
              <a:effectLst/>
              <a:latin typeface="+mn-lt"/>
              <a:ea typeface="+mn-ea"/>
              <a:cs typeface="+mn-cs"/>
            </a:rPr>
            <a:t>27.13%</a:t>
          </a:r>
          <a:r>
            <a:rPr lang="en-US" sz="1400" b="0" i="0">
              <a:solidFill>
                <a:srgbClr val="002060"/>
              </a:solidFill>
              <a:effectLst/>
              <a:latin typeface="+mn-lt"/>
              <a:ea typeface="+mn-ea"/>
              <a:cs typeface="+mn-cs"/>
            </a:rPr>
            <a:t>.</a:t>
          </a:r>
        </a:p>
        <a:p>
          <a:pPr lvl="0" algn="ctr"/>
          <a:r>
            <a:rPr lang="en-US" sz="1400" b="1" i="0">
              <a:solidFill>
                <a:srgbClr val="002060"/>
              </a:solidFill>
              <a:effectLst/>
              <a:latin typeface="+mn-lt"/>
              <a:ea typeface="+mn-ea"/>
              <a:cs typeface="+mn-cs"/>
            </a:rPr>
            <a:t>Insight:</a:t>
          </a:r>
          <a:r>
            <a:rPr lang="en-US" sz="1400" b="0" i="0">
              <a:solidFill>
                <a:srgbClr val="002060"/>
              </a:solidFill>
              <a:effectLst/>
              <a:latin typeface="+mn-lt"/>
              <a:ea typeface="+mn-ea"/>
              <a:cs typeface="+mn-cs"/>
            </a:rPr>
            <a:t> The top 3 customers are fairly balanced, but Company D is the clear anchor client.</a:t>
          </a:r>
        </a:p>
        <a:p>
          <a:pPr lvl="0" algn="ctr"/>
          <a:endParaRPr lang="en-US" sz="1400" b="0" i="0">
            <a:solidFill>
              <a:srgbClr val="002060"/>
            </a:solidFill>
            <a:effectLst/>
            <a:latin typeface="+mn-lt"/>
            <a:ea typeface="+mn-ea"/>
            <a:cs typeface="+mn-cs"/>
          </a:endParaRPr>
        </a:p>
        <a:p>
          <a:pPr algn="ctr"/>
          <a:r>
            <a:rPr lang="en-US" sz="1400" b="1">
              <a:solidFill>
                <a:srgbClr val="002060"/>
              </a:solidFill>
              <a:effectLst/>
              <a:latin typeface="+mn-lt"/>
              <a:ea typeface="+mn-ea"/>
              <a:cs typeface="+mn-cs"/>
            </a:rPr>
            <a:t>8. Transactions by Amounts (Histogram)</a:t>
          </a:r>
        </a:p>
        <a:p>
          <a:pPr lvl="0" algn="ctr"/>
          <a:r>
            <a:rPr lang="en-US" sz="1400" b="1" i="0">
              <a:solidFill>
                <a:srgbClr val="002060"/>
              </a:solidFill>
              <a:effectLst/>
              <a:latin typeface="+mn-lt"/>
              <a:ea typeface="+mn-ea"/>
              <a:cs typeface="+mn-cs"/>
            </a:rPr>
            <a:t>Frequency:</a:t>
          </a:r>
          <a:r>
            <a:rPr lang="en-US" sz="1400" b="0" i="0">
              <a:solidFill>
                <a:srgbClr val="002060"/>
              </a:solidFill>
              <a:effectLst/>
              <a:latin typeface="+mn-lt"/>
              <a:ea typeface="+mn-ea"/>
              <a:cs typeface="+mn-cs"/>
            </a:rPr>
            <a:t> The vast majority of transactions fall into the </a:t>
          </a:r>
          <a:r>
            <a:rPr lang="en-US" sz="1400" b="1" i="0">
              <a:solidFill>
                <a:srgbClr val="002060"/>
              </a:solidFill>
              <a:effectLst/>
              <a:latin typeface="+mn-lt"/>
              <a:ea typeface="+mn-ea"/>
              <a:cs typeface="+mn-cs"/>
            </a:rPr>
            <a:t>&lt;1000</a:t>
          </a:r>
          <a:r>
            <a:rPr lang="en-US" sz="1400" b="0" i="0">
              <a:solidFill>
                <a:srgbClr val="002060"/>
              </a:solidFill>
              <a:effectLst/>
              <a:latin typeface="+mn-lt"/>
              <a:ea typeface="+mn-ea"/>
              <a:cs typeface="+mn-cs"/>
            </a:rPr>
            <a:t> category (218 transactions).</a:t>
          </a:r>
        </a:p>
        <a:p>
          <a:pPr lvl="0" algn="ctr"/>
          <a:endParaRPr lang="en-US" sz="1400" b="0" i="0">
            <a:solidFill>
              <a:srgbClr val="002060"/>
            </a:solidFill>
            <a:effectLst/>
            <a:latin typeface="+mn-lt"/>
            <a:ea typeface="+mn-ea"/>
            <a:cs typeface="+mn-cs"/>
          </a:endParaRPr>
        </a:p>
        <a:p>
          <a:pPr lvl="0" algn="ctr"/>
          <a:r>
            <a:rPr lang="en-US" sz="1400" b="1" i="0">
              <a:solidFill>
                <a:srgbClr val="002060"/>
              </a:solidFill>
              <a:effectLst/>
              <a:latin typeface="+mn-lt"/>
              <a:ea typeface="+mn-ea"/>
              <a:cs typeface="+mn-cs"/>
            </a:rPr>
            <a:t>Skew:</a:t>
          </a:r>
          <a:r>
            <a:rPr lang="en-US" sz="1400" b="0" i="0">
              <a:solidFill>
                <a:srgbClr val="002060"/>
              </a:solidFill>
              <a:effectLst/>
              <a:latin typeface="+mn-lt"/>
              <a:ea typeface="+mn-ea"/>
              <a:cs typeface="+mn-cs"/>
            </a:rPr>
            <a:t> There is a sharp drop-off in frequency as transaction value increases.</a:t>
          </a:r>
        </a:p>
        <a:p>
          <a:pPr lvl="0" algn="ctr"/>
          <a:endParaRPr lang="en-US" sz="1400" b="0" i="0">
            <a:solidFill>
              <a:srgbClr val="002060"/>
            </a:solidFill>
            <a:effectLst/>
            <a:latin typeface="+mn-lt"/>
            <a:ea typeface="+mn-ea"/>
            <a:cs typeface="+mn-cs"/>
          </a:endParaRPr>
        </a:p>
        <a:p>
          <a:pPr lvl="0" algn="ctr"/>
          <a:r>
            <a:rPr lang="en-US" sz="1400" b="1" i="0">
              <a:solidFill>
                <a:srgbClr val="002060"/>
              </a:solidFill>
              <a:effectLst/>
              <a:latin typeface="+mn-lt"/>
              <a:ea typeface="+mn-ea"/>
              <a:cs typeface="+mn-cs"/>
            </a:rPr>
            <a:t>High Value:</a:t>
          </a:r>
          <a:r>
            <a:rPr lang="en-US" sz="1400" b="0" i="0">
              <a:solidFill>
                <a:srgbClr val="002060"/>
              </a:solidFill>
              <a:effectLst/>
              <a:latin typeface="+mn-lt"/>
              <a:ea typeface="+mn-ea"/>
              <a:cs typeface="+mn-cs"/>
            </a:rPr>
            <a:t> Transactions above 4000 are rare (only 11 transactions total across the 4000-8000 range). This suggests the business relies on high volume, low-value transactions rather than a few large deals.</a:t>
          </a:r>
        </a:p>
        <a:p>
          <a:pPr algn="ctr"/>
          <a:endParaRPr lang="en-US" sz="1400">
            <a:solidFill>
              <a:schemeClr val="accent5">
                <a:lumMod val="50000"/>
              </a:schemeClr>
            </a:solidFill>
          </a:endParaRPr>
        </a:p>
      </xdr:txBody>
    </xdr:sp>
    <xdr:clientData/>
  </xdr:twoCellAnchor>
  <xdr:twoCellAnchor>
    <xdr:from>
      <xdr:col>20</xdr:col>
      <xdr:colOff>204108</xdr:colOff>
      <xdr:row>0</xdr:row>
      <xdr:rowOff>0</xdr:rowOff>
    </xdr:from>
    <xdr:to>
      <xdr:col>32</xdr:col>
      <xdr:colOff>158751</xdr:colOff>
      <xdr:row>28</xdr:row>
      <xdr:rowOff>124731</xdr:rowOff>
    </xdr:to>
    <xdr:sp macro="" textlink="">
      <xdr:nvSpPr>
        <xdr:cNvPr id="12" name="Rectangle: Rounded Corners 11">
          <a:extLst>
            <a:ext uri="{FF2B5EF4-FFF2-40B4-BE49-F238E27FC236}">
              <a16:creationId xmlns:a16="http://schemas.microsoft.com/office/drawing/2014/main" id="{EBF2826B-C85F-4F3F-A183-49451256A6FB}"/>
            </a:ext>
          </a:extLst>
        </xdr:cNvPr>
        <xdr:cNvSpPr/>
      </xdr:nvSpPr>
      <xdr:spPr>
        <a:xfrm>
          <a:off x="12450537" y="0"/>
          <a:ext cx="7302500" cy="5476874"/>
        </a:xfrm>
        <a:prstGeom prst="roundRect">
          <a:avLst>
            <a:gd name="adj" fmla="val 2381"/>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1"/>
        </a:p>
      </xdr:txBody>
    </xdr:sp>
    <xdr:clientData/>
  </xdr:twoCellAnchor>
  <xdr:twoCellAnchor>
    <xdr:from>
      <xdr:col>20</xdr:col>
      <xdr:colOff>351517</xdr:colOff>
      <xdr:row>1</xdr:row>
      <xdr:rowOff>147410</xdr:rowOff>
    </xdr:from>
    <xdr:to>
      <xdr:col>32</xdr:col>
      <xdr:colOff>11339</xdr:colOff>
      <xdr:row>27</xdr:row>
      <xdr:rowOff>124731</xdr:rowOff>
    </xdr:to>
    <xdr:sp macro="" textlink="">
      <xdr:nvSpPr>
        <xdr:cNvPr id="13" name="TextBox 12">
          <a:extLst>
            <a:ext uri="{FF2B5EF4-FFF2-40B4-BE49-F238E27FC236}">
              <a16:creationId xmlns:a16="http://schemas.microsoft.com/office/drawing/2014/main" id="{847F929C-73A5-43BD-9933-0A78769DC6E4}"/>
            </a:ext>
          </a:extLst>
        </xdr:cNvPr>
        <xdr:cNvSpPr txBox="1"/>
      </xdr:nvSpPr>
      <xdr:spPr>
        <a:xfrm>
          <a:off x="12597946" y="294821"/>
          <a:ext cx="7007679" cy="4989285"/>
        </a:xfrm>
        <a:prstGeom prst="rect">
          <a:avLst/>
        </a:prstGeom>
        <a:solidFill>
          <a:schemeClr val="accent5">
            <a:lumMod val="50000"/>
          </a:schemeClr>
        </a:solidFill>
        <a:ln w="9525" cmpd="sng">
          <a:solidFill>
            <a:schemeClr val="accent5">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bg1"/>
              </a:solidFill>
              <a:effectLst/>
              <a:latin typeface="+mn-lt"/>
              <a:ea typeface="+mn-ea"/>
              <a:cs typeface="+mn-cs"/>
            </a:rPr>
            <a:t>Performance by Cities (Map)</a:t>
          </a:r>
        </a:p>
        <a:p>
          <a:pPr lvl="0" algn="ctr"/>
          <a:r>
            <a:rPr lang="en-US" sz="1400" b="1" i="0">
              <a:solidFill>
                <a:schemeClr val="bg1"/>
              </a:solidFill>
              <a:effectLst/>
              <a:latin typeface="+mn-lt"/>
              <a:ea typeface="+mn-ea"/>
              <a:cs typeface="+mn-cs"/>
            </a:rPr>
            <a:t>Geographic Concentration:</a:t>
          </a:r>
          <a:r>
            <a:rPr lang="en-US" sz="1400" b="0" i="0">
              <a:solidFill>
                <a:schemeClr val="bg1"/>
              </a:solidFill>
              <a:effectLst/>
              <a:latin typeface="+mn-lt"/>
              <a:ea typeface="+mn-ea"/>
              <a:cs typeface="+mn-cs"/>
            </a:rPr>
            <a:t> The map highlights revenue distribution across the US.</a:t>
          </a:r>
        </a:p>
        <a:p>
          <a:pPr lvl="0" algn="ctr"/>
          <a:r>
            <a:rPr lang="en-US" sz="1400" b="1" i="0">
              <a:solidFill>
                <a:schemeClr val="bg1"/>
              </a:solidFill>
              <a:effectLst/>
              <a:latin typeface="+mn-lt"/>
              <a:ea typeface="+mn-ea"/>
              <a:cs typeface="+mn-cs"/>
            </a:rPr>
            <a:t>High Revenue Areas:</a:t>
          </a:r>
          <a:r>
            <a:rPr lang="en-US" sz="1400" b="0" i="0">
              <a:solidFill>
                <a:schemeClr val="bg1"/>
              </a:solidFill>
              <a:effectLst/>
              <a:latin typeface="+mn-lt"/>
              <a:ea typeface="+mn-ea"/>
              <a:cs typeface="+mn-cs"/>
            </a:rPr>
            <a:t> The darker shading indicates higher revenue concentration on the East Coast (specifically the Northeast/New York area) and the West Coast (California/Washington), correlating with the "Top Ship Cities" data.</a:t>
          </a:r>
        </a:p>
        <a:p>
          <a:pPr lvl="0" algn="ctr"/>
          <a:endParaRPr lang="en-US" sz="1400" b="0" i="0">
            <a:solidFill>
              <a:schemeClr val="bg1"/>
            </a:solidFill>
            <a:effectLst/>
            <a:latin typeface="+mn-lt"/>
            <a:ea typeface="+mn-ea"/>
            <a:cs typeface="+mn-cs"/>
          </a:endParaRPr>
        </a:p>
        <a:p>
          <a:pPr algn="ctr"/>
          <a:r>
            <a:rPr lang="en-US" sz="1400" b="1">
              <a:solidFill>
                <a:schemeClr val="bg1"/>
              </a:solidFill>
              <a:effectLst/>
              <a:latin typeface="+mn-lt"/>
              <a:ea typeface="+mn-ea"/>
              <a:cs typeface="+mn-cs"/>
            </a:rPr>
            <a:t>Sales Performance by Reps (Horizontal Bar Chart)</a:t>
          </a:r>
        </a:p>
        <a:p>
          <a:pPr lvl="0" algn="ctr"/>
          <a:r>
            <a:rPr lang="en-US" sz="1400" b="1" i="0">
              <a:solidFill>
                <a:schemeClr val="bg1"/>
              </a:solidFill>
              <a:effectLst/>
              <a:latin typeface="+mn-lt"/>
              <a:ea typeface="+mn-ea"/>
              <a:cs typeface="+mn-cs"/>
            </a:rPr>
            <a:t>Top Performer:</a:t>
          </a:r>
          <a:r>
            <a:rPr lang="en-US" sz="1400" b="0" i="0">
              <a:solidFill>
                <a:schemeClr val="bg1"/>
              </a:solidFill>
              <a:effectLst/>
              <a:latin typeface="+mn-lt"/>
              <a:ea typeface="+mn-ea"/>
              <a:cs typeface="+mn-cs"/>
            </a:rPr>
            <a:t> </a:t>
          </a:r>
          <a:r>
            <a:rPr lang="en-US" sz="1400" b="1" i="0">
              <a:solidFill>
                <a:schemeClr val="bg1"/>
              </a:solidFill>
              <a:effectLst/>
              <a:latin typeface="+mn-lt"/>
              <a:ea typeface="+mn-ea"/>
              <a:cs typeface="+mn-cs"/>
            </a:rPr>
            <a:t>Nancy Freehafer</a:t>
          </a:r>
          <a:r>
            <a:rPr lang="en-US" sz="1400" b="0" i="0">
              <a:solidFill>
                <a:schemeClr val="bg1"/>
              </a:solidFill>
              <a:effectLst/>
              <a:latin typeface="+mn-lt"/>
              <a:ea typeface="+mn-ea"/>
              <a:cs typeface="+mn-cs"/>
            </a:rPr>
            <a:t> leads with </a:t>
          </a:r>
          <a:r>
            <a:rPr lang="en-US" sz="1400" b="1" i="0">
              <a:solidFill>
                <a:schemeClr val="bg1"/>
              </a:solidFill>
              <a:effectLst/>
              <a:latin typeface="+mn-lt"/>
              <a:ea typeface="+mn-ea"/>
              <a:cs typeface="+mn-cs"/>
            </a:rPr>
            <a:t>39.30%</a:t>
          </a:r>
          <a:r>
            <a:rPr lang="en-US" sz="1400" b="0" i="0">
              <a:solidFill>
                <a:schemeClr val="bg1"/>
              </a:solidFill>
              <a:effectLst/>
              <a:latin typeface="+mn-lt"/>
              <a:ea typeface="+mn-ea"/>
              <a:cs typeface="+mn-cs"/>
            </a:rPr>
            <a:t> of the sales performance shown.</a:t>
          </a:r>
        </a:p>
        <a:p>
          <a:pPr lvl="0" algn="ctr"/>
          <a:r>
            <a:rPr lang="en-US" sz="1400" b="1" i="0">
              <a:solidFill>
                <a:schemeClr val="bg1"/>
              </a:solidFill>
              <a:effectLst/>
              <a:latin typeface="+mn-lt"/>
              <a:ea typeface="+mn-ea"/>
              <a:cs typeface="+mn-cs"/>
            </a:rPr>
            <a:t>Second Place:</a:t>
          </a:r>
          <a:r>
            <a:rPr lang="en-US" sz="1400" b="0" i="0">
              <a:solidFill>
                <a:schemeClr val="bg1"/>
              </a:solidFill>
              <a:effectLst/>
              <a:latin typeface="+mn-lt"/>
              <a:ea typeface="+mn-ea"/>
              <a:cs typeface="+mn-cs"/>
            </a:rPr>
            <a:t> </a:t>
          </a:r>
          <a:r>
            <a:rPr lang="en-US" sz="1400" b="1" i="0">
              <a:solidFill>
                <a:schemeClr val="bg1"/>
              </a:solidFill>
              <a:effectLst/>
              <a:latin typeface="+mn-lt"/>
              <a:ea typeface="+mn-ea"/>
              <a:cs typeface="+mn-cs"/>
            </a:rPr>
            <a:t>Anne Larsen</a:t>
          </a:r>
          <a:r>
            <a:rPr lang="en-US" sz="1400" b="0" i="0">
              <a:solidFill>
                <a:schemeClr val="bg1"/>
              </a:solidFill>
              <a:effectLst/>
              <a:latin typeface="+mn-lt"/>
              <a:ea typeface="+mn-ea"/>
              <a:cs typeface="+mn-cs"/>
            </a:rPr>
            <a:t> follows closely with </a:t>
          </a:r>
          <a:r>
            <a:rPr lang="en-US" sz="1400" b="1" i="0">
              <a:solidFill>
                <a:schemeClr val="bg1"/>
              </a:solidFill>
              <a:effectLst/>
              <a:latin typeface="+mn-lt"/>
              <a:ea typeface="+mn-ea"/>
              <a:cs typeface="+mn-cs"/>
            </a:rPr>
            <a:t>35.38%</a:t>
          </a:r>
          <a:r>
            <a:rPr lang="en-US" sz="1400" b="0" i="0">
              <a:solidFill>
                <a:schemeClr val="bg1"/>
              </a:solidFill>
              <a:effectLst/>
              <a:latin typeface="+mn-lt"/>
              <a:ea typeface="+mn-ea"/>
              <a:cs typeface="+mn-cs"/>
            </a:rPr>
            <a:t>.</a:t>
          </a:r>
        </a:p>
        <a:p>
          <a:pPr lvl="0" algn="ctr"/>
          <a:r>
            <a:rPr lang="en-US" sz="1400" b="1" i="0">
              <a:solidFill>
                <a:schemeClr val="bg1"/>
              </a:solidFill>
              <a:effectLst/>
              <a:latin typeface="+mn-lt"/>
              <a:ea typeface="+mn-ea"/>
              <a:cs typeface="+mn-cs"/>
            </a:rPr>
            <a:t>Third Place:</a:t>
          </a:r>
          <a:r>
            <a:rPr lang="en-US" sz="1400" b="0" i="0">
              <a:solidFill>
                <a:schemeClr val="bg1"/>
              </a:solidFill>
              <a:effectLst/>
              <a:latin typeface="+mn-lt"/>
              <a:ea typeface="+mn-ea"/>
              <a:cs typeface="+mn-cs"/>
            </a:rPr>
            <a:t> </a:t>
          </a:r>
          <a:r>
            <a:rPr lang="en-US" sz="1400" b="1" i="0">
              <a:solidFill>
                <a:schemeClr val="bg1"/>
              </a:solidFill>
              <a:effectLst/>
              <a:latin typeface="+mn-lt"/>
              <a:ea typeface="+mn-ea"/>
              <a:cs typeface="+mn-cs"/>
            </a:rPr>
            <a:t>Andrew Cencini</a:t>
          </a:r>
          <a:r>
            <a:rPr lang="en-US" sz="1400" b="0" i="0">
              <a:solidFill>
                <a:schemeClr val="bg1"/>
              </a:solidFill>
              <a:effectLst/>
              <a:latin typeface="+mn-lt"/>
              <a:ea typeface="+mn-ea"/>
              <a:cs typeface="+mn-cs"/>
            </a:rPr>
            <a:t> holds </a:t>
          </a:r>
          <a:r>
            <a:rPr lang="en-US" sz="1400" b="1" i="0">
              <a:solidFill>
                <a:schemeClr val="bg1"/>
              </a:solidFill>
              <a:effectLst/>
              <a:latin typeface="+mn-lt"/>
              <a:ea typeface="+mn-ea"/>
              <a:cs typeface="+mn-cs"/>
            </a:rPr>
            <a:t>25.32%</a:t>
          </a:r>
          <a:r>
            <a:rPr lang="en-US" sz="1400" b="0" i="0">
              <a:solidFill>
                <a:schemeClr val="bg1"/>
              </a:solidFill>
              <a:effectLst/>
              <a:latin typeface="+mn-lt"/>
              <a:ea typeface="+mn-ea"/>
              <a:cs typeface="+mn-cs"/>
            </a:rPr>
            <a:t>.</a:t>
          </a:r>
        </a:p>
        <a:p>
          <a:pPr lvl="0" algn="ctr"/>
          <a:endParaRPr lang="en-US" sz="1400" b="0" i="0">
            <a:solidFill>
              <a:schemeClr val="bg1"/>
            </a:solidFill>
            <a:effectLst/>
            <a:latin typeface="+mn-lt"/>
            <a:ea typeface="+mn-ea"/>
            <a:cs typeface="+mn-cs"/>
          </a:endParaRPr>
        </a:p>
        <a:p>
          <a:pPr lvl="0" algn="ctr"/>
          <a:r>
            <a:rPr lang="en-US" sz="1400" b="1" i="0">
              <a:solidFill>
                <a:schemeClr val="bg1"/>
              </a:solidFill>
              <a:effectLst/>
              <a:latin typeface="+mn-lt"/>
              <a:ea typeface="+mn-ea"/>
              <a:cs typeface="+mn-cs"/>
            </a:rPr>
            <a:t>Insight:</a:t>
          </a:r>
          <a:r>
            <a:rPr lang="en-US" sz="1400" b="0" i="0">
              <a:solidFill>
                <a:schemeClr val="bg1"/>
              </a:solidFill>
              <a:effectLst/>
              <a:latin typeface="+mn-lt"/>
              <a:ea typeface="+mn-ea"/>
              <a:cs typeface="+mn-cs"/>
            </a:rPr>
            <a:t> The sales performance is relatively concentrated among these top three reps, with Nancy and Anne accounting for nearly 75% combined.</a:t>
          </a:r>
        </a:p>
        <a:p>
          <a:pPr algn="ctr"/>
          <a:r>
            <a:rPr lang="en-US" sz="1400" b="1">
              <a:solidFill>
                <a:schemeClr val="bg1"/>
              </a:solidFill>
              <a:effectLst/>
              <a:latin typeface="+mn-lt"/>
              <a:ea typeface="+mn-ea"/>
              <a:cs typeface="+mn-cs"/>
            </a:rPr>
            <a:t>6. Sales Performance by Region (Pie Chart)</a:t>
          </a:r>
        </a:p>
        <a:p>
          <a:pPr algn="ctr"/>
          <a:endParaRPr lang="en-US" sz="1400" b="0" i="0">
            <a:solidFill>
              <a:schemeClr val="bg1"/>
            </a:solidFill>
            <a:effectLst/>
            <a:latin typeface="+mn-lt"/>
            <a:ea typeface="+mn-ea"/>
            <a:cs typeface="+mn-cs"/>
          </a:endParaRPr>
        </a:p>
        <a:p>
          <a:pPr lvl="0" algn="ctr"/>
          <a:r>
            <a:rPr lang="en-US" sz="1400" b="1" i="0">
              <a:solidFill>
                <a:schemeClr val="bg1"/>
              </a:solidFill>
              <a:effectLst/>
              <a:latin typeface="+mn-lt"/>
              <a:ea typeface="+mn-ea"/>
              <a:cs typeface="+mn-cs"/>
            </a:rPr>
            <a:t>Top Region:</a:t>
          </a:r>
          <a:r>
            <a:rPr lang="en-US" sz="1400" b="0" i="0">
              <a:solidFill>
                <a:schemeClr val="bg1"/>
              </a:solidFill>
              <a:effectLst/>
              <a:latin typeface="+mn-lt"/>
              <a:ea typeface="+mn-ea"/>
              <a:cs typeface="+mn-cs"/>
            </a:rPr>
            <a:t> The </a:t>
          </a:r>
          <a:r>
            <a:rPr lang="en-US" sz="1400" b="1" i="0">
              <a:solidFill>
                <a:schemeClr val="bg1"/>
              </a:solidFill>
              <a:effectLst/>
              <a:latin typeface="+mn-lt"/>
              <a:ea typeface="+mn-ea"/>
              <a:cs typeface="+mn-cs"/>
            </a:rPr>
            <a:t>North</a:t>
          </a:r>
          <a:r>
            <a:rPr lang="en-US" sz="1400" b="0" i="0">
              <a:solidFill>
                <a:schemeClr val="bg1"/>
              </a:solidFill>
              <a:effectLst/>
              <a:latin typeface="+mn-lt"/>
              <a:ea typeface="+mn-ea"/>
              <a:cs typeface="+mn-cs"/>
            </a:rPr>
            <a:t> region is the largest slice, generating </a:t>
          </a:r>
          <a:r>
            <a:rPr lang="en-US" sz="1400" b="1" i="0">
              <a:solidFill>
                <a:schemeClr val="bg1"/>
              </a:solidFill>
              <a:effectLst/>
              <a:latin typeface="+mn-lt"/>
              <a:ea typeface="+mn-ea"/>
              <a:cs typeface="+mn-cs"/>
            </a:rPr>
            <a:t>$141,680.34</a:t>
          </a:r>
          <a:r>
            <a:rPr lang="en-US" sz="1400" b="0" i="0">
              <a:solidFill>
                <a:schemeClr val="bg1"/>
              </a:solidFill>
              <a:effectLst/>
              <a:latin typeface="+mn-lt"/>
              <a:ea typeface="+mn-ea"/>
              <a:cs typeface="+mn-cs"/>
            </a:rPr>
            <a:t>.</a:t>
          </a:r>
        </a:p>
        <a:p>
          <a:pPr lvl="0" algn="ctr"/>
          <a:r>
            <a:rPr lang="en-US" sz="1400" b="1" i="0">
              <a:solidFill>
                <a:schemeClr val="bg1"/>
              </a:solidFill>
              <a:effectLst/>
              <a:latin typeface="+mn-lt"/>
              <a:ea typeface="+mn-ea"/>
              <a:cs typeface="+mn-cs"/>
            </a:rPr>
            <a:t>Second Place:</a:t>
          </a:r>
          <a:r>
            <a:rPr lang="en-US" sz="1400" b="0" i="0">
              <a:solidFill>
                <a:schemeClr val="bg1"/>
              </a:solidFill>
              <a:effectLst/>
              <a:latin typeface="+mn-lt"/>
              <a:ea typeface="+mn-ea"/>
              <a:cs typeface="+mn-cs"/>
            </a:rPr>
            <a:t> The </a:t>
          </a:r>
          <a:r>
            <a:rPr lang="en-US" sz="1400" b="1" i="0">
              <a:solidFill>
                <a:schemeClr val="bg1"/>
              </a:solidFill>
              <a:effectLst/>
              <a:latin typeface="+mn-lt"/>
              <a:ea typeface="+mn-ea"/>
              <a:cs typeface="+mn-cs"/>
            </a:rPr>
            <a:t>West</a:t>
          </a:r>
          <a:r>
            <a:rPr lang="en-US" sz="1400" b="0" i="0">
              <a:solidFill>
                <a:schemeClr val="bg1"/>
              </a:solidFill>
              <a:effectLst/>
              <a:latin typeface="+mn-lt"/>
              <a:ea typeface="+mn-ea"/>
              <a:cs typeface="+mn-cs"/>
            </a:rPr>
            <a:t> generates </a:t>
          </a:r>
          <a:r>
            <a:rPr lang="en-US" sz="1400" b="1" i="0">
              <a:solidFill>
                <a:schemeClr val="bg1"/>
              </a:solidFill>
              <a:effectLst/>
              <a:latin typeface="+mn-lt"/>
              <a:ea typeface="+mn-ea"/>
              <a:cs typeface="+mn-cs"/>
            </a:rPr>
            <a:t>$108,275.51</a:t>
          </a:r>
          <a:r>
            <a:rPr lang="en-US" sz="1400" b="0" i="0">
              <a:solidFill>
                <a:schemeClr val="bg1"/>
              </a:solidFill>
              <a:effectLst/>
              <a:latin typeface="+mn-lt"/>
              <a:ea typeface="+mn-ea"/>
              <a:cs typeface="+mn-cs"/>
            </a:rPr>
            <a:t>.</a:t>
          </a:r>
        </a:p>
        <a:p>
          <a:pPr lvl="0" algn="ctr"/>
          <a:r>
            <a:rPr lang="en-US" sz="1400" b="1" i="0">
              <a:solidFill>
                <a:schemeClr val="bg1"/>
              </a:solidFill>
              <a:effectLst/>
              <a:latin typeface="+mn-lt"/>
              <a:ea typeface="+mn-ea"/>
              <a:cs typeface="+mn-cs"/>
            </a:rPr>
            <a:t>Third Place:</a:t>
          </a:r>
          <a:r>
            <a:rPr lang="en-US" sz="1400" b="0" i="0">
              <a:solidFill>
                <a:schemeClr val="bg1"/>
              </a:solidFill>
              <a:effectLst/>
              <a:latin typeface="+mn-lt"/>
              <a:ea typeface="+mn-ea"/>
              <a:cs typeface="+mn-cs"/>
            </a:rPr>
            <a:t> The </a:t>
          </a:r>
          <a:r>
            <a:rPr lang="en-US" sz="1400" b="1" i="0">
              <a:solidFill>
                <a:schemeClr val="bg1"/>
              </a:solidFill>
              <a:effectLst/>
              <a:latin typeface="+mn-lt"/>
              <a:ea typeface="+mn-ea"/>
              <a:cs typeface="+mn-cs"/>
            </a:rPr>
            <a:t>South</a:t>
          </a:r>
          <a:r>
            <a:rPr lang="en-US" sz="1400" b="0" i="0">
              <a:solidFill>
                <a:schemeClr val="bg1"/>
              </a:solidFill>
              <a:effectLst/>
              <a:latin typeface="+mn-lt"/>
              <a:ea typeface="+mn-ea"/>
              <a:cs typeface="+mn-cs"/>
            </a:rPr>
            <a:t> generates </a:t>
          </a:r>
          <a:r>
            <a:rPr lang="en-US" sz="1400" b="1" i="0">
              <a:solidFill>
                <a:schemeClr val="bg1"/>
              </a:solidFill>
              <a:effectLst/>
              <a:latin typeface="+mn-lt"/>
              <a:ea typeface="+mn-ea"/>
              <a:cs typeface="+mn-cs"/>
            </a:rPr>
            <a:t>$93,858.33</a:t>
          </a:r>
          <a:r>
            <a:rPr lang="en-US" sz="1400" b="0" i="0">
              <a:solidFill>
                <a:schemeClr val="bg1"/>
              </a:solidFill>
              <a:effectLst/>
              <a:latin typeface="+mn-lt"/>
              <a:ea typeface="+mn-ea"/>
              <a:cs typeface="+mn-cs"/>
            </a:rPr>
            <a:t>.</a:t>
          </a:r>
        </a:p>
        <a:p>
          <a:pPr lvl="0" algn="ctr"/>
          <a:r>
            <a:rPr lang="en-US" sz="1400" b="1" i="0">
              <a:solidFill>
                <a:schemeClr val="bg1"/>
              </a:solidFill>
              <a:effectLst/>
              <a:latin typeface="+mn-lt"/>
              <a:ea typeface="+mn-ea"/>
              <a:cs typeface="+mn-cs"/>
            </a:rPr>
            <a:t>Fourth Place:</a:t>
          </a:r>
          <a:r>
            <a:rPr lang="en-US" sz="1400" b="0" i="0">
              <a:solidFill>
                <a:schemeClr val="bg1"/>
              </a:solidFill>
              <a:effectLst/>
              <a:latin typeface="+mn-lt"/>
              <a:ea typeface="+mn-ea"/>
              <a:cs typeface="+mn-cs"/>
            </a:rPr>
            <a:t> The </a:t>
          </a:r>
          <a:r>
            <a:rPr lang="en-US" sz="1400" b="1" i="0">
              <a:solidFill>
                <a:schemeClr val="bg1"/>
              </a:solidFill>
              <a:effectLst/>
              <a:latin typeface="+mn-lt"/>
              <a:ea typeface="+mn-ea"/>
              <a:cs typeface="+mn-cs"/>
            </a:rPr>
            <a:t>East</a:t>
          </a:r>
          <a:r>
            <a:rPr lang="en-US" sz="1400" b="0" i="0">
              <a:solidFill>
                <a:schemeClr val="bg1"/>
              </a:solidFill>
              <a:effectLst/>
              <a:latin typeface="+mn-lt"/>
              <a:ea typeface="+mn-ea"/>
              <a:cs typeface="+mn-cs"/>
            </a:rPr>
            <a:t> is the smallest contributor at </a:t>
          </a:r>
          <a:r>
            <a:rPr lang="en-US" sz="1400" b="1" i="0">
              <a:solidFill>
                <a:schemeClr val="bg1"/>
              </a:solidFill>
              <a:effectLst/>
              <a:latin typeface="+mn-lt"/>
              <a:ea typeface="+mn-ea"/>
              <a:cs typeface="+mn-cs"/>
            </a:rPr>
            <a:t>$91,251.98</a:t>
          </a:r>
          <a:r>
            <a:rPr lang="en-US" sz="1400" b="0" i="0">
              <a:solidFill>
                <a:schemeClr val="bg1"/>
              </a:solidFill>
              <a:effectLst/>
              <a:latin typeface="+mn-lt"/>
              <a:ea typeface="+mn-ea"/>
              <a:cs typeface="+mn-cs"/>
            </a:rPr>
            <a:t>.</a:t>
          </a:r>
        </a:p>
        <a:p>
          <a:pPr lvl="0" algn="ctr"/>
          <a:r>
            <a:rPr lang="en-US" sz="1400" b="1" i="0">
              <a:solidFill>
                <a:schemeClr val="bg1"/>
              </a:solidFill>
              <a:effectLst/>
              <a:latin typeface="+mn-lt"/>
              <a:ea typeface="+mn-ea"/>
              <a:cs typeface="+mn-cs"/>
            </a:rPr>
            <a:t>Insight:</a:t>
          </a:r>
          <a:r>
            <a:rPr lang="en-US" sz="1400" b="0" i="0">
              <a:solidFill>
                <a:schemeClr val="bg1"/>
              </a:solidFill>
              <a:effectLst/>
              <a:latin typeface="+mn-lt"/>
              <a:ea typeface="+mn-ea"/>
              <a:cs typeface="+mn-cs"/>
            </a:rPr>
            <a:t> There is a significant gap between the North (leader) and the East (lowest), with roughly a $50k difference.</a:t>
          </a:r>
        </a:p>
        <a:p>
          <a:endParaRPr lang="en-US" sz="1100">
            <a:solidFill>
              <a:schemeClr val="bg1"/>
            </a:solidFill>
          </a:endParaRPr>
        </a:p>
      </xdr:txBody>
    </xdr:sp>
    <xdr:clientData/>
  </xdr:twoCellAnchor>
  <xdr:twoCellAnchor>
    <xdr:from>
      <xdr:col>23</xdr:col>
      <xdr:colOff>45357</xdr:colOff>
      <xdr:row>30</xdr:row>
      <xdr:rowOff>147410</xdr:rowOff>
    </xdr:from>
    <xdr:to>
      <xdr:col>32</xdr:col>
      <xdr:colOff>487590</xdr:colOff>
      <xdr:row>39</xdr:row>
      <xdr:rowOff>22679</xdr:rowOff>
    </xdr:to>
    <xdr:sp macro="" textlink="">
      <xdr:nvSpPr>
        <xdr:cNvPr id="15" name="TextBox 14">
          <a:extLst>
            <a:ext uri="{FF2B5EF4-FFF2-40B4-BE49-F238E27FC236}">
              <a16:creationId xmlns:a16="http://schemas.microsoft.com/office/drawing/2014/main" id="{364870D5-FFBD-42EB-8DF8-1EFED0924F5B}"/>
            </a:ext>
          </a:extLst>
        </xdr:cNvPr>
        <xdr:cNvSpPr txBox="1"/>
      </xdr:nvSpPr>
      <xdr:spPr>
        <a:xfrm>
          <a:off x="14128750" y="5885089"/>
          <a:ext cx="5953126" cy="16101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0</xdr:col>
      <xdr:colOff>442232</xdr:colOff>
      <xdr:row>3</xdr:row>
      <xdr:rowOff>45358</xdr:rowOff>
    </xdr:from>
    <xdr:to>
      <xdr:col>8</xdr:col>
      <xdr:colOff>396875</xdr:colOff>
      <xdr:row>35</xdr:row>
      <xdr:rowOff>68036</xdr:rowOff>
    </xdr:to>
    <xdr:sp macro="" textlink="">
      <xdr:nvSpPr>
        <xdr:cNvPr id="24" name="TextBox 23">
          <a:extLst>
            <a:ext uri="{FF2B5EF4-FFF2-40B4-BE49-F238E27FC236}">
              <a16:creationId xmlns:a16="http://schemas.microsoft.com/office/drawing/2014/main" id="{DF44F787-FB94-2679-8195-35ED8365F74C}"/>
            </a:ext>
          </a:extLst>
        </xdr:cNvPr>
        <xdr:cNvSpPr txBox="1"/>
      </xdr:nvSpPr>
      <xdr:spPr>
        <a:xfrm>
          <a:off x="442232" y="578304"/>
          <a:ext cx="4853214" cy="6191250"/>
        </a:xfrm>
        <a:prstGeom prst="rect">
          <a:avLst/>
        </a:prstGeom>
        <a:solidFill>
          <a:schemeClr val="accent5">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effectLst/>
              <a:latin typeface="+mn-lt"/>
              <a:ea typeface="+mn-ea"/>
              <a:cs typeface="+mn-cs"/>
            </a:rPr>
            <a:t>KPI Cards (Top Row)</a:t>
          </a:r>
        </a:p>
        <a:p>
          <a:pPr lvl="0"/>
          <a:r>
            <a:rPr lang="en-US" sz="1400" b="1" i="0">
              <a:solidFill>
                <a:schemeClr val="bg1"/>
              </a:solidFill>
              <a:effectLst/>
              <a:latin typeface="+mn-lt"/>
              <a:ea typeface="+mn-ea"/>
              <a:cs typeface="+mn-cs"/>
            </a:rPr>
            <a:t>Sales Trend:</a:t>
          </a:r>
          <a:r>
            <a:rPr lang="en-US" sz="1400" b="0" i="0">
              <a:solidFill>
                <a:schemeClr val="bg1"/>
              </a:solidFill>
              <a:effectLst/>
              <a:latin typeface="+mn-lt"/>
              <a:ea typeface="+mn-ea"/>
              <a:cs typeface="+mn-cs"/>
            </a:rPr>
            <a:t> The month with the highest sales trend was </a:t>
          </a:r>
          <a:r>
            <a:rPr lang="en-US" sz="1400" b="1" i="0">
              <a:solidFill>
                <a:schemeClr val="bg1"/>
              </a:solidFill>
              <a:effectLst/>
              <a:latin typeface="+mn-lt"/>
              <a:ea typeface="+mn-ea"/>
              <a:cs typeface="+mn-cs"/>
            </a:rPr>
            <a:t>June</a:t>
          </a:r>
          <a:r>
            <a:rPr lang="en-US" sz="1400" b="0" i="0">
              <a:solidFill>
                <a:schemeClr val="bg1"/>
              </a:solidFill>
              <a:effectLst/>
              <a:latin typeface="+mn-lt"/>
              <a:ea typeface="+mn-ea"/>
              <a:cs typeface="+mn-cs"/>
            </a:rPr>
            <a:t>.</a:t>
          </a:r>
        </a:p>
        <a:p>
          <a:pPr lvl="0"/>
          <a:endParaRPr lang="en-US" sz="1400" b="0" i="0">
            <a:solidFill>
              <a:schemeClr val="bg1"/>
            </a:solidFill>
            <a:effectLst/>
            <a:latin typeface="+mn-lt"/>
            <a:ea typeface="+mn-ea"/>
            <a:cs typeface="+mn-cs"/>
          </a:endParaRPr>
        </a:p>
        <a:p>
          <a:pPr lvl="0"/>
          <a:r>
            <a:rPr lang="en-US" sz="1400" b="1" i="0">
              <a:solidFill>
                <a:schemeClr val="bg1"/>
              </a:solidFill>
              <a:effectLst/>
              <a:latin typeface="+mn-lt"/>
              <a:ea typeface="+mn-ea"/>
              <a:cs typeface="+mn-cs"/>
            </a:rPr>
            <a:t>Top Region:</a:t>
          </a:r>
          <a:r>
            <a:rPr lang="en-US" sz="1400" b="0" i="0">
              <a:solidFill>
                <a:schemeClr val="bg1"/>
              </a:solidFill>
              <a:effectLst/>
              <a:latin typeface="+mn-lt"/>
              <a:ea typeface="+mn-ea"/>
              <a:cs typeface="+mn-cs"/>
            </a:rPr>
            <a:t> The </a:t>
          </a:r>
          <a:r>
            <a:rPr lang="en-US" sz="1400" b="1" i="0">
              <a:solidFill>
                <a:schemeClr val="bg1"/>
              </a:solidFill>
              <a:effectLst/>
              <a:latin typeface="+mn-lt"/>
              <a:ea typeface="+mn-ea"/>
              <a:cs typeface="+mn-cs"/>
            </a:rPr>
            <a:t>North</a:t>
          </a:r>
          <a:r>
            <a:rPr lang="en-US" sz="1400" b="0" i="0">
              <a:solidFill>
                <a:schemeClr val="bg1"/>
              </a:solidFill>
              <a:effectLst/>
              <a:latin typeface="+mn-lt"/>
              <a:ea typeface="+mn-ea"/>
              <a:cs typeface="+mn-cs"/>
            </a:rPr>
            <a:t> region was the top performing region.</a:t>
          </a:r>
        </a:p>
        <a:p>
          <a:pPr lvl="0"/>
          <a:endParaRPr lang="en-US" sz="1400" b="0" i="0">
            <a:solidFill>
              <a:schemeClr val="bg1"/>
            </a:solidFill>
            <a:effectLst/>
            <a:latin typeface="+mn-lt"/>
            <a:ea typeface="+mn-ea"/>
            <a:cs typeface="+mn-cs"/>
          </a:endParaRPr>
        </a:p>
        <a:p>
          <a:pPr lvl="0"/>
          <a:r>
            <a:rPr lang="en-US" sz="1400" b="1" i="0">
              <a:solidFill>
                <a:schemeClr val="bg1"/>
              </a:solidFill>
              <a:effectLst/>
              <a:latin typeface="+mn-lt"/>
              <a:ea typeface="+mn-ea"/>
              <a:cs typeface="+mn-cs"/>
            </a:rPr>
            <a:t>Top City:</a:t>
          </a:r>
          <a:r>
            <a:rPr lang="en-US" sz="1400" b="0" i="0">
              <a:solidFill>
                <a:schemeClr val="bg1"/>
              </a:solidFill>
              <a:effectLst/>
              <a:latin typeface="+mn-lt"/>
              <a:ea typeface="+mn-ea"/>
              <a:cs typeface="+mn-cs"/>
            </a:rPr>
            <a:t> </a:t>
          </a:r>
          <a:r>
            <a:rPr lang="en-US" sz="1400" b="1" i="0">
              <a:solidFill>
                <a:schemeClr val="bg1"/>
              </a:solidFill>
              <a:effectLst/>
              <a:latin typeface="+mn-lt"/>
              <a:ea typeface="+mn-ea"/>
              <a:cs typeface="+mn-cs"/>
            </a:rPr>
            <a:t>New York</a:t>
          </a:r>
          <a:r>
            <a:rPr lang="en-US" sz="1400" b="0" i="0">
              <a:solidFill>
                <a:schemeClr val="bg1"/>
              </a:solidFill>
              <a:effectLst/>
              <a:latin typeface="+mn-lt"/>
              <a:ea typeface="+mn-ea"/>
              <a:cs typeface="+mn-cs"/>
            </a:rPr>
            <a:t> was the best performing ship city.</a:t>
          </a:r>
        </a:p>
        <a:p>
          <a:pPr lvl="0"/>
          <a:endParaRPr lang="en-US" sz="1400" b="0" i="0">
            <a:solidFill>
              <a:schemeClr val="bg1"/>
            </a:solidFill>
            <a:effectLst/>
            <a:latin typeface="+mn-lt"/>
            <a:ea typeface="+mn-ea"/>
            <a:cs typeface="+mn-cs"/>
          </a:endParaRPr>
        </a:p>
        <a:p>
          <a:pPr lvl="0"/>
          <a:r>
            <a:rPr lang="en-US" sz="1400" b="1" i="0">
              <a:solidFill>
                <a:schemeClr val="bg1"/>
              </a:solidFill>
              <a:effectLst/>
              <a:latin typeface="+mn-lt"/>
              <a:ea typeface="+mn-ea"/>
              <a:cs typeface="+mn-cs"/>
            </a:rPr>
            <a:t>Top State:</a:t>
          </a:r>
          <a:r>
            <a:rPr lang="en-US" sz="1400" b="0" i="0">
              <a:solidFill>
                <a:schemeClr val="bg1"/>
              </a:solidFill>
              <a:effectLst/>
              <a:latin typeface="+mn-lt"/>
              <a:ea typeface="+mn-ea"/>
              <a:cs typeface="+mn-cs"/>
            </a:rPr>
            <a:t> </a:t>
          </a:r>
          <a:r>
            <a:rPr lang="en-US" sz="1400" b="1" i="0">
              <a:solidFill>
                <a:schemeClr val="bg1"/>
              </a:solidFill>
              <a:effectLst/>
              <a:latin typeface="+mn-lt"/>
              <a:ea typeface="+mn-ea"/>
              <a:cs typeface="+mn-cs"/>
            </a:rPr>
            <a:t>New York</a:t>
          </a:r>
          <a:r>
            <a:rPr lang="en-US" sz="1400" b="0" i="0">
              <a:solidFill>
                <a:schemeClr val="bg1"/>
              </a:solidFill>
              <a:effectLst/>
              <a:latin typeface="+mn-lt"/>
              <a:ea typeface="+mn-ea"/>
              <a:cs typeface="+mn-cs"/>
            </a:rPr>
            <a:t> was also the top performing state.</a:t>
          </a:r>
        </a:p>
        <a:p>
          <a:pPr lvl="0"/>
          <a:endParaRPr lang="en-US" sz="1400" b="0" i="0">
            <a:solidFill>
              <a:schemeClr val="bg1"/>
            </a:solidFill>
            <a:effectLst/>
            <a:latin typeface="+mn-lt"/>
            <a:ea typeface="+mn-ea"/>
            <a:cs typeface="+mn-cs"/>
          </a:endParaRPr>
        </a:p>
        <a:p>
          <a:pPr lvl="0"/>
          <a:r>
            <a:rPr lang="en-US" sz="1400" b="1" i="0">
              <a:solidFill>
                <a:schemeClr val="bg1"/>
              </a:solidFill>
              <a:effectLst/>
              <a:latin typeface="+mn-lt"/>
              <a:ea typeface="+mn-ea"/>
              <a:cs typeface="+mn-cs"/>
            </a:rPr>
            <a:t>Highest Transaction:</a:t>
          </a:r>
          <a:r>
            <a:rPr lang="en-US" sz="1400" b="0" i="0">
              <a:solidFill>
                <a:schemeClr val="bg1"/>
              </a:solidFill>
              <a:effectLst/>
              <a:latin typeface="+mn-lt"/>
              <a:ea typeface="+mn-ea"/>
              <a:cs typeface="+mn-cs"/>
            </a:rPr>
            <a:t> The highest single transaction amounted to </a:t>
          </a:r>
          <a:r>
            <a:rPr lang="en-US" sz="1400" b="1" i="0">
              <a:solidFill>
                <a:schemeClr val="bg1"/>
              </a:solidFill>
              <a:effectLst/>
              <a:latin typeface="+mn-lt"/>
              <a:ea typeface="+mn-ea"/>
              <a:cs typeface="+mn-cs"/>
            </a:rPr>
            <a:t>$67,180.50</a:t>
          </a:r>
          <a:r>
            <a:rPr lang="en-US" sz="1400" b="0" i="0">
              <a:solidFill>
                <a:schemeClr val="bg1"/>
              </a:solidFill>
              <a:effectLst/>
              <a:latin typeface="+mn-lt"/>
              <a:ea typeface="+mn-ea"/>
              <a:cs typeface="+mn-cs"/>
            </a:rPr>
            <a:t>.</a:t>
          </a:r>
        </a:p>
        <a:p>
          <a:pPr lvl="0"/>
          <a:endParaRPr lang="en-US" sz="1400" b="0" i="0">
            <a:solidFill>
              <a:schemeClr val="bg1"/>
            </a:solidFill>
            <a:effectLst/>
            <a:latin typeface="+mn-lt"/>
            <a:ea typeface="+mn-ea"/>
            <a:cs typeface="+mn-cs"/>
          </a:endParaRPr>
        </a:p>
        <a:p>
          <a:pPr lvl="0"/>
          <a:r>
            <a:rPr lang="en-US" sz="1400" b="1" i="0">
              <a:solidFill>
                <a:schemeClr val="bg1"/>
              </a:solidFill>
              <a:effectLst/>
              <a:latin typeface="+mn-lt"/>
              <a:ea typeface="+mn-ea"/>
              <a:cs typeface="+mn-cs"/>
            </a:rPr>
            <a:t>Top Sales Rep:</a:t>
          </a:r>
          <a:r>
            <a:rPr lang="en-US" sz="1400" b="0" i="0">
              <a:solidFill>
                <a:schemeClr val="bg1"/>
              </a:solidFill>
              <a:effectLst/>
              <a:latin typeface="+mn-lt"/>
              <a:ea typeface="+mn-ea"/>
              <a:cs typeface="+mn-cs"/>
            </a:rPr>
            <a:t> </a:t>
          </a:r>
          <a:r>
            <a:rPr lang="en-US" sz="1400" b="1" i="0">
              <a:solidFill>
                <a:schemeClr val="bg1"/>
              </a:solidFill>
              <a:effectLst/>
              <a:latin typeface="+mn-lt"/>
              <a:ea typeface="+mn-ea"/>
              <a:cs typeface="+mn-cs"/>
            </a:rPr>
            <a:t>Nancy Freehafer</a:t>
          </a:r>
          <a:r>
            <a:rPr lang="en-US" sz="1400" b="0" i="0">
              <a:solidFill>
                <a:schemeClr val="bg1"/>
              </a:solidFill>
              <a:effectLst/>
              <a:latin typeface="+mn-lt"/>
              <a:ea typeface="+mn-ea"/>
              <a:cs typeface="+mn-cs"/>
            </a:rPr>
            <a:t> had the highest sales for the year.</a:t>
          </a:r>
        </a:p>
        <a:p>
          <a:pPr lvl="0"/>
          <a:endParaRPr lang="en-US" sz="1400" b="0" i="0">
            <a:solidFill>
              <a:schemeClr val="bg1"/>
            </a:solidFill>
            <a:effectLst/>
            <a:latin typeface="+mn-lt"/>
            <a:ea typeface="+mn-ea"/>
            <a:cs typeface="+mn-cs"/>
          </a:endParaRPr>
        </a:p>
        <a:p>
          <a:pPr lvl="0"/>
          <a:r>
            <a:rPr lang="en-US" sz="1400" b="1" i="0">
              <a:solidFill>
                <a:schemeClr val="bg1"/>
              </a:solidFill>
              <a:effectLst/>
              <a:latin typeface="+mn-lt"/>
              <a:ea typeface="+mn-ea"/>
              <a:cs typeface="+mn-cs"/>
            </a:rPr>
            <a:t>Top Product:</a:t>
          </a:r>
          <a:r>
            <a:rPr lang="en-US" sz="1400" b="0" i="0">
              <a:solidFill>
                <a:schemeClr val="bg1"/>
              </a:solidFill>
              <a:effectLst/>
              <a:latin typeface="+mn-lt"/>
              <a:ea typeface="+mn-ea"/>
              <a:cs typeface="+mn-cs"/>
            </a:rPr>
            <a:t> </a:t>
          </a:r>
          <a:r>
            <a:rPr lang="en-US" sz="1400" b="1" i="0">
              <a:solidFill>
                <a:schemeClr val="bg1"/>
              </a:solidFill>
              <a:effectLst/>
              <a:latin typeface="+mn-lt"/>
              <a:ea typeface="+mn-ea"/>
              <a:cs typeface="+mn-cs"/>
            </a:rPr>
            <a:t>Beverages</a:t>
          </a:r>
          <a:r>
            <a:rPr lang="en-US" sz="1400" b="0" i="0">
              <a:solidFill>
                <a:schemeClr val="bg1"/>
              </a:solidFill>
              <a:effectLst/>
              <a:latin typeface="+mn-lt"/>
              <a:ea typeface="+mn-ea"/>
              <a:cs typeface="+mn-cs"/>
            </a:rPr>
            <a:t> were the sold-out product for the year.</a:t>
          </a:r>
        </a:p>
        <a:p>
          <a:endParaRPr lang="en-US" sz="1100">
            <a:solidFill>
              <a:schemeClr val="bg1"/>
            </a:solidFill>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20706</xdr:colOff>
      <xdr:row>0</xdr:row>
      <xdr:rowOff>41413</xdr:rowOff>
    </xdr:from>
    <xdr:to>
      <xdr:col>2</xdr:col>
      <xdr:colOff>563269</xdr:colOff>
      <xdr:row>33</xdr:row>
      <xdr:rowOff>165652</xdr:rowOff>
    </xdr:to>
    <xdr:sp macro="" textlink="">
      <xdr:nvSpPr>
        <xdr:cNvPr id="2" name="Rectangle 1">
          <a:extLst>
            <a:ext uri="{FF2B5EF4-FFF2-40B4-BE49-F238E27FC236}">
              <a16:creationId xmlns:a16="http://schemas.microsoft.com/office/drawing/2014/main" id="{118C5D72-5E3F-FA3A-AE18-F7815E4D5977}"/>
            </a:ext>
          </a:extLst>
        </xdr:cNvPr>
        <xdr:cNvSpPr/>
      </xdr:nvSpPr>
      <xdr:spPr>
        <a:xfrm>
          <a:off x="20706" y="41413"/>
          <a:ext cx="1764248" cy="6274076"/>
        </a:xfrm>
        <a:prstGeom prst="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385825</xdr:colOff>
      <xdr:row>0</xdr:row>
      <xdr:rowOff>156739</xdr:rowOff>
    </xdr:from>
    <xdr:to>
      <xdr:col>2</xdr:col>
      <xdr:colOff>161855</xdr:colOff>
      <xdr:row>6</xdr:row>
      <xdr:rowOff>14091</xdr:rowOff>
    </xdr:to>
    <xdr:pic>
      <xdr:nvPicPr>
        <xdr:cNvPr id="3" name="Picture 2">
          <a:extLst>
            <a:ext uri="{FF2B5EF4-FFF2-40B4-BE49-F238E27FC236}">
              <a16:creationId xmlns:a16="http://schemas.microsoft.com/office/drawing/2014/main" id="{EAC714FF-3416-83C3-1C5D-4C6DA7BA0701}"/>
            </a:ext>
          </a:extLst>
        </xdr:cNvPr>
        <xdr:cNvPicPr>
          <a:picLocks noChangeAspect="1"/>
        </xdr:cNvPicPr>
      </xdr:nvPicPr>
      <xdr:blipFill>
        <a:blip xmlns:r="http://schemas.openxmlformats.org/officeDocument/2006/relationships" r:embed="rId1"/>
        <a:stretch>
          <a:fillRect/>
        </a:stretch>
      </xdr:blipFill>
      <xdr:spPr>
        <a:xfrm>
          <a:off x="385825" y="156739"/>
          <a:ext cx="1005840" cy="1014820"/>
        </a:xfrm>
        <a:prstGeom prst="ellipse">
          <a:avLst/>
        </a:prstGeom>
        <a:ln w="63500" cap="rnd">
          <a:no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2</xdr:col>
      <xdr:colOff>600490</xdr:colOff>
      <xdr:row>0</xdr:row>
      <xdr:rowOff>48228</xdr:rowOff>
    </xdr:from>
    <xdr:to>
      <xdr:col>17</xdr:col>
      <xdr:colOff>279538</xdr:colOff>
      <xdr:row>4</xdr:row>
      <xdr:rowOff>144945</xdr:rowOff>
    </xdr:to>
    <xdr:sp macro="" textlink="">
      <xdr:nvSpPr>
        <xdr:cNvPr id="4" name="Rectangle: Rounded Corners 3">
          <a:extLst>
            <a:ext uri="{FF2B5EF4-FFF2-40B4-BE49-F238E27FC236}">
              <a16:creationId xmlns:a16="http://schemas.microsoft.com/office/drawing/2014/main" id="{3BC45672-7FCF-6702-CA27-165E89BDBEBC}"/>
            </a:ext>
          </a:extLst>
        </xdr:cNvPr>
        <xdr:cNvSpPr/>
      </xdr:nvSpPr>
      <xdr:spPr>
        <a:xfrm>
          <a:off x="1822175" y="48228"/>
          <a:ext cx="8841684" cy="842152"/>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0" b="1">
            <a:solidFill>
              <a:schemeClr val="accent1">
                <a:lumMod val="50000"/>
              </a:schemeClr>
            </a:solidFill>
            <a:latin typeface="Georgia" panose="02040502050405020303" pitchFamily="18" charset="0"/>
          </a:endParaRPr>
        </a:p>
      </xdr:txBody>
    </xdr:sp>
    <xdr:clientData/>
  </xdr:twoCellAnchor>
  <xdr:twoCellAnchor>
    <xdr:from>
      <xdr:col>3</xdr:col>
      <xdr:colOff>134592</xdr:colOff>
      <xdr:row>3</xdr:row>
      <xdr:rowOff>12057</xdr:rowOff>
    </xdr:from>
    <xdr:to>
      <xdr:col>6</xdr:col>
      <xdr:colOff>579782</xdr:colOff>
      <xdr:row>4</xdr:row>
      <xdr:rowOff>113886</xdr:rowOff>
    </xdr:to>
    <xdr:sp macro="" textlink="">
      <xdr:nvSpPr>
        <xdr:cNvPr id="5" name="TextBox 4">
          <a:extLst>
            <a:ext uri="{FF2B5EF4-FFF2-40B4-BE49-F238E27FC236}">
              <a16:creationId xmlns:a16="http://schemas.microsoft.com/office/drawing/2014/main" id="{0D6A882C-E946-AC06-EC03-C324C4790448}"/>
            </a:ext>
          </a:extLst>
        </xdr:cNvPr>
        <xdr:cNvSpPr txBox="1"/>
      </xdr:nvSpPr>
      <xdr:spPr>
        <a:xfrm>
          <a:off x="1967119" y="571133"/>
          <a:ext cx="2277717" cy="2881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i="1">
              <a:solidFill>
                <a:srgbClr val="002060"/>
              </a:solidFill>
              <a:latin typeface="Georgia" panose="02040502050405020303" pitchFamily="18" charset="0"/>
            </a:rPr>
            <a:t>Figures in thousands of USD $</a:t>
          </a:r>
        </a:p>
      </xdr:txBody>
    </xdr:sp>
    <xdr:clientData/>
  </xdr:twoCellAnchor>
  <xdr:twoCellAnchor>
    <xdr:from>
      <xdr:col>3</xdr:col>
      <xdr:colOff>82826</xdr:colOff>
      <xdr:row>0</xdr:row>
      <xdr:rowOff>104172</xdr:rowOff>
    </xdr:from>
    <xdr:to>
      <xdr:col>16</xdr:col>
      <xdr:colOff>578734</xdr:colOff>
      <xdr:row>2</xdr:row>
      <xdr:rowOff>108512</xdr:rowOff>
    </xdr:to>
    <xdr:sp macro="" textlink="">
      <xdr:nvSpPr>
        <xdr:cNvPr id="6" name="TextBox 5">
          <a:extLst>
            <a:ext uri="{FF2B5EF4-FFF2-40B4-BE49-F238E27FC236}">
              <a16:creationId xmlns:a16="http://schemas.microsoft.com/office/drawing/2014/main" id="{AD0CDD93-2369-2BDF-7AAC-E98A15A1C5FC}"/>
            </a:ext>
          </a:extLst>
        </xdr:cNvPr>
        <xdr:cNvSpPr txBox="1"/>
      </xdr:nvSpPr>
      <xdr:spPr>
        <a:xfrm>
          <a:off x="1915353" y="104172"/>
          <a:ext cx="8436859" cy="37705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2400" b="1">
              <a:solidFill>
                <a:schemeClr val="accent1">
                  <a:lumMod val="50000"/>
                </a:schemeClr>
              </a:solidFill>
              <a:effectLst/>
              <a:latin typeface="Georgia" panose="02040502050405020303" pitchFamily="18" charset="0"/>
              <a:ea typeface="+mn-ea"/>
              <a:cs typeface="+mn-cs"/>
            </a:rPr>
            <a:t>Sales</a:t>
          </a:r>
          <a:r>
            <a:rPr lang="en-US" sz="2400" b="1" baseline="0">
              <a:solidFill>
                <a:schemeClr val="accent1">
                  <a:lumMod val="50000"/>
                </a:schemeClr>
              </a:solidFill>
              <a:effectLst/>
              <a:latin typeface="Georgia" panose="02040502050405020303" pitchFamily="18" charset="0"/>
              <a:ea typeface="+mn-ea"/>
              <a:cs typeface="+mn-cs"/>
            </a:rPr>
            <a:t> Dashboard For Burger King For The Year 2021</a:t>
          </a:r>
          <a:endParaRPr lang="en-US" sz="2400">
            <a:solidFill>
              <a:schemeClr val="accent1">
                <a:lumMod val="50000"/>
              </a:schemeClr>
            </a:solidFill>
            <a:effectLst/>
            <a:latin typeface="Georgia" panose="02040502050405020303" pitchFamily="18" charset="0"/>
          </a:endParaRPr>
        </a:p>
        <a:p>
          <a:endParaRPr lang="en-US" sz="1100" i="1">
            <a:solidFill>
              <a:schemeClr val="accent1">
                <a:lumMod val="75000"/>
              </a:schemeClr>
            </a:solidFill>
            <a:latin typeface="Georgia" panose="02040502050405020303" pitchFamily="18" charset="0"/>
          </a:endParaRPr>
        </a:p>
      </xdr:txBody>
    </xdr:sp>
    <xdr:clientData/>
  </xdr:twoCellAnchor>
  <xdr:twoCellAnchor>
    <xdr:from>
      <xdr:col>12</xdr:col>
      <xdr:colOff>383300</xdr:colOff>
      <xdr:row>15</xdr:row>
      <xdr:rowOff>7586</xdr:rowOff>
    </xdr:from>
    <xdr:to>
      <xdr:col>17</xdr:col>
      <xdr:colOff>289891</xdr:colOff>
      <xdr:row>33</xdr:row>
      <xdr:rowOff>51766</xdr:rowOff>
    </xdr:to>
    <xdr:sp macro="" textlink="">
      <xdr:nvSpPr>
        <xdr:cNvPr id="10" name="Rectangle: Rounded Corners 9">
          <a:extLst>
            <a:ext uri="{FF2B5EF4-FFF2-40B4-BE49-F238E27FC236}">
              <a16:creationId xmlns:a16="http://schemas.microsoft.com/office/drawing/2014/main" id="{4F2DD3B0-4AFF-49D2-897A-2735A530D75B}"/>
            </a:ext>
          </a:extLst>
        </xdr:cNvPr>
        <xdr:cNvSpPr/>
      </xdr:nvSpPr>
      <xdr:spPr>
        <a:xfrm>
          <a:off x="7713409" y="2802966"/>
          <a:ext cx="2960803" cy="3398637"/>
        </a:xfrm>
        <a:prstGeom prst="roundRect">
          <a:avLst>
            <a:gd name="adj" fmla="val 582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0" b="1">
            <a:solidFill>
              <a:schemeClr val="accent1">
                <a:lumMod val="50000"/>
              </a:schemeClr>
            </a:solidFill>
            <a:latin typeface="Georgia" panose="02040502050405020303" pitchFamily="18" charset="0"/>
          </a:endParaRPr>
        </a:p>
      </xdr:txBody>
    </xdr:sp>
    <xdr:clientData/>
  </xdr:twoCellAnchor>
  <xdr:twoCellAnchor>
    <xdr:from>
      <xdr:col>3</xdr:col>
      <xdr:colOff>0</xdr:colOff>
      <xdr:row>14</xdr:row>
      <xdr:rowOff>160248</xdr:rowOff>
    </xdr:from>
    <xdr:to>
      <xdr:col>12</xdr:col>
      <xdr:colOff>332352</xdr:colOff>
      <xdr:row>33</xdr:row>
      <xdr:rowOff>51766</xdr:rowOff>
    </xdr:to>
    <xdr:sp macro="" textlink="">
      <xdr:nvSpPr>
        <xdr:cNvPr id="11" name="Rectangle: Rounded Corners 10">
          <a:extLst>
            <a:ext uri="{FF2B5EF4-FFF2-40B4-BE49-F238E27FC236}">
              <a16:creationId xmlns:a16="http://schemas.microsoft.com/office/drawing/2014/main" id="{49DA1EFC-2CCE-78CD-53DF-A5E70FF7F4F0}"/>
            </a:ext>
          </a:extLst>
        </xdr:cNvPr>
        <xdr:cNvSpPr/>
      </xdr:nvSpPr>
      <xdr:spPr>
        <a:xfrm>
          <a:off x="1832527" y="2769270"/>
          <a:ext cx="5829934" cy="3432333"/>
        </a:xfrm>
        <a:prstGeom prst="roundRect">
          <a:avLst>
            <a:gd name="adj" fmla="val 520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0" b="1">
            <a:solidFill>
              <a:schemeClr val="accent1">
                <a:lumMod val="50000"/>
              </a:schemeClr>
            </a:solidFill>
            <a:latin typeface="Georgia" panose="02040502050405020303" pitchFamily="18" charset="0"/>
          </a:endParaRPr>
        </a:p>
      </xdr:txBody>
    </xdr:sp>
    <xdr:clientData/>
  </xdr:twoCellAnchor>
  <xdr:twoCellAnchor>
    <xdr:from>
      <xdr:col>17</xdr:col>
      <xdr:colOff>334938</xdr:colOff>
      <xdr:row>0</xdr:row>
      <xdr:rowOff>41874</xdr:rowOff>
    </xdr:from>
    <xdr:to>
      <xdr:col>22</xdr:col>
      <xdr:colOff>124239</xdr:colOff>
      <xdr:row>33</xdr:row>
      <xdr:rowOff>82827</xdr:rowOff>
    </xdr:to>
    <xdr:sp macro="" textlink="">
      <xdr:nvSpPr>
        <xdr:cNvPr id="12" name="Rectangle: Rounded Corners 11">
          <a:extLst>
            <a:ext uri="{FF2B5EF4-FFF2-40B4-BE49-F238E27FC236}">
              <a16:creationId xmlns:a16="http://schemas.microsoft.com/office/drawing/2014/main" id="{0B7A6D84-5089-79A6-9561-E3B45A3D8A3D}"/>
            </a:ext>
          </a:extLst>
        </xdr:cNvPr>
        <xdr:cNvSpPr/>
      </xdr:nvSpPr>
      <xdr:spPr>
        <a:xfrm>
          <a:off x="10719259" y="41874"/>
          <a:ext cx="2843513" cy="6190790"/>
        </a:xfrm>
        <a:prstGeom prst="roundRect">
          <a:avLst>
            <a:gd name="adj" fmla="val 513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0" b="1">
            <a:solidFill>
              <a:schemeClr val="accent1">
                <a:lumMod val="50000"/>
              </a:schemeClr>
            </a:solidFill>
            <a:latin typeface="Georgia" panose="02040502050405020303" pitchFamily="18" charset="0"/>
          </a:endParaRPr>
        </a:p>
      </xdr:txBody>
    </xdr:sp>
    <xdr:clientData/>
  </xdr:twoCellAnchor>
  <xdr:twoCellAnchor editAs="oneCell">
    <xdr:from>
      <xdr:col>0</xdr:col>
      <xdr:colOff>542563</xdr:colOff>
      <xdr:row>11</xdr:row>
      <xdr:rowOff>72343</xdr:rowOff>
    </xdr:from>
    <xdr:to>
      <xdr:col>1</xdr:col>
      <xdr:colOff>567738</xdr:colOff>
      <xdr:row>14</xdr:row>
      <xdr:rowOff>133689</xdr:rowOff>
    </xdr:to>
    <xdr:pic>
      <xdr:nvPicPr>
        <xdr:cNvPr id="14" name="Graphic 13" descr="Email with solid fill">
          <a:hlinkClick xmlns:r="http://schemas.openxmlformats.org/officeDocument/2006/relationships" r:id="rId2"/>
          <a:extLst>
            <a:ext uri="{FF2B5EF4-FFF2-40B4-BE49-F238E27FC236}">
              <a16:creationId xmlns:a16="http://schemas.microsoft.com/office/drawing/2014/main" id="{2190A922-F339-26B1-8B7B-5A238609B43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42563" y="2194368"/>
          <a:ext cx="640080" cy="640080"/>
        </a:xfrm>
        <a:prstGeom prst="rect">
          <a:avLst/>
        </a:prstGeom>
      </xdr:spPr>
    </xdr:pic>
    <xdr:clientData/>
  </xdr:twoCellAnchor>
  <xdr:twoCellAnchor editAs="oneCell">
    <xdr:from>
      <xdr:col>0</xdr:col>
      <xdr:colOff>554623</xdr:colOff>
      <xdr:row>6</xdr:row>
      <xdr:rowOff>108511</xdr:rowOff>
    </xdr:from>
    <xdr:to>
      <xdr:col>1</xdr:col>
      <xdr:colOff>579798</xdr:colOff>
      <xdr:row>10</xdr:row>
      <xdr:rowOff>103542</xdr:rowOff>
    </xdr:to>
    <xdr:pic>
      <xdr:nvPicPr>
        <xdr:cNvPr id="16" name="Graphic 15" descr="Lightbulb and gear with solid fill">
          <a:hlinkClick xmlns:r="http://schemas.openxmlformats.org/officeDocument/2006/relationships" r:id="rId5"/>
          <a:extLst>
            <a:ext uri="{FF2B5EF4-FFF2-40B4-BE49-F238E27FC236}">
              <a16:creationId xmlns:a16="http://schemas.microsoft.com/office/drawing/2014/main" id="{2FBF2CE8-FAE4-E144-AC7E-7EB01644F56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54623" y="1265979"/>
          <a:ext cx="640080" cy="766677"/>
        </a:xfrm>
        <a:prstGeom prst="rect">
          <a:avLst/>
        </a:prstGeom>
      </xdr:spPr>
    </xdr:pic>
    <xdr:clientData/>
  </xdr:twoCellAnchor>
  <xdr:twoCellAnchor editAs="oneCell">
    <xdr:from>
      <xdr:col>0</xdr:col>
      <xdr:colOff>421995</xdr:colOff>
      <xdr:row>15</xdr:row>
      <xdr:rowOff>168798</xdr:rowOff>
    </xdr:from>
    <xdr:to>
      <xdr:col>1</xdr:col>
      <xdr:colOff>447170</xdr:colOff>
      <xdr:row>19</xdr:row>
      <xdr:rowOff>37233</xdr:rowOff>
    </xdr:to>
    <xdr:pic>
      <xdr:nvPicPr>
        <xdr:cNvPr id="18" name="Graphic 17" descr="Questions with solid fill">
          <a:hlinkClick xmlns:r="http://schemas.openxmlformats.org/officeDocument/2006/relationships" r:id="rId8"/>
          <a:extLst>
            <a:ext uri="{FF2B5EF4-FFF2-40B4-BE49-F238E27FC236}">
              <a16:creationId xmlns:a16="http://schemas.microsoft.com/office/drawing/2014/main" id="{262A6531-7EE3-A4C1-9A23-01A8CE7B50F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21995" y="3062469"/>
          <a:ext cx="640080" cy="640080"/>
        </a:xfrm>
        <a:prstGeom prst="rect">
          <a:avLst/>
        </a:prstGeom>
      </xdr:spPr>
    </xdr:pic>
    <xdr:clientData/>
  </xdr:twoCellAnchor>
  <xdr:twoCellAnchor editAs="oneCell">
    <xdr:from>
      <xdr:col>0</xdr:col>
      <xdr:colOff>421994</xdr:colOff>
      <xdr:row>20</xdr:row>
      <xdr:rowOff>96456</xdr:rowOff>
    </xdr:from>
    <xdr:to>
      <xdr:col>1</xdr:col>
      <xdr:colOff>447169</xdr:colOff>
      <xdr:row>23</xdr:row>
      <xdr:rowOff>157802</xdr:rowOff>
    </xdr:to>
    <xdr:pic>
      <xdr:nvPicPr>
        <xdr:cNvPr id="26" name="Graphic 25" descr="Microscope with solid fill">
          <a:hlinkClick xmlns:r="http://schemas.openxmlformats.org/officeDocument/2006/relationships" r:id="rId8"/>
          <a:extLst>
            <a:ext uri="{FF2B5EF4-FFF2-40B4-BE49-F238E27FC236}">
              <a16:creationId xmlns:a16="http://schemas.microsoft.com/office/drawing/2014/main" id="{28815E94-6CBB-1B61-B83F-85D9BB55BFA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21994" y="3954684"/>
          <a:ext cx="640080" cy="640080"/>
        </a:xfrm>
        <a:prstGeom prst="rect">
          <a:avLst/>
        </a:prstGeom>
      </xdr:spPr>
    </xdr:pic>
    <xdr:clientData/>
  </xdr:twoCellAnchor>
  <xdr:twoCellAnchor>
    <xdr:from>
      <xdr:col>17</xdr:col>
      <xdr:colOff>582083</xdr:colOff>
      <xdr:row>2</xdr:row>
      <xdr:rowOff>95251</xdr:rowOff>
    </xdr:from>
    <xdr:to>
      <xdr:col>21</xdr:col>
      <xdr:colOff>198538</xdr:colOff>
      <xdr:row>25</xdr:row>
      <xdr:rowOff>1</xdr:rowOff>
    </xdr:to>
    <mc:AlternateContent xmlns:mc="http://schemas.openxmlformats.org/markup-compatibility/2006">
      <mc:Choice xmlns:cx4="http://schemas.microsoft.com/office/drawing/2016/5/10/chartex" Requires="cx4">
        <xdr:graphicFrame macro="">
          <xdr:nvGraphicFramePr>
            <xdr:cNvPr id="29" name="Chart 28">
              <a:extLst>
                <a:ext uri="{FF2B5EF4-FFF2-40B4-BE49-F238E27FC236}">
                  <a16:creationId xmlns:a16="http://schemas.microsoft.com/office/drawing/2014/main" id="{D986D964-B4D7-4346-BA8A-33E1AD24280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10945283" y="476251"/>
              <a:ext cx="2054855" cy="42862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63500</xdr:colOff>
      <xdr:row>17</xdr:row>
      <xdr:rowOff>144945</xdr:rowOff>
    </xdr:from>
    <xdr:to>
      <xdr:col>12</xdr:col>
      <xdr:colOff>254000</xdr:colOff>
      <xdr:row>33</xdr:row>
      <xdr:rowOff>20706</xdr:rowOff>
    </xdr:to>
    <xdr:graphicFrame macro="">
      <xdr:nvGraphicFramePr>
        <xdr:cNvPr id="31" name="Chart 30">
          <a:extLst>
            <a:ext uri="{FF2B5EF4-FFF2-40B4-BE49-F238E27FC236}">
              <a16:creationId xmlns:a16="http://schemas.microsoft.com/office/drawing/2014/main" id="{34B2A8E3-3DF7-46A0-9D59-9BF9470960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17</xdr:col>
      <xdr:colOff>550333</xdr:colOff>
      <xdr:row>0</xdr:row>
      <xdr:rowOff>175041</xdr:rowOff>
    </xdr:from>
    <xdr:to>
      <xdr:col>21</xdr:col>
      <xdr:colOff>444500</xdr:colOff>
      <xdr:row>2</xdr:row>
      <xdr:rowOff>129224</xdr:rowOff>
    </xdr:to>
    <xdr:sp macro="" textlink="">
      <xdr:nvSpPr>
        <xdr:cNvPr id="32" name="TextBox 31">
          <a:extLst>
            <a:ext uri="{FF2B5EF4-FFF2-40B4-BE49-F238E27FC236}">
              <a16:creationId xmlns:a16="http://schemas.microsoft.com/office/drawing/2014/main" id="{FEE23C98-9415-1F0C-7707-384B2A2D8C6F}"/>
            </a:ext>
          </a:extLst>
        </xdr:cNvPr>
        <xdr:cNvSpPr txBox="1"/>
      </xdr:nvSpPr>
      <xdr:spPr>
        <a:xfrm>
          <a:off x="10985500" y="175041"/>
          <a:ext cx="2349500" cy="3351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1">
              <a:solidFill>
                <a:schemeClr val="accent1">
                  <a:lumMod val="50000"/>
                </a:schemeClr>
              </a:solidFill>
              <a:latin typeface="Georgia" panose="02040502050405020303" pitchFamily="18" charset="0"/>
            </a:rPr>
            <a:t>Sales</a:t>
          </a:r>
          <a:r>
            <a:rPr lang="en-US" sz="1200" b="1" i="1" baseline="0">
              <a:solidFill>
                <a:schemeClr val="accent1">
                  <a:lumMod val="50000"/>
                </a:schemeClr>
              </a:solidFill>
              <a:latin typeface="Georgia" panose="02040502050405020303" pitchFamily="18" charset="0"/>
            </a:rPr>
            <a:t> By City 30"</a:t>
          </a:r>
          <a:endParaRPr lang="en-US" sz="1200" b="1" i="1">
            <a:solidFill>
              <a:schemeClr val="accent1">
                <a:lumMod val="50000"/>
              </a:schemeClr>
            </a:solidFill>
            <a:latin typeface="Georgia" panose="02040502050405020303" pitchFamily="18" charset="0"/>
          </a:endParaRPr>
        </a:p>
      </xdr:txBody>
    </xdr:sp>
    <xdr:clientData/>
  </xdr:twoCellAnchor>
  <xdr:twoCellAnchor>
    <xdr:from>
      <xdr:col>3</xdr:col>
      <xdr:colOff>346029</xdr:colOff>
      <xdr:row>15</xdr:row>
      <xdr:rowOff>168461</xdr:rowOff>
    </xdr:from>
    <xdr:to>
      <xdr:col>10</xdr:col>
      <xdr:colOff>300244</xdr:colOff>
      <xdr:row>17</xdr:row>
      <xdr:rowOff>122644</xdr:rowOff>
    </xdr:to>
    <xdr:sp macro="" textlink="">
      <xdr:nvSpPr>
        <xdr:cNvPr id="33" name="TextBox 32">
          <a:extLst>
            <a:ext uri="{FF2B5EF4-FFF2-40B4-BE49-F238E27FC236}">
              <a16:creationId xmlns:a16="http://schemas.microsoft.com/office/drawing/2014/main" id="{127D7EBD-B9EF-DB4E-1F83-CD482FFCA95D}"/>
            </a:ext>
          </a:extLst>
        </xdr:cNvPr>
        <xdr:cNvSpPr txBox="1"/>
      </xdr:nvSpPr>
      <xdr:spPr>
        <a:xfrm>
          <a:off x="2178556" y="2963841"/>
          <a:ext cx="4230112" cy="3269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i="1" baseline="0">
              <a:solidFill>
                <a:schemeClr val="accent1">
                  <a:lumMod val="50000"/>
                </a:schemeClr>
              </a:solidFill>
              <a:latin typeface="Georgia" panose="02040502050405020303" pitchFamily="18" charset="0"/>
            </a:rPr>
            <a:t>Sales Trend For The year 21"</a:t>
          </a:r>
          <a:endParaRPr lang="en-US" sz="1200" b="1" i="1">
            <a:solidFill>
              <a:schemeClr val="accent1">
                <a:lumMod val="50000"/>
              </a:schemeClr>
            </a:solidFill>
            <a:latin typeface="Georgia" panose="02040502050405020303" pitchFamily="18" charset="0"/>
          </a:endParaRPr>
        </a:p>
      </xdr:txBody>
    </xdr:sp>
    <xdr:clientData/>
  </xdr:twoCellAnchor>
  <xdr:twoCellAnchor>
    <xdr:from>
      <xdr:col>13</xdr:col>
      <xdr:colOff>689</xdr:colOff>
      <xdr:row>15</xdr:row>
      <xdr:rowOff>155300</xdr:rowOff>
    </xdr:from>
    <xdr:to>
      <xdr:col>17</xdr:col>
      <xdr:colOff>106523</xdr:colOff>
      <xdr:row>18</xdr:row>
      <xdr:rowOff>41413</xdr:rowOff>
    </xdr:to>
    <xdr:sp macro="" textlink="">
      <xdr:nvSpPr>
        <xdr:cNvPr id="36" name="TextBox 35">
          <a:extLst>
            <a:ext uri="{FF2B5EF4-FFF2-40B4-BE49-F238E27FC236}">
              <a16:creationId xmlns:a16="http://schemas.microsoft.com/office/drawing/2014/main" id="{9845C65C-31D3-853B-1678-9249FD8A3206}"/>
            </a:ext>
          </a:extLst>
        </xdr:cNvPr>
        <xdr:cNvSpPr txBox="1"/>
      </xdr:nvSpPr>
      <xdr:spPr>
        <a:xfrm>
          <a:off x="7941640" y="2950680"/>
          <a:ext cx="2549204" cy="4451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i="1">
              <a:solidFill>
                <a:schemeClr val="accent1">
                  <a:lumMod val="50000"/>
                </a:schemeClr>
              </a:solidFill>
              <a:latin typeface="Georgia" panose="02040502050405020303" pitchFamily="18" charset="0"/>
            </a:rPr>
            <a:t>Regional</a:t>
          </a:r>
          <a:r>
            <a:rPr lang="en-US" sz="1200" b="1" i="1" baseline="0">
              <a:solidFill>
                <a:schemeClr val="accent1">
                  <a:lumMod val="50000"/>
                </a:schemeClr>
              </a:solidFill>
              <a:latin typeface="Georgia" panose="02040502050405020303" pitchFamily="18" charset="0"/>
            </a:rPr>
            <a:t> Performance</a:t>
          </a:r>
          <a:r>
            <a:rPr lang="en-US" sz="1200" b="1" i="1">
              <a:solidFill>
                <a:schemeClr val="accent1">
                  <a:lumMod val="50000"/>
                </a:schemeClr>
              </a:solidFill>
              <a:latin typeface="Georgia" panose="02040502050405020303" pitchFamily="18" charset="0"/>
            </a:rPr>
            <a:t> for</a:t>
          </a:r>
          <a:r>
            <a:rPr lang="en-US" sz="1200" b="1" i="1" baseline="0">
              <a:solidFill>
                <a:schemeClr val="accent1">
                  <a:lumMod val="50000"/>
                </a:schemeClr>
              </a:solidFill>
              <a:latin typeface="Georgia" panose="02040502050405020303" pitchFamily="18" charset="0"/>
            </a:rPr>
            <a:t> the year 21"</a:t>
          </a:r>
          <a:endParaRPr lang="en-US" sz="1200" b="1" i="1">
            <a:solidFill>
              <a:schemeClr val="accent1">
                <a:lumMod val="50000"/>
              </a:schemeClr>
            </a:solidFill>
            <a:latin typeface="Georgia" panose="02040502050405020303" pitchFamily="18" charset="0"/>
          </a:endParaRPr>
        </a:p>
      </xdr:txBody>
    </xdr:sp>
    <xdr:clientData/>
  </xdr:twoCellAnchor>
  <xdr:twoCellAnchor>
    <xdr:from>
      <xdr:col>12</xdr:col>
      <xdr:colOff>560689</xdr:colOff>
      <xdr:row>18</xdr:row>
      <xdr:rowOff>-1</xdr:rowOff>
    </xdr:from>
    <xdr:to>
      <xdr:col>17</xdr:col>
      <xdr:colOff>165653</xdr:colOff>
      <xdr:row>32</xdr:row>
      <xdr:rowOff>113886</xdr:rowOff>
    </xdr:to>
    <xdr:graphicFrame macro="">
      <xdr:nvGraphicFramePr>
        <xdr:cNvPr id="37" name="Chart 36">
          <a:extLst>
            <a:ext uri="{FF2B5EF4-FFF2-40B4-BE49-F238E27FC236}">
              <a16:creationId xmlns:a16="http://schemas.microsoft.com/office/drawing/2014/main" id="{B1D93F81-E1E8-4125-8238-8B3782D5B1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xdr:col>
      <xdr:colOff>597900</xdr:colOff>
      <xdr:row>5</xdr:row>
      <xdr:rowOff>41931</xdr:rowOff>
    </xdr:from>
    <xdr:to>
      <xdr:col>7</xdr:col>
      <xdr:colOff>201371</xdr:colOff>
      <xdr:row>14</xdr:row>
      <xdr:rowOff>77648</xdr:rowOff>
    </xdr:to>
    <xdr:graphicFrame macro="">
      <xdr:nvGraphicFramePr>
        <xdr:cNvPr id="39" name="Chart 38">
          <a:extLst>
            <a:ext uri="{FF2B5EF4-FFF2-40B4-BE49-F238E27FC236}">
              <a16:creationId xmlns:a16="http://schemas.microsoft.com/office/drawing/2014/main" id="{D5F82287-18B4-461C-A4D4-37270F611E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7</xdr:col>
      <xdr:colOff>241747</xdr:colOff>
      <xdr:row>5</xdr:row>
      <xdr:rowOff>31575</xdr:rowOff>
    </xdr:from>
    <xdr:to>
      <xdr:col>12</xdr:col>
      <xdr:colOff>146498</xdr:colOff>
      <xdr:row>14</xdr:row>
      <xdr:rowOff>91107</xdr:rowOff>
    </xdr:to>
    <xdr:graphicFrame macro="">
      <xdr:nvGraphicFramePr>
        <xdr:cNvPr id="40" name="Chart 39">
          <a:extLst>
            <a:ext uri="{FF2B5EF4-FFF2-40B4-BE49-F238E27FC236}">
              <a16:creationId xmlns:a16="http://schemas.microsoft.com/office/drawing/2014/main" id="{D26169C3-A022-4F04-ACDF-3267F71BB1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7</xdr:col>
      <xdr:colOff>360293</xdr:colOff>
      <xdr:row>5</xdr:row>
      <xdr:rowOff>60047</xdr:rowOff>
    </xdr:from>
    <xdr:to>
      <xdr:col>11</xdr:col>
      <xdr:colOff>324574</xdr:colOff>
      <xdr:row>6</xdr:row>
      <xdr:rowOff>163063</xdr:rowOff>
    </xdr:to>
    <xdr:sp macro="" textlink="">
      <xdr:nvSpPr>
        <xdr:cNvPr id="43" name="Rectangle: Rounded Corners 42">
          <a:extLst>
            <a:ext uri="{FF2B5EF4-FFF2-40B4-BE49-F238E27FC236}">
              <a16:creationId xmlns:a16="http://schemas.microsoft.com/office/drawing/2014/main" id="{63E927D3-57AD-F4C3-638A-7A2C9531BCF8}"/>
            </a:ext>
          </a:extLst>
        </xdr:cNvPr>
        <xdr:cNvSpPr/>
      </xdr:nvSpPr>
      <xdr:spPr>
        <a:xfrm>
          <a:off x="4636190" y="991840"/>
          <a:ext cx="2407650" cy="289375"/>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accent1">
                  <a:lumMod val="50000"/>
                </a:schemeClr>
              </a:solidFill>
              <a:latin typeface="Georgia" panose="02040502050405020303" pitchFamily="18" charset="0"/>
            </a:rPr>
            <a:t>Top</a:t>
          </a:r>
          <a:r>
            <a:rPr lang="en-US" sz="1200" b="1" baseline="0">
              <a:solidFill>
                <a:schemeClr val="accent1">
                  <a:lumMod val="50000"/>
                </a:schemeClr>
              </a:solidFill>
              <a:latin typeface="Georgia" panose="02040502050405020303" pitchFamily="18" charset="0"/>
            </a:rPr>
            <a:t> Sales Rep 21"</a:t>
          </a:r>
          <a:endParaRPr lang="en-US" sz="1200" b="1">
            <a:solidFill>
              <a:schemeClr val="accent1">
                <a:lumMod val="50000"/>
              </a:schemeClr>
            </a:solidFill>
            <a:latin typeface="Georgia" panose="02040502050405020303" pitchFamily="18" charset="0"/>
          </a:endParaRPr>
        </a:p>
      </xdr:txBody>
    </xdr:sp>
    <xdr:clientData/>
  </xdr:twoCellAnchor>
  <xdr:twoCellAnchor>
    <xdr:from>
      <xdr:col>3</xdr:col>
      <xdr:colOff>26608</xdr:colOff>
      <xdr:row>5</xdr:row>
      <xdr:rowOff>42654</xdr:rowOff>
    </xdr:from>
    <xdr:to>
      <xdr:col>6</xdr:col>
      <xdr:colOff>601732</xdr:colOff>
      <xdr:row>6</xdr:row>
      <xdr:rowOff>145670</xdr:rowOff>
    </xdr:to>
    <xdr:sp macro="" textlink="">
      <xdr:nvSpPr>
        <xdr:cNvPr id="44" name="Rectangle: Rounded Corners 43">
          <a:extLst>
            <a:ext uri="{FF2B5EF4-FFF2-40B4-BE49-F238E27FC236}">
              <a16:creationId xmlns:a16="http://schemas.microsoft.com/office/drawing/2014/main" id="{C4B93CC5-6852-48EF-900F-57AFF23C850C}"/>
            </a:ext>
          </a:extLst>
        </xdr:cNvPr>
        <xdr:cNvSpPr/>
      </xdr:nvSpPr>
      <xdr:spPr>
        <a:xfrm>
          <a:off x="1859135" y="974447"/>
          <a:ext cx="2407651" cy="289375"/>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200" b="1">
              <a:solidFill>
                <a:schemeClr val="accent1">
                  <a:lumMod val="50000"/>
                </a:schemeClr>
              </a:solidFill>
              <a:latin typeface="Georgia" panose="02040502050405020303" pitchFamily="18" charset="0"/>
            </a:rPr>
            <a:t>Top</a:t>
          </a:r>
          <a:r>
            <a:rPr lang="en-US" sz="1200" b="1" baseline="0">
              <a:solidFill>
                <a:schemeClr val="accent1">
                  <a:lumMod val="50000"/>
                </a:schemeClr>
              </a:solidFill>
              <a:latin typeface="Georgia" panose="02040502050405020303" pitchFamily="18" charset="0"/>
            </a:rPr>
            <a:t> Customer 21"</a:t>
          </a:r>
          <a:endParaRPr lang="en-US" sz="1200" b="1">
            <a:solidFill>
              <a:schemeClr val="accent1">
                <a:lumMod val="50000"/>
              </a:schemeClr>
            </a:solidFill>
            <a:latin typeface="Georgia" panose="02040502050405020303" pitchFamily="18" charset="0"/>
          </a:endParaRPr>
        </a:p>
      </xdr:txBody>
    </xdr:sp>
    <xdr:clientData/>
  </xdr:twoCellAnchor>
  <xdr:twoCellAnchor>
    <xdr:from>
      <xdr:col>12</xdr:col>
      <xdr:colOff>192571</xdr:colOff>
      <xdr:row>5</xdr:row>
      <xdr:rowOff>30026</xdr:rowOff>
    </xdr:from>
    <xdr:to>
      <xdr:col>17</xdr:col>
      <xdr:colOff>258831</xdr:colOff>
      <xdr:row>14</xdr:row>
      <xdr:rowOff>144945</xdr:rowOff>
    </xdr:to>
    <xdr:graphicFrame macro="">
      <xdr:nvGraphicFramePr>
        <xdr:cNvPr id="45" name="Chart 44">
          <a:extLst>
            <a:ext uri="{FF2B5EF4-FFF2-40B4-BE49-F238E27FC236}">
              <a16:creationId xmlns:a16="http://schemas.microsoft.com/office/drawing/2014/main" id="{72CEAF09-EEC0-4767-99C8-5191A3B39D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0</xdr:col>
      <xdr:colOff>96077</xdr:colOff>
      <xdr:row>25</xdr:row>
      <xdr:rowOff>85725</xdr:rowOff>
    </xdr:from>
    <xdr:to>
      <xdr:col>2</xdr:col>
      <xdr:colOff>424483</xdr:colOff>
      <xdr:row>31</xdr:row>
      <xdr:rowOff>134592</xdr:rowOff>
    </xdr:to>
    <mc:AlternateContent xmlns:mc="http://schemas.openxmlformats.org/markup-compatibility/2006">
      <mc:Choice xmlns:a14="http://schemas.microsoft.com/office/drawing/2010/main" Requires="a14">
        <xdr:graphicFrame macro="">
          <xdr:nvGraphicFramePr>
            <xdr:cNvPr id="7" name="Region 2">
              <a:extLst>
                <a:ext uri="{FF2B5EF4-FFF2-40B4-BE49-F238E27FC236}">
                  <a16:creationId xmlns:a16="http://schemas.microsoft.com/office/drawing/2014/main" id="{D370676C-8D58-01A9-5C7D-0D0C84A8E01C}"/>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96077" y="4744692"/>
              <a:ext cx="1550091" cy="11670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ersons/person0.xml><?xml version="1.0" encoding="utf-8"?>
<personList xmlns="http://schemas.microsoft.com/office/spreadsheetml/2018/threadedcomments" xmlns:x="http://schemas.openxmlformats.org/spreadsheetml/2006/main"/>
</file>

<file path=xl/persons/person1.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876.780857060185" createdVersion="8" refreshedVersion="8" minRefreshableVersion="3" recordCount="369" xr:uid="{4602BF43-B494-48C2-891B-BCE1253BADD2}">
  <cacheSource type="worksheet">
    <worksheetSource ref="A1:Z370" sheet="Data (2)"/>
  </cacheSource>
  <cacheFields count="27">
    <cacheField name="Order ID" numFmtId="0">
      <sharedItems containsSemiMixedTypes="0" containsString="0" containsNumber="1" containsInteger="1" minValue="1001" maxValue="1432"/>
    </cacheField>
    <cacheField name="Order Date" numFmtId="164">
      <sharedItems containsSemiMixedTypes="0" containsNonDate="0" containsDate="1" containsString="0" minDate="2014-01-01T00:00:00" maxDate="2014-12-30T00:00:00" count="149">
        <d v="2014-01-27T00:00:00"/>
        <d v="2014-01-04T00:00:00"/>
        <d v="2014-01-12T00:00:00"/>
        <d v="2014-01-08T00:00:00"/>
        <d v="2014-01-29T00:00:00"/>
        <d v="2014-01-03T00:00:00"/>
        <d v="2014-01-06T00:00:00"/>
        <d v="2014-01-28T00:00:00"/>
        <d v="2014-01-10T00:00:00"/>
        <d v="2014-01-07T00:00:00"/>
        <d v="2014-01-11T00:00:00"/>
        <d v="2014-01-01T00:00:00"/>
        <d v="2014-01-09T00:00:00"/>
        <d v="2014-02-08T00:00:00"/>
        <d v="2014-02-03T00:00:00"/>
        <d v="2014-02-06T00:00:00"/>
        <d v="2014-02-28T00:00:00"/>
        <d v="2014-02-10T00:00:00"/>
        <d v="2014-02-11T00:00:00"/>
        <d v="2014-02-01T00:00:00"/>
        <d v="2014-02-09T00:00:00"/>
        <d v="2014-02-25T00:00:00"/>
        <d v="2014-02-26T00:00:00"/>
        <d v="2014-03-01T00:00:00"/>
        <d v="2014-02-04T00:00:00"/>
        <d v="2014-03-09T00:00:00"/>
        <d v="2014-03-06T00:00:00"/>
        <d v="2014-03-08T00:00:00"/>
        <d v="2014-03-25T00:00:00"/>
        <d v="2014-03-26T00:00:00"/>
        <d v="2014-03-29T00:00:00"/>
        <d v="2014-03-04T00:00:00"/>
        <d v="2014-03-03T00:00:00"/>
        <d v="2014-03-10T00:00:00"/>
        <d v="2014-03-11T00:00:00"/>
        <d v="2014-03-28T00:00:00"/>
        <d v="2014-04-04T00:00:00"/>
        <d v="2014-04-12T00:00:00"/>
        <d v="2014-04-08T00:00:00"/>
        <d v="2014-04-29T00:00:00"/>
        <d v="2014-04-03T00:00:00"/>
        <d v="2014-04-06T00:00:00"/>
        <d v="2014-04-28T00:00:00"/>
        <d v="2014-04-10T00:00:00"/>
        <d v="2014-04-07T00:00:00"/>
        <d v="2014-04-11T00:00:00"/>
        <d v="2014-04-01T00:00:00"/>
        <d v="2014-05-29T00:00:00"/>
        <d v="2014-05-03T00:00:00"/>
        <d v="2014-05-06T00:00:00"/>
        <d v="2014-05-28T00:00:00"/>
        <d v="2014-05-08T00:00:00"/>
        <d v="2014-05-10T00:00:00"/>
        <d v="2014-05-07T00:00:00"/>
        <d v="2014-05-11T00:00:00"/>
        <d v="2014-05-01T00:00:00"/>
        <d v="2014-05-09T00:00:00"/>
        <d v="2014-05-25T00:00:00"/>
        <d v="2014-05-26T00:00:00"/>
        <d v="2014-05-04T00:00:00"/>
        <d v="2014-06-07T00:00:00"/>
        <d v="2014-06-10T00:00:00"/>
        <d v="2014-06-11T00:00:00"/>
        <d v="2014-06-01T00:00:00"/>
        <d v="2014-06-28T00:00:00"/>
        <d v="2014-06-09T00:00:00"/>
        <d v="2014-06-06T00:00:00"/>
        <d v="2014-06-08T00:00:00"/>
        <d v="2014-06-25T00:00:00"/>
        <d v="2014-06-26T00:00:00"/>
        <d v="2014-06-29T00:00:00"/>
        <d v="2014-06-04T00:00:00"/>
        <d v="2014-06-03T00:00:00"/>
        <d v="2014-07-01T00:00:00"/>
        <d v="2014-07-28T00:00:00"/>
        <d v="2014-07-09T00:00:00"/>
        <d v="2014-07-06T00:00:00"/>
        <d v="2014-07-08T00:00:00"/>
        <d v="2014-07-25T00:00:00"/>
        <d v="2014-07-26T00:00:00"/>
        <d v="2014-07-29T00:00:00"/>
        <d v="2014-07-04T00:00:00"/>
        <d v="2014-07-03T00:00:00"/>
        <d v="2014-07-10T00:00:00"/>
        <d v="2014-07-11T00:00:00"/>
        <d v="2014-08-28T00:00:00"/>
        <d v="2014-08-08T00:00:00"/>
        <d v="2014-08-10T00:00:00"/>
        <d v="2014-08-07T00:00:00"/>
        <d v="2014-08-11T00:00:00"/>
        <d v="2014-08-01T00:00:00"/>
        <d v="2014-08-09T00:00:00"/>
        <d v="2014-08-06T00:00:00"/>
        <d v="2014-08-25T00:00:00"/>
        <d v="2014-08-26T00:00:00"/>
        <d v="2014-08-29T00:00:00"/>
        <d v="2014-08-04T00:00:00"/>
        <d v="2014-09-10T00:00:00"/>
        <d v="2014-09-11T00:00:00"/>
        <d v="2014-09-01T00:00:00"/>
        <d v="2014-09-28T00:00:00"/>
        <d v="2014-09-09T00:00:00"/>
        <d v="2014-09-06T00:00:00"/>
        <d v="2014-09-08T00:00:00"/>
        <d v="2014-09-25T00:00:00"/>
        <d v="2014-09-26T00:00:00"/>
        <d v="2014-09-29T00:00:00"/>
        <d v="2014-09-04T00:00:00"/>
        <d v="2014-09-03T00:00:00"/>
        <d v="2014-10-06T00:00:00"/>
        <d v="2014-10-28T00:00:00"/>
        <d v="2014-10-08T00:00:00"/>
        <d v="2014-10-10T00:00:00"/>
        <d v="2014-10-07T00:00:00"/>
        <d v="2014-10-11T00:00:00"/>
        <d v="2014-10-01T00:00:00"/>
        <d v="2014-10-09T00:00:00"/>
        <d v="2014-10-25T00:00:00"/>
        <d v="2014-10-26T00:00:00"/>
        <d v="2014-10-29T00:00:00"/>
        <d v="2014-10-04T00:00:00"/>
        <d v="2014-10-03T00:00:00"/>
        <d v="2014-11-10T00:00:00"/>
        <d v="2014-11-11T00:00:00"/>
        <d v="2014-11-01T00:00:00"/>
        <d v="2014-11-28T00:00:00"/>
        <d v="2014-11-09T00:00:00"/>
        <d v="2014-11-06T00:00:00"/>
        <d v="2014-11-08T00:00:00"/>
        <d v="2014-11-25T00:00:00"/>
        <d v="2014-11-26T00:00:00"/>
        <d v="2014-11-29T00:00:00"/>
        <d v="2014-11-04T00:00:00"/>
        <d v="2014-11-03T00:00:00"/>
        <d v="2014-12-27T00:00:00"/>
        <d v="2014-12-04T00:00:00"/>
        <d v="2014-12-12T00:00:00"/>
        <d v="2014-12-08T00:00:00"/>
        <d v="2014-12-29T00:00:00"/>
        <d v="2014-12-03T00:00:00"/>
        <d v="2014-12-06T00:00:00"/>
        <d v="2014-12-28T00:00:00"/>
        <d v="2014-12-10T00:00:00"/>
        <d v="2014-12-07T00:00:00"/>
        <d v="2014-12-11T00:00:00"/>
        <d v="2014-12-01T00:00:00"/>
        <d v="2014-12-09T00:00:00"/>
        <d v="2014-12-25T00:00:00"/>
        <d v="2014-12-26T00:00:00"/>
      </sharedItems>
      <fieldGroup par="26"/>
    </cacheField>
    <cacheField name="Customer ID" numFmtId="0">
      <sharedItems containsSemiMixedTypes="0" containsString="0" containsNumber="1" containsInteger="1" minValue="1" maxValue="29"/>
    </cacheField>
    <cacheField name="Customer Name" numFmtId="0">
      <sharedItems count="15">
        <s v="Company AA"/>
        <s v="Company D"/>
        <s v="Company L"/>
        <s v="Company H"/>
        <s v="Company CC"/>
        <s v="Company C"/>
        <s v="Company F"/>
        <s v="Company BB"/>
        <s v="Company J"/>
        <s v="Company G"/>
        <s v="Company K"/>
        <s v="Company A"/>
        <s v="Company I"/>
        <s v="Company Y"/>
        <s v="Company Z"/>
      </sharedItems>
    </cacheField>
    <cacheField name="Address" numFmtId="0">
      <sharedItems/>
    </cacheField>
    <cacheField name="City" numFmtId="0">
      <sharedItems count="12">
        <s v="Las Vegas"/>
        <s v="New York"/>
        <s v="Portland"/>
        <s v="Denver"/>
        <s v="Los Angelas"/>
        <s v="Milwaukee"/>
        <s v="Memphis"/>
        <s v="Chicago"/>
        <s v="Boise"/>
        <s v="Miami"/>
        <s v="Seattle"/>
        <s v="Salt Lake City"/>
      </sharedItems>
    </cacheField>
    <cacheField name="State" numFmtId="0">
      <sharedItems count="12">
        <s v="NV"/>
        <s v="NY"/>
        <s v="OR"/>
        <s v="CO"/>
        <s v="CA"/>
        <s v="WI"/>
        <s v="TN"/>
        <s v="IL"/>
        <s v="ID"/>
        <s v="FL"/>
        <s v="WA"/>
        <s v="UT"/>
      </sharedItems>
    </cacheField>
    <cacheField name="ZIP/Postal Code" numFmtId="0">
      <sharedItems containsSemiMixedTypes="0" containsString="0" containsNumber="1" containsInteger="1" minValue="99999" maxValue="99999"/>
    </cacheField>
    <cacheField name="Country/Region" numFmtId="0">
      <sharedItems/>
    </cacheField>
    <cacheField name="Salesperson" numFmtId="0">
      <sharedItems count="8">
        <s v="Mariya Sergienko"/>
        <s v="Andrew Cencini"/>
        <s v="Nancy Freehafer"/>
        <s v="Jan Kotas"/>
        <s v="Michael Neipper"/>
        <s v="Anne Larsen"/>
        <s v="Laura Giussani"/>
        <s v="Robert Zare"/>
      </sharedItems>
    </cacheField>
    <cacheField name="Region" numFmtId="0">
      <sharedItems count="4">
        <s v="West"/>
        <s v="East"/>
        <s v="North"/>
        <s v="South"/>
      </sharedItems>
    </cacheField>
    <cacheField name="Shipped Date" numFmtId="0">
      <sharedItems containsDate="1" containsString="0" containsBlank="1" containsMixedTypes="1" minDate="2014-01-05T00:00:00" maxDate="2014-12-09T00:00:00"/>
    </cacheField>
    <cacheField name="Shipper Name" numFmtId="0">
      <sharedItems containsBlank="1"/>
    </cacheField>
    <cacheField name="Ship Name" numFmtId="0">
      <sharedItems/>
    </cacheField>
    <cacheField name="Ship Address" numFmtId="0">
      <sharedItems/>
    </cacheField>
    <cacheField name="Ship City" numFmtId="0">
      <sharedItems count="12">
        <s v="Las Vegas"/>
        <s v="New York"/>
        <s v="Portland"/>
        <s v="Denver"/>
        <s v="Los Angelas"/>
        <s v="Milwaukee"/>
        <s v="Memphis"/>
        <s v="Chicago"/>
        <s v="Boise"/>
        <s v="Miami"/>
        <s v="Seattle"/>
        <s v="Salt Lake City"/>
      </sharedItems>
    </cacheField>
    <cacheField name="Ship State" numFmtId="0">
      <sharedItems/>
    </cacheField>
    <cacheField name="Ship ZIP/Postal Code" numFmtId="0">
      <sharedItems containsSemiMixedTypes="0" containsString="0" containsNumber="1" containsInteger="1" minValue="99999" maxValue="99999"/>
    </cacheField>
    <cacheField name="Ship Country/Region" numFmtId="0">
      <sharedItems/>
    </cacheField>
    <cacheField name="Payment Type" numFmtId="0">
      <sharedItems containsBlank="1"/>
    </cacheField>
    <cacheField name="Product Name" numFmtId="0">
      <sharedItems count="25">
        <s v="Beer"/>
        <s v="Dried Plums"/>
        <s v="Dried Pears"/>
        <s v="Dried Apples"/>
        <s v="Chai"/>
        <s v="Coffee"/>
        <s v="Chocolate Biscuits Mix"/>
        <s v="Chocolate"/>
        <s v="Clam Chowder"/>
        <s v="Curry Sauce"/>
        <s v="Green Tea"/>
        <s v="Boysenberry Spread"/>
        <s v="Cajun Seasoning"/>
        <s v="Crab Meat"/>
        <s v="Ravioli"/>
        <s v="Mozzarella"/>
        <s v="Syrup"/>
        <s v="Shiping Fee Error"/>
        <s v="Almonds"/>
        <s v="Fruit Cocktail"/>
        <s v="Gnocchi"/>
        <s v="Scones"/>
        <s v="Olive Oil"/>
        <s v="Marmalade"/>
        <s v="Long Grain Rice"/>
      </sharedItems>
    </cacheField>
    <cacheField name="Category" numFmtId="0">
      <sharedItems count="15">
        <s v="Beverages"/>
        <s v="Dried Fruit &amp; Nuts"/>
        <s v="Baked Goods &amp; Mixes"/>
        <s v="Candy"/>
        <s v="Soups"/>
        <s v="Sauces"/>
        <s v="Jams, Preserves"/>
        <s v="Condiments"/>
        <s v="Canned Meat"/>
        <s v="Pasta"/>
        <s v="Dairy Products"/>
        <s v="Shipping Fee "/>
        <s v="Fruit &amp; Veg"/>
        <s v="Oil"/>
        <s v="Grains"/>
      </sharedItems>
    </cacheField>
    <cacheField name="Unit Price" numFmtId="0">
      <sharedItems containsString="0" containsBlank="1" containsNumber="1" minValue="2.99" maxValue="81"/>
    </cacheField>
    <cacheField name="Quantity" numFmtId="0">
      <sharedItems containsString="0" containsBlank="1" containsNumber="1" containsInteger="1" minValue="10" maxValue="100"/>
    </cacheField>
    <cacheField name="Revenue" numFmtId="165">
      <sharedItems containsSemiMixedTypes="0" containsString="0" containsNumber="1" minValue="10" maxValue="7938" count="315">
        <n v="686"/>
        <n v="164.5"/>
        <n v="2070"/>
        <n v="4717"/>
        <n v="38.5"/>
        <n v="1458"/>
        <n v="2024"/>
        <n v="349.59999999999997"/>
        <n v="809.59999999999991"/>
        <n v="1198.5"/>
        <n v="878.15"/>
        <n v="1280"/>
        <n v="2530"/>
        <n v="599.25"/>
        <n v="269.10000000000002"/>
        <n v="1104"/>
        <n v="850"/>
        <n v="374"/>
        <n v="404.79999999999995"/>
        <n v="283.5"/>
        <n v="146.51000000000002"/>
        <n v="756"/>
        <n v="2668"/>
        <n v="200.33"/>
        <n v="965"/>
        <n v="1159.1999999999998"/>
        <n v="1111.5"/>
        <n v="2818.7999999999997"/>
        <n v="994"/>
        <n v="630"/>
        <n v="1200"/>
        <n v="10"/>
        <n v="470"/>
        <n v="171.5"/>
        <n v="2880"/>
        <n v="239.2"/>
        <n v="1472"/>
        <n v="260.55"/>
        <n v="905.25"/>
        <n v="165.75"/>
        <n v="2156"/>
        <n v="525"/>
        <n v="1014"/>
        <n v="848"/>
        <n v="3648"/>
        <n v="224.25000000000003"/>
        <n v="1072.5"/>
        <n v="382.79999999999995"/>
        <n v="742"/>
        <n v="3400"/>
        <n v="892.4"/>
        <n v="460"/>
        <n v="2070.9500000000003"/>
        <n v="936.05000000000007"/>
        <n v="1196"/>
        <n v="1008"/>
        <n v="204"/>
        <n v="6237"/>
        <n v="259"/>
        <n v="2192.3999999999996"/>
        <n v="480"/>
        <n v="2840"/>
        <n v="550"/>
        <n v="73.5"/>
        <n v="2680"/>
        <n v="1380"/>
        <n v="782"/>
        <n v="168"/>
        <n v="1332"/>
        <n v="4416"/>
        <n v="110.39999999999999"/>
        <n v="570.4"/>
        <n v="446.25"/>
        <n v="916.75"/>
        <n v="680"/>
        <n v="1058.25"/>
        <n v="263.12"/>
        <n v="2714"/>
        <n v="675"/>
        <n v="814"/>
        <n v="690"/>
        <n v="248.5"/>
        <n v="990"/>
        <n v="178.5"/>
        <n v="414.95"/>
        <n v="2520"/>
        <n v="1656"/>
        <n v="522.75"/>
        <n v="104.65"/>
        <n v="1426"/>
        <n v="1300"/>
        <n v="660"/>
        <n v="377.2"/>
        <n v="154"/>
        <n v="230.23000000000002"/>
        <n v="522"/>
        <n v="3542"/>
        <n v="218.27"/>
        <n v="714.1"/>
        <n v="459.99999999999994"/>
        <n v="1599"/>
        <n v="1287.5999999999999"/>
        <n v="1176"/>
        <n v="2920"/>
        <n v="469.2"/>
        <n v="768.6"/>
        <n v="839.55000000000007"/>
        <n v="1177.5999999999999"/>
        <n v="294"/>
        <n v="242.25"/>
        <n v="1863"/>
        <n v="504"/>
        <n v="765.59999999999991"/>
        <n v="820"/>
        <n v="3920"/>
        <n v="3266"/>
        <n v="1000"/>
        <n v="1760"/>
        <n v="98"/>
        <n v="179.4"/>
        <n v="594"/>
        <n v="1012"/>
        <n v="152.49"/>
        <n v="579"/>
        <n v="1803.1999999999998"/>
        <n v="526.5"/>
        <n v="3062.3999999999996"/>
        <n v="910"/>
        <n v="1520"/>
        <n v="736"/>
        <n v="490"/>
        <n v="1921.5000000000002"/>
        <n v="717.59999999999991"/>
        <n v="1106"/>
        <n v="561"/>
        <n v="7938"/>
        <n v="427"/>
        <n v="1044"/>
        <n v="240"/>
        <n v="1120"/>
        <n v="740"/>
        <n v="315"/>
        <n v="1080"/>
        <n v="1306.3999999999999"/>
        <n v="3404"/>
        <n v="733.4"/>
        <n v="1224"/>
        <n v="1173"/>
        <n v="2046"/>
        <n v="450"/>
        <n v="3822"/>
        <n v="3230"/>
        <n v="242.19000000000003"/>
        <n v="318.45"/>
        <n v="864.8"/>
        <n v="1189.5"/>
        <n v="939.59999999999991"/>
        <n v="3640"/>
        <n v="331.2"/>
        <n v="340"/>
        <n v="1729.3500000000001"/>
        <n v="241.25"/>
        <n v="220.79999999999998"/>
        <n v="322"/>
        <n v="969"/>
        <n v="4455"/>
        <n v="133"/>
        <n v="400"/>
        <n v="800"/>
        <n v="94.5"/>
        <n v="3880"/>
        <n v="772.8"/>
        <n v="868.5"/>
        <n v="357"/>
        <n v="1288"/>
        <n v="726.75"/>
        <n v="68.77000000000001"/>
        <n v="3956"/>
        <n v="1175"/>
        <n v="2134"/>
        <n v="883.19999999999993"/>
        <n v="108.5"/>
        <n v="155.48000000000002"/>
        <n v="1638"/>
        <n v="644"/>
        <n v="131.56"/>
        <n v="1287"/>
        <n v="1113.5999999999999"/>
        <n v="728"/>
        <n v="3120"/>
        <n v="496.79999999999995"/>
        <n v="1281"/>
        <n v="183.35"/>
        <n v="1214.3999999999999"/>
        <n v="588"/>
        <n v="918"/>
        <n v="2592"/>
        <n v="532"/>
        <n v="763.59999999999991"/>
        <n v="318.5"/>
        <n v="191.36"/>
        <n v="4462"/>
        <n v="41.86"/>
        <n v="656.2"/>
        <n v="588.79999999999995"/>
        <n v="936"/>
        <n v="1983.6"/>
        <n v="938"/>
        <n v="1920"/>
        <n v="708.4"/>
        <n v="940"/>
        <n v="1152.9000000000001"/>
        <n v="700"/>
        <n v="4374"/>
        <n v="273"/>
        <n v="710"/>
        <n v="3520"/>
        <n v="590"/>
        <n v="3760"/>
        <n v="777.75"/>
        <n v="95.68"/>
        <n v="2852"/>
        <n v="1500"/>
        <n v="1122"/>
        <n v="450.79999999999995"/>
        <n v="70"/>
        <n v="396"/>
        <n v="3358"/>
        <n v="254.15"/>
        <n v="424.6"/>
        <n v="441.59999999999997"/>
        <n v="1248"/>
        <n v="2436"/>
        <n v="1372"/>
        <n v="919.99999999999989"/>
        <n v="900"/>
        <n v="1046.1500000000001"/>
        <n v="685.15"/>
        <n v="184"/>
        <n v="1092"/>
        <n v="6642"/>
        <n v="203"/>
        <n v="3236.3999999999996"/>
        <n v="110"/>
        <n v="120"/>
        <n v="2400"/>
        <n v="423.2"/>
        <n v="1564"/>
        <n v="858.85"/>
        <n v="1045.5"/>
        <n v="548.25"/>
        <n v="2112"/>
        <n v="312.79999999999995"/>
        <n v="147"/>
        <n v="299"/>
        <n v="65.78"/>
        <n v="443.90000000000003"/>
        <n v="1839.9999999999998"/>
        <n v="1696.5"/>
        <n v="2018.3999999999999"/>
        <n v="1190"/>
        <n v="174.79999999999998"/>
        <n v="1473.15"/>
        <n v="357.05"/>
        <n v="191.25"/>
        <n v="4212"/>
        <n v="835.19999999999993"/>
        <n v="360"/>
        <n v="960"/>
        <n v="200"/>
        <n v="1398.3999999999999"/>
        <n v="2622"/>
        <n v="135.1"/>
        <n v="196"/>
        <n v="245"/>
        <n v="3000"/>
        <n v="1431"/>
        <n v="1026"/>
        <n v="3818"/>
        <n v="699.19999999999993"/>
        <n v="926.40000000000009"/>
        <n v="122.59"/>
        <n v="1886"/>
        <n v="2350"/>
        <n v="440"/>
        <n v="119.6"/>
        <n v="158.47"/>
        <n v="1782"/>
        <n v="4094"/>
        <n v="945.7"/>
        <n v="1582.3999999999999"/>
        <n v="390"/>
        <n v="2401.1999999999998"/>
        <n v="952"/>
        <n v="2080"/>
        <n v="368"/>
        <n v="1878.8000000000002"/>
        <n v="1711.1999999999998"/>
        <n v="1344"/>
        <n v="153"/>
        <n v="3078"/>
        <n v="3479.9999999999995"/>
        <n v="890"/>
        <n v="970"/>
        <n v="185.5"/>
        <n v="2440"/>
        <n v="827.99999999999989"/>
        <n v="1978"/>
        <n v="173.70000000000002"/>
        <n v="1430"/>
        <n v="325"/>
        <n v="2106"/>
        <n v="1802"/>
        <n v="2242"/>
        <n v="71.760000000000005"/>
      </sharedItems>
      <fieldGroup base="24">
        <rangePr autoStart="0" startNum="1000" endNum="7938" groupInterval="1000"/>
        <groupItems count="9">
          <s v="&lt;1000"/>
          <s v="1000-2000"/>
          <s v="2000-3000"/>
          <s v="3000-4000"/>
          <s v="4000-5000"/>
          <s v="5000-6000"/>
          <s v="6000-7000"/>
          <s v="7000-8000"/>
          <s v="&gt;8000"/>
        </groupItems>
      </fieldGroup>
    </cacheField>
    <cacheField name="Shipping Fee" numFmtId="165">
      <sharedItems containsSemiMixedTypes="0" containsString="0" containsNumber="1" minValue="3.7345000000000002" maxValue="769.98599999999999"/>
    </cacheField>
    <cacheField name="Months (Order Date)" numFmtId="0" databaseField="0">
      <fieldGroup base="1">
        <rangePr groupBy="months" startDate="2014-01-01T00:00:00" endDate="2014-12-30T00:00:00"/>
        <groupItems count="14">
          <s v="&lt;1/1/2014"/>
          <s v="Jan"/>
          <s v="Feb"/>
          <s v="Mar"/>
          <s v="Apr"/>
          <s v="May"/>
          <s v="Jun"/>
          <s v="Jul"/>
          <s v="Aug"/>
          <s v="Sep"/>
          <s v="Oct"/>
          <s v="Nov"/>
          <s v="Dec"/>
          <s v="&gt;12/30/2014"/>
        </groupItems>
      </fieldGroup>
    </cacheField>
  </cacheFields>
  <extLst>
    <ext xmlns:x14="http://schemas.microsoft.com/office/spreadsheetml/2009/9/main" uri="{725AE2AE-9491-48be-B2B4-4EB974FC3084}">
      <x14:pivotCacheDefinition pivotCacheId="4856584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9">
  <r>
    <n v="1001"/>
    <x v="0"/>
    <n v="27"/>
    <x v="0"/>
    <s v="789 27th Street"/>
    <x v="0"/>
    <x v="0"/>
    <n v="99999"/>
    <s v="USA"/>
    <x v="0"/>
    <x v="0"/>
    <d v="2014-01-29T00:00:00"/>
    <s v="Shipping Company B"/>
    <s v="Karen Toh"/>
    <s v="789 27th Street"/>
    <x v="0"/>
    <s v="NV"/>
    <n v="99999"/>
    <s v="USA"/>
    <s v="Check"/>
    <x v="0"/>
    <x v="0"/>
    <n v="14"/>
    <n v="49"/>
    <x v="0"/>
    <n v="66.542000000000002"/>
  </r>
  <r>
    <n v="1002"/>
    <x v="0"/>
    <n v="27"/>
    <x v="0"/>
    <s v="789 27th Street"/>
    <x v="0"/>
    <x v="0"/>
    <n v="99999"/>
    <s v="USA"/>
    <x v="0"/>
    <x v="0"/>
    <d v="2014-01-29T00:00:00"/>
    <s v="Shipping Company B"/>
    <s v="Karen Toh"/>
    <s v="789 27th Street"/>
    <x v="0"/>
    <s v="NV"/>
    <n v="99999"/>
    <s v="USA"/>
    <s v="Check"/>
    <x v="1"/>
    <x v="1"/>
    <n v="3.5"/>
    <n v="47"/>
    <x v="1"/>
    <n v="16.6145"/>
  </r>
  <r>
    <n v="1003"/>
    <x v="1"/>
    <n v="4"/>
    <x v="1"/>
    <s v="123 4th Street"/>
    <x v="1"/>
    <x v="1"/>
    <n v="99999"/>
    <s v="USA"/>
    <x v="1"/>
    <x v="1"/>
    <d v="2014-01-06T00:00:00"/>
    <s v="Shipping Company A"/>
    <s v="Christina Lee"/>
    <s v="123 4th Street"/>
    <x v="1"/>
    <s v="NY"/>
    <n v="99999"/>
    <s v="USA"/>
    <s v="Credit Card"/>
    <x v="2"/>
    <x v="1"/>
    <n v="30"/>
    <n v="69"/>
    <x v="2"/>
    <n v="198.72"/>
  </r>
  <r>
    <n v="1004"/>
    <x v="1"/>
    <n v="4"/>
    <x v="1"/>
    <s v="123 4th Street"/>
    <x v="1"/>
    <x v="1"/>
    <n v="99999"/>
    <s v="USA"/>
    <x v="1"/>
    <x v="1"/>
    <d v="2014-01-06T00:00:00"/>
    <s v="Shipping Company A"/>
    <s v="Christina Lee"/>
    <s v="123 4th Street"/>
    <x v="1"/>
    <s v="NY"/>
    <n v="99999"/>
    <s v="USA"/>
    <s v="Credit Card"/>
    <x v="3"/>
    <x v="1"/>
    <n v="53"/>
    <n v="89"/>
    <x v="3"/>
    <n v="448.11500000000001"/>
  </r>
  <r>
    <n v="1005"/>
    <x v="1"/>
    <n v="4"/>
    <x v="1"/>
    <s v="123 4th Street"/>
    <x v="1"/>
    <x v="1"/>
    <n v="99999"/>
    <s v="USA"/>
    <x v="1"/>
    <x v="1"/>
    <d v="2014-01-06T00:00:00"/>
    <s v="Shipping Company A"/>
    <s v="Christina Lee"/>
    <s v="123 4th Street"/>
    <x v="1"/>
    <s v="NY"/>
    <n v="99999"/>
    <s v="USA"/>
    <s v="Credit Card"/>
    <x v="1"/>
    <x v="1"/>
    <n v="3.5"/>
    <n v="11"/>
    <x v="4"/>
    <n v="3.7345000000000002"/>
  </r>
  <r>
    <n v="1006"/>
    <x v="2"/>
    <n v="12"/>
    <x v="2"/>
    <s v="123 12th Street"/>
    <x v="0"/>
    <x v="0"/>
    <n v="99999"/>
    <s v="USA"/>
    <x v="0"/>
    <x v="0"/>
    <d v="2014-01-14T00:00:00"/>
    <s v="Shipping Company B"/>
    <s v="John Edwards"/>
    <s v="123 12th Street"/>
    <x v="0"/>
    <s v="NV"/>
    <n v="99999"/>
    <s v="USA"/>
    <s v="Credit Card"/>
    <x v="4"/>
    <x v="0"/>
    <n v="18"/>
    <n v="81"/>
    <x v="5"/>
    <n v="141.42600000000002"/>
  </r>
  <r>
    <n v="1007"/>
    <x v="2"/>
    <n v="12"/>
    <x v="2"/>
    <s v="123 12th Street"/>
    <x v="0"/>
    <x v="0"/>
    <n v="99999"/>
    <s v="USA"/>
    <x v="0"/>
    <x v="0"/>
    <d v="2014-01-14T00:00:00"/>
    <s v="Shipping Company B"/>
    <s v="John Edwards"/>
    <s v="123 12th Street"/>
    <x v="0"/>
    <s v="NV"/>
    <n v="99999"/>
    <s v="USA"/>
    <s v="Credit Card"/>
    <x v="5"/>
    <x v="0"/>
    <n v="46"/>
    <n v="44"/>
    <x v="6"/>
    <n v="198.352"/>
  </r>
  <r>
    <n v="1008"/>
    <x v="3"/>
    <n v="8"/>
    <x v="3"/>
    <s v="123 8th Street"/>
    <x v="2"/>
    <x v="2"/>
    <n v="99999"/>
    <s v="USA"/>
    <x v="2"/>
    <x v="2"/>
    <d v="2014-01-10T00:00:00"/>
    <s v="Shipping Company C"/>
    <s v="Elizabeth Andersen"/>
    <s v="123 8th Street"/>
    <x v="2"/>
    <s v="OR"/>
    <n v="99999"/>
    <s v="USA"/>
    <s v="Credit Card"/>
    <x v="6"/>
    <x v="2"/>
    <n v="9.1999999999999993"/>
    <n v="38"/>
    <x v="7"/>
    <n v="36.008800000000001"/>
  </r>
  <r>
    <n v="1009"/>
    <x v="1"/>
    <n v="4"/>
    <x v="1"/>
    <s v="123 4th Street"/>
    <x v="1"/>
    <x v="1"/>
    <n v="99999"/>
    <s v="USA"/>
    <x v="1"/>
    <x v="1"/>
    <d v="2014-01-06T00:00:00"/>
    <s v="Shipping Company C"/>
    <s v="Christina Lee"/>
    <s v="123 4th Street"/>
    <x v="1"/>
    <s v="NY"/>
    <n v="99999"/>
    <s v="USA"/>
    <s v="Check"/>
    <x v="6"/>
    <x v="2"/>
    <n v="9.1999999999999993"/>
    <n v="88"/>
    <x v="8"/>
    <n v="79.340799999999987"/>
  </r>
  <r>
    <n v="1010"/>
    <x v="4"/>
    <n v="29"/>
    <x v="4"/>
    <s v="789 29th Street"/>
    <x v="3"/>
    <x v="3"/>
    <n v="99999"/>
    <s v="USA"/>
    <x v="3"/>
    <x v="0"/>
    <d v="2014-01-31T00:00:00"/>
    <s v="Shipping Company B"/>
    <s v="Soo Jung Lee"/>
    <s v="789 29th Street"/>
    <x v="3"/>
    <s v="CO"/>
    <n v="99999"/>
    <s v="USA"/>
    <s v="Check"/>
    <x v="7"/>
    <x v="3"/>
    <n v="12.75"/>
    <n v="94"/>
    <x v="9"/>
    <n v="122.24700000000001"/>
  </r>
  <r>
    <n v="1011"/>
    <x v="5"/>
    <n v="3"/>
    <x v="5"/>
    <s v="123 3rd Street"/>
    <x v="4"/>
    <x v="4"/>
    <n v="99999"/>
    <s v="USA"/>
    <x v="0"/>
    <x v="0"/>
    <d v="2014-01-05T00:00:00"/>
    <s v="Shipping Company B"/>
    <s v="Thomas Axerr"/>
    <s v="123 3rd Street"/>
    <x v="4"/>
    <s v="CA"/>
    <n v="99999"/>
    <s v="USA"/>
    <s v="Cash"/>
    <x v="8"/>
    <x v="4"/>
    <n v="9.65"/>
    <n v="91"/>
    <x v="10"/>
    <n v="92.205749999999995"/>
  </r>
  <r>
    <n v="1012"/>
    <x v="6"/>
    <n v="6"/>
    <x v="6"/>
    <s v="123 6th Street"/>
    <x v="5"/>
    <x v="5"/>
    <n v="99999"/>
    <s v="USA"/>
    <x v="4"/>
    <x v="2"/>
    <d v="2014-01-08T00:00:00"/>
    <s v="Shipping Company B"/>
    <s v="Francisco Pérez-Olaeta"/>
    <s v="123 6th Street"/>
    <x v="5"/>
    <s v="WI"/>
    <n v="99999"/>
    <s v="USA"/>
    <s v="Credit Card"/>
    <x v="9"/>
    <x v="5"/>
    <n v="40"/>
    <n v="32"/>
    <x v="11"/>
    <n v="133.12"/>
  </r>
  <r>
    <n v="1013"/>
    <x v="7"/>
    <n v="28"/>
    <x v="7"/>
    <s v="789 28th Street"/>
    <x v="6"/>
    <x v="6"/>
    <n v="99999"/>
    <s v="USA"/>
    <x v="5"/>
    <x v="3"/>
    <d v="2014-01-30T00:00:00"/>
    <s v="Shipping Company C"/>
    <s v="Amritansh Raghav"/>
    <s v="789 28th Street"/>
    <x v="6"/>
    <s v="TN"/>
    <n v="99999"/>
    <s v="USA"/>
    <s v="Check"/>
    <x v="5"/>
    <x v="0"/>
    <n v="46"/>
    <n v="55"/>
    <x v="12"/>
    <n v="253"/>
  </r>
  <r>
    <n v="1014"/>
    <x v="3"/>
    <n v="8"/>
    <x v="3"/>
    <s v="123 8th Street"/>
    <x v="2"/>
    <x v="2"/>
    <n v="99999"/>
    <s v="USA"/>
    <x v="2"/>
    <x v="2"/>
    <d v="2014-01-10T00:00:00"/>
    <s v="Shipping Company C"/>
    <s v="Elizabeth Andersen"/>
    <s v="123 8th Street"/>
    <x v="2"/>
    <s v="OR"/>
    <n v="99999"/>
    <s v="USA"/>
    <s v="Check"/>
    <x v="7"/>
    <x v="3"/>
    <n v="12.75"/>
    <n v="47"/>
    <x v="13"/>
    <n v="61.722750000000005"/>
  </r>
  <r>
    <n v="1015"/>
    <x v="8"/>
    <n v="10"/>
    <x v="8"/>
    <s v="123 10th Street"/>
    <x v="7"/>
    <x v="7"/>
    <n v="99999"/>
    <s v="USA"/>
    <x v="6"/>
    <x v="1"/>
    <d v="2014-01-12T00:00:00"/>
    <s v="Shipping Company B"/>
    <s v="Roland Wacker"/>
    <s v="123 10th Street"/>
    <x v="7"/>
    <s v="IL"/>
    <n v="99999"/>
    <s v="USA"/>
    <s v="Credit Card"/>
    <x v="10"/>
    <x v="0"/>
    <n v="2.99"/>
    <n v="90"/>
    <x v="14"/>
    <n v="27.717300000000005"/>
  </r>
  <r>
    <n v="1016"/>
    <x v="9"/>
    <n v="7"/>
    <x v="9"/>
    <s v="123 7th Street"/>
    <x v="8"/>
    <x v="8"/>
    <n v="99999"/>
    <s v="USA"/>
    <x v="2"/>
    <x v="2"/>
    <m/>
    <m/>
    <s v="Ming-Yang Xie"/>
    <s v="123 7th Street"/>
    <x v="8"/>
    <s v="ID"/>
    <n v="99999"/>
    <s v="USA"/>
    <m/>
    <x v="5"/>
    <x v="0"/>
    <n v="46"/>
    <n v="24"/>
    <x v="15"/>
    <n v="110.4"/>
  </r>
  <r>
    <n v="1017"/>
    <x v="8"/>
    <n v="10"/>
    <x v="8"/>
    <s v="123 10th Street"/>
    <x v="7"/>
    <x v="7"/>
    <n v="99999"/>
    <s v="USA"/>
    <x v="6"/>
    <x v="1"/>
    <d v="2014-01-12T00:00:00"/>
    <s v="Shipping Company A"/>
    <s v="Roland Wacker"/>
    <s v="123 10th Street"/>
    <x v="7"/>
    <s v="IL"/>
    <n v="99999"/>
    <s v="USA"/>
    <m/>
    <x v="11"/>
    <x v="6"/>
    <n v="25"/>
    <n v="34"/>
    <x v="16"/>
    <n v="80.75"/>
  </r>
  <r>
    <n v="1018"/>
    <x v="8"/>
    <n v="10"/>
    <x v="8"/>
    <s v="123 10th Street"/>
    <x v="7"/>
    <x v="7"/>
    <n v="99999"/>
    <s v="USA"/>
    <x v="6"/>
    <x v="1"/>
    <d v="2014-01-12T00:00:00"/>
    <s v="Shipping Company A"/>
    <s v="Roland Wacker"/>
    <s v="123 10th Street"/>
    <x v="7"/>
    <s v="IL"/>
    <n v="99999"/>
    <s v="USA"/>
    <m/>
    <x v="12"/>
    <x v="7"/>
    <n v="22"/>
    <n v="17"/>
    <x v="17"/>
    <n v="35.903999999999996"/>
  </r>
  <r>
    <n v="1019"/>
    <x v="8"/>
    <n v="10"/>
    <x v="8"/>
    <s v="123 10th Street"/>
    <x v="7"/>
    <x v="7"/>
    <n v="99999"/>
    <s v="USA"/>
    <x v="6"/>
    <x v="1"/>
    <d v="2014-01-12T00:00:00"/>
    <s v="Shipping Company A"/>
    <s v="Roland Wacker"/>
    <s v="123 10th Street"/>
    <x v="7"/>
    <s v="IL"/>
    <n v="99999"/>
    <s v="USA"/>
    <m/>
    <x v="6"/>
    <x v="2"/>
    <n v="9.1999999999999993"/>
    <n v="44"/>
    <x v="18"/>
    <n v="42.099199999999996"/>
  </r>
  <r>
    <n v="1020"/>
    <x v="10"/>
    <n v="11"/>
    <x v="10"/>
    <s v="123 11th Street"/>
    <x v="9"/>
    <x v="9"/>
    <n v="99999"/>
    <s v="USA"/>
    <x v="5"/>
    <x v="3"/>
    <m/>
    <s v="Shipping Company C"/>
    <s v="Peter Krschne"/>
    <s v="123 11th Street"/>
    <x v="9"/>
    <s v="FL"/>
    <n v="99999"/>
    <s v="USA"/>
    <m/>
    <x v="1"/>
    <x v="1"/>
    <n v="3.5"/>
    <n v="81"/>
    <x v="19"/>
    <n v="27.499500000000001"/>
  </r>
  <r>
    <n v="1021"/>
    <x v="10"/>
    <n v="11"/>
    <x v="10"/>
    <s v="123 11th Street"/>
    <x v="9"/>
    <x v="9"/>
    <n v="99999"/>
    <s v="USA"/>
    <x v="5"/>
    <x v="3"/>
    <m/>
    <s v="Shipping Company C"/>
    <s v="Peter Krschne"/>
    <s v="123 11th Street"/>
    <x v="9"/>
    <s v="FL"/>
    <n v="99999"/>
    <s v="USA"/>
    <m/>
    <x v="10"/>
    <x v="0"/>
    <n v="2.99"/>
    <n v="49"/>
    <x v="20"/>
    <n v="15.090530000000005"/>
  </r>
  <r>
    <n v="1022"/>
    <x v="11"/>
    <n v="1"/>
    <x v="11"/>
    <s v="123 1st Street"/>
    <x v="10"/>
    <x v="10"/>
    <n v="99999"/>
    <s v="USA"/>
    <x v="2"/>
    <x v="2"/>
    <m/>
    <m/>
    <s v="Anna Bedecs"/>
    <s v="123 1st Street"/>
    <x v="10"/>
    <s v="WA"/>
    <n v="99999"/>
    <s v="USA"/>
    <m/>
    <x v="4"/>
    <x v="0"/>
    <n v="18"/>
    <n v="42"/>
    <x v="21"/>
    <n v="75.600000000000009"/>
  </r>
  <r>
    <n v="1023"/>
    <x v="11"/>
    <n v="1"/>
    <x v="11"/>
    <s v="123 1st Street"/>
    <x v="10"/>
    <x v="10"/>
    <n v="99999"/>
    <s v="USA"/>
    <x v="2"/>
    <x v="2"/>
    <m/>
    <m/>
    <s v="Anna Bedecs"/>
    <s v="123 1st Street"/>
    <x v="10"/>
    <s v="WA"/>
    <n v="99999"/>
    <s v="USA"/>
    <m/>
    <x v="5"/>
    <x v="0"/>
    <n v="46"/>
    <n v="58"/>
    <x v="22"/>
    <n v="269.46800000000002"/>
  </r>
  <r>
    <n v="1024"/>
    <x v="11"/>
    <n v="1"/>
    <x v="11"/>
    <s v="123 1st Street"/>
    <x v="10"/>
    <x v="10"/>
    <n v="99999"/>
    <s v="USA"/>
    <x v="2"/>
    <x v="2"/>
    <m/>
    <m/>
    <s v="Anna Bedecs"/>
    <s v="123 1st Street"/>
    <x v="10"/>
    <s v="WA"/>
    <n v="99999"/>
    <s v="USA"/>
    <m/>
    <x v="10"/>
    <x v="0"/>
    <n v="2.99"/>
    <n v="67"/>
    <x v="23"/>
    <n v="20.033000000000001"/>
  </r>
  <r>
    <n v="1025"/>
    <x v="7"/>
    <n v="28"/>
    <x v="7"/>
    <s v="789 28th Street"/>
    <x v="6"/>
    <x v="6"/>
    <n v="99999"/>
    <s v="USA"/>
    <x v="5"/>
    <x v="3"/>
    <d v="2014-01-30T00:00:00"/>
    <s v="Shipping Company C"/>
    <s v="Amritansh Raghav"/>
    <s v="789 28th Street"/>
    <x v="6"/>
    <s v="TN"/>
    <n v="99999"/>
    <s v="USA"/>
    <s v="Credit Card"/>
    <x v="8"/>
    <x v="4"/>
    <n v="9.65"/>
    <n v="100"/>
    <x v="24"/>
    <n v="93.605000000000004"/>
  </r>
  <r>
    <n v="1026"/>
    <x v="7"/>
    <n v="28"/>
    <x v="7"/>
    <s v="789 28th Street"/>
    <x v="6"/>
    <x v="6"/>
    <n v="99999"/>
    <s v="USA"/>
    <x v="5"/>
    <x v="3"/>
    <d v="2014-01-30T00:00:00"/>
    <s v="Shipping Company C"/>
    <s v="Amritansh Raghav"/>
    <s v="789 28th Street"/>
    <x v="6"/>
    <s v="TN"/>
    <n v="99999"/>
    <s v="USA"/>
    <s v="Credit Card"/>
    <x v="13"/>
    <x v="8"/>
    <n v="18.399999999999999"/>
    <n v="63"/>
    <x v="25"/>
    <n v="114.76079999999999"/>
  </r>
  <r>
    <n v="1027"/>
    <x v="12"/>
    <n v="9"/>
    <x v="12"/>
    <s v="123 9th Street"/>
    <x v="11"/>
    <x v="11"/>
    <n v="99999"/>
    <s v="USA"/>
    <x v="7"/>
    <x v="0"/>
    <d v="2014-01-11T00:00:00"/>
    <s v="Shipping Company A"/>
    <s v="Sven Mortensen"/>
    <s v="123 9th Street"/>
    <x v="11"/>
    <s v="UT"/>
    <n v="99999"/>
    <s v="USA"/>
    <s v="Check"/>
    <x v="14"/>
    <x v="9"/>
    <n v="19.5"/>
    <n v="57"/>
    <x v="26"/>
    <n v="110.0385"/>
  </r>
  <r>
    <n v="1028"/>
    <x v="12"/>
    <n v="9"/>
    <x v="12"/>
    <s v="123 9th Street"/>
    <x v="11"/>
    <x v="11"/>
    <n v="99999"/>
    <s v="USA"/>
    <x v="7"/>
    <x v="0"/>
    <d v="2014-01-11T00:00:00"/>
    <s v="Shipping Company A"/>
    <s v="Sven Mortensen"/>
    <s v="123 9th Street"/>
    <x v="11"/>
    <s v="UT"/>
    <n v="99999"/>
    <s v="USA"/>
    <s v="Check"/>
    <x v="15"/>
    <x v="10"/>
    <n v="34.799999999999997"/>
    <n v="81"/>
    <x v="27"/>
    <n v="295.97399999999999"/>
  </r>
  <r>
    <n v="1029"/>
    <x v="6"/>
    <n v="6"/>
    <x v="6"/>
    <s v="123 6th Street"/>
    <x v="5"/>
    <x v="5"/>
    <n v="99999"/>
    <s v="USA"/>
    <x v="4"/>
    <x v="2"/>
    <d v="2014-01-08T00:00:00"/>
    <s v="Shipping Company B"/>
    <s v="Francisco Pérez-Olaeta"/>
    <s v="123 6th Street"/>
    <x v="5"/>
    <s v="WI"/>
    <n v="99999"/>
    <s v="USA"/>
    <s v="Credit Card"/>
    <x v="0"/>
    <x v="0"/>
    <n v="14"/>
    <n v="71"/>
    <x v="28"/>
    <n v="95.424000000000007"/>
  </r>
  <r>
    <n v="1030"/>
    <x v="13"/>
    <n v="8"/>
    <x v="3"/>
    <s v="123 8th Street"/>
    <x v="2"/>
    <x v="2"/>
    <n v="99999"/>
    <s v="USA"/>
    <x v="2"/>
    <x v="2"/>
    <d v="2014-02-10T00:00:00"/>
    <s v="Shipping Company B"/>
    <s v="Elizabeth Andersen"/>
    <s v="123 8th Street"/>
    <x v="2"/>
    <s v="OR"/>
    <n v="99999"/>
    <s v="USA"/>
    <s v="Check"/>
    <x v="9"/>
    <x v="5"/>
    <n v="40"/>
    <n v="32"/>
    <x v="11"/>
    <n v="129.28"/>
  </r>
  <r>
    <n v="1031"/>
    <x v="14"/>
    <n v="3"/>
    <x v="5"/>
    <s v="123 3rd Street"/>
    <x v="4"/>
    <x v="4"/>
    <n v="99999"/>
    <s v="USA"/>
    <x v="0"/>
    <x v="0"/>
    <d v="2014-02-05T00:00:00"/>
    <s v="Shipping Company B"/>
    <s v="Thomas Axerr"/>
    <s v="123 3rd Street"/>
    <x v="4"/>
    <s v="CA"/>
    <n v="99999"/>
    <s v="USA"/>
    <s v="Cash"/>
    <x v="16"/>
    <x v="7"/>
    <n v="10"/>
    <n v="63"/>
    <x v="29"/>
    <n v="65.52"/>
  </r>
  <r>
    <n v="1032"/>
    <x v="14"/>
    <n v="3"/>
    <x v="5"/>
    <s v="123 3rd Street"/>
    <x v="4"/>
    <x v="4"/>
    <n v="99999"/>
    <s v="USA"/>
    <x v="0"/>
    <x v="0"/>
    <d v="2014-02-05T00:00:00"/>
    <s v="Shipping Company B"/>
    <s v="Thomas Axerr"/>
    <s v="123 3rd Street"/>
    <x v="4"/>
    <s v="CA"/>
    <n v="99999"/>
    <s v="USA"/>
    <s v="Cash"/>
    <x v="9"/>
    <x v="5"/>
    <n v="40"/>
    <n v="30"/>
    <x v="30"/>
    <n v="120"/>
  </r>
  <r>
    <n v="1033"/>
    <x v="15"/>
    <n v="6"/>
    <x v="6"/>
    <s v="123 6th Street"/>
    <x v="5"/>
    <x v="5"/>
    <n v="99999"/>
    <s v="USA"/>
    <x v="4"/>
    <x v="2"/>
    <d v="2014-02-08T00:00:00"/>
    <s v="Shipping Company B"/>
    <s v="Francisco Pérez-Olaeta"/>
    <s v="123 6th Street"/>
    <x v="5"/>
    <s v="WI"/>
    <n v="99999"/>
    <s v="USA"/>
    <s v="Credit Card"/>
    <x v="17"/>
    <x v="11"/>
    <m/>
    <m/>
    <x v="31"/>
    <n v="43"/>
  </r>
  <r>
    <n v="1034"/>
    <x v="16"/>
    <n v="28"/>
    <x v="7"/>
    <s v="789 28th Street"/>
    <x v="6"/>
    <x v="6"/>
    <n v="99999"/>
    <s v="USA"/>
    <x v="5"/>
    <x v="3"/>
    <d v="2014-03-02T00:00:00"/>
    <s v="Shipping Company C"/>
    <s v="Amritansh Raghav"/>
    <s v="789 28th Street"/>
    <x v="6"/>
    <s v="TN"/>
    <n v="99999"/>
    <s v="USA"/>
    <s v="Check"/>
    <x v="17"/>
    <x v="11"/>
    <m/>
    <m/>
    <x v="31"/>
    <n v="31"/>
  </r>
  <r>
    <n v="1035"/>
    <x v="13"/>
    <n v="8"/>
    <x v="3"/>
    <s v="123 8th Street"/>
    <x v="2"/>
    <x v="2"/>
    <n v="99999"/>
    <s v="USA"/>
    <x v="2"/>
    <x v="2"/>
    <d v="2014-02-10T00:00:00"/>
    <s v="Shipping Company C"/>
    <s v="Elizabeth Andersen"/>
    <s v="123 8th Street"/>
    <x v="2"/>
    <s v="OR"/>
    <n v="99999"/>
    <s v="USA"/>
    <s v="Check"/>
    <x v="17"/>
    <x v="11"/>
    <m/>
    <m/>
    <x v="31"/>
    <n v="46"/>
  </r>
  <r>
    <n v="1036"/>
    <x v="17"/>
    <n v="10"/>
    <x v="8"/>
    <s v="123 10th Street"/>
    <x v="7"/>
    <x v="7"/>
    <n v="99999"/>
    <s v="USA"/>
    <x v="6"/>
    <x v="1"/>
    <d v="2014-02-12T00:00:00"/>
    <s v="Shipping Company B"/>
    <s v="Roland Wacker"/>
    <s v="123 10th Street"/>
    <x v="7"/>
    <s v="IL"/>
    <n v="99999"/>
    <s v="USA"/>
    <s v="Credit Card"/>
    <x v="18"/>
    <x v="1"/>
    <n v="10"/>
    <n v="47"/>
    <x v="32"/>
    <n v="48.88"/>
  </r>
  <r>
    <n v="1038"/>
    <x v="17"/>
    <n v="10"/>
    <x v="8"/>
    <s v="123 10th Street"/>
    <x v="7"/>
    <x v="7"/>
    <n v="99999"/>
    <s v="USA"/>
    <x v="6"/>
    <x v="1"/>
    <m/>
    <s v="Shipping Company A"/>
    <s v="Roland Wacker"/>
    <s v="123 10th Street"/>
    <x v="7"/>
    <s v="IL"/>
    <n v="99999"/>
    <s v="USA"/>
    <m/>
    <x v="1"/>
    <x v="1"/>
    <n v="3.5"/>
    <n v="49"/>
    <x v="33"/>
    <n v="16.464000000000002"/>
  </r>
  <r>
    <n v="1039"/>
    <x v="18"/>
    <n v="11"/>
    <x v="10"/>
    <s v="123 11th Street"/>
    <x v="9"/>
    <x v="9"/>
    <n v="99999"/>
    <s v="USA"/>
    <x v="5"/>
    <x v="3"/>
    <m/>
    <s v="Shipping Company C"/>
    <s v="Peter Krschne"/>
    <s v="123 11th Street"/>
    <x v="9"/>
    <s v="FL"/>
    <n v="99999"/>
    <s v="USA"/>
    <m/>
    <x v="9"/>
    <x v="5"/>
    <n v="40"/>
    <n v="72"/>
    <x v="34"/>
    <n v="285.12"/>
  </r>
  <r>
    <n v="1040"/>
    <x v="19"/>
    <n v="1"/>
    <x v="11"/>
    <s v="123 1st Street"/>
    <x v="10"/>
    <x v="10"/>
    <n v="99999"/>
    <s v="USA"/>
    <x v="2"/>
    <x v="2"/>
    <m/>
    <s v="Shipping Company C"/>
    <s v="Anna Bedecs"/>
    <s v="123 1st Street"/>
    <x v="10"/>
    <s v="WA"/>
    <n v="99999"/>
    <s v="USA"/>
    <m/>
    <x v="13"/>
    <x v="8"/>
    <n v="18.399999999999999"/>
    <n v="13"/>
    <x v="35"/>
    <n v="23.680800000000001"/>
  </r>
  <r>
    <n v="1041"/>
    <x v="16"/>
    <n v="28"/>
    <x v="7"/>
    <s v="789 28th Street"/>
    <x v="6"/>
    <x v="6"/>
    <n v="99999"/>
    <s v="USA"/>
    <x v="5"/>
    <x v="3"/>
    <n v="41700"/>
    <s v="Shipping Company C"/>
    <s v="Amritansh Raghav"/>
    <s v="789 28th Street"/>
    <x v="6"/>
    <s v="TN"/>
    <n v="99999"/>
    <s v="USA"/>
    <s v="Credit Card"/>
    <x v="5"/>
    <x v="0"/>
    <n v="46"/>
    <n v="32"/>
    <x v="36"/>
    <n v="148.67200000000003"/>
  </r>
  <r>
    <n v="1042"/>
    <x v="20"/>
    <n v="9"/>
    <x v="12"/>
    <s v="123 9th Street"/>
    <x v="11"/>
    <x v="11"/>
    <n v="99999"/>
    <s v="USA"/>
    <x v="7"/>
    <x v="0"/>
    <d v="2014-02-11T00:00:00"/>
    <s v="Shipping Company A"/>
    <s v="Sven Mortensen"/>
    <s v="123 9th Street"/>
    <x v="11"/>
    <s v="UT"/>
    <n v="99999"/>
    <s v="USA"/>
    <s v="Check"/>
    <x v="8"/>
    <x v="4"/>
    <n v="9.65"/>
    <n v="27"/>
    <x v="37"/>
    <n v="24.752250000000004"/>
  </r>
  <r>
    <n v="1043"/>
    <x v="15"/>
    <n v="6"/>
    <x v="6"/>
    <s v="123 6th Street"/>
    <x v="5"/>
    <x v="5"/>
    <n v="99999"/>
    <s v="USA"/>
    <x v="4"/>
    <x v="2"/>
    <d v="2014-02-08T00:00:00"/>
    <s v="Shipping Company B"/>
    <s v="Francisco Pérez-Olaeta"/>
    <s v="123 6th Street"/>
    <x v="5"/>
    <s v="WI"/>
    <n v="99999"/>
    <s v="USA"/>
    <s v="Credit Card"/>
    <x v="7"/>
    <x v="3"/>
    <n v="12.75"/>
    <n v="71"/>
    <x v="38"/>
    <n v="91.430250000000001"/>
  </r>
  <r>
    <n v="1044"/>
    <x v="13"/>
    <n v="8"/>
    <x v="3"/>
    <s v="123 8th Street"/>
    <x v="2"/>
    <x v="2"/>
    <n v="99999"/>
    <s v="USA"/>
    <x v="2"/>
    <x v="2"/>
    <d v="2014-02-10T00:00:00"/>
    <s v="Shipping Company B"/>
    <s v="Elizabeth Andersen"/>
    <s v="123 8th Street"/>
    <x v="2"/>
    <s v="OR"/>
    <n v="99999"/>
    <s v="USA"/>
    <s v="Check"/>
    <x v="7"/>
    <x v="3"/>
    <n v="12.75"/>
    <n v="13"/>
    <x v="39"/>
    <n v="15.746249999999998"/>
  </r>
  <r>
    <n v="1045"/>
    <x v="21"/>
    <n v="25"/>
    <x v="13"/>
    <s v="789 25th Street"/>
    <x v="7"/>
    <x v="7"/>
    <n v="99999"/>
    <s v="USA"/>
    <x v="6"/>
    <x v="1"/>
    <d v="2014-02-27T00:00:00"/>
    <s v="Shipping Company A"/>
    <s v="John Rodman"/>
    <s v="789 25th Street"/>
    <x v="7"/>
    <s v="IL"/>
    <n v="99999"/>
    <s v="USA"/>
    <s v="Cash"/>
    <x v="12"/>
    <x v="7"/>
    <n v="22"/>
    <n v="98"/>
    <x v="40"/>
    <n v="204.82000000000002"/>
  </r>
  <r>
    <n v="1046"/>
    <x v="22"/>
    <n v="26"/>
    <x v="14"/>
    <s v="789 26th Street"/>
    <x v="9"/>
    <x v="9"/>
    <n v="99999"/>
    <s v="USA"/>
    <x v="5"/>
    <x v="3"/>
    <d v="2014-02-28T00:00:00"/>
    <s v="Shipping Company C"/>
    <s v="Run Liu"/>
    <s v="789 26th Street"/>
    <x v="9"/>
    <s v="FL"/>
    <n v="99999"/>
    <s v="USA"/>
    <s v="Credit Card"/>
    <x v="11"/>
    <x v="6"/>
    <n v="25"/>
    <n v="21"/>
    <x v="41"/>
    <n v="53.550000000000004"/>
  </r>
  <r>
    <n v="1047"/>
    <x v="23"/>
    <n v="29"/>
    <x v="4"/>
    <s v="789 29th Street"/>
    <x v="3"/>
    <x v="3"/>
    <n v="99999"/>
    <s v="USA"/>
    <x v="3"/>
    <x v="0"/>
    <d v="2014-03-03T00:00:00"/>
    <s v="Shipping Company B"/>
    <s v="Soo Jung Lee"/>
    <s v="789 29th Street"/>
    <x v="3"/>
    <s v="CO"/>
    <n v="99999"/>
    <s v="USA"/>
    <s v="Check"/>
    <x v="19"/>
    <x v="12"/>
    <n v="39"/>
    <n v="26"/>
    <x v="42"/>
    <n v="106.47000000000001"/>
  </r>
  <r>
    <n v="1048"/>
    <x v="15"/>
    <n v="6"/>
    <x v="6"/>
    <s v="123 6th Street"/>
    <x v="5"/>
    <x v="5"/>
    <n v="99999"/>
    <s v="USA"/>
    <x v="4"/>
    <x v="2"/>
    <d v="2014-02-08T00:00:00"/>
    <s v="Shipping Company C"/>
    <s v="Francisco Pérez-Olaeta"/>
    <s v="123 6th Street"/>
    <x v="5"/>
    <s v="WI"/>
    <n v="99999"/>
    <s v="USA"/>
    <s v="Check"/>
    <x v="2"/>
    <x v="1"/>
    <n v="30"/>
    <n v="96"/>
    <x v="34"/>
    <n v="296.64"/>
  </r>
  <r>
    <n v="1049"/>
    <x v="15"/>
    <n v="6"/>
    <x v="6"/>
    <s v="123 6th Street"/>
    <x v="5"/>
    <x v="5"/>
    <n v="99999"/>
    <s v="USA"/>
    <x v="4"/>
    <x v="2"/>
    <d v="2014-02-08T00:00:00"/>
    <s v="Shipping Company C"/>
    <s v="Francisco Pérez-Olaeta"/>
    <s v="123 6th Street"/>
    <x v="5"/>
    <s v="WI"/>
    <n v="99999"/>
    <s v="USA"/>
    <s v="Check"/>
    <x v="3"/>
    <x v="1"/>
    <n v="53"/>
    <n v="16"/>
    <x v="43"/>
    <n v="88.192000000000021"/>
  </r>
  <r>
    <n v="1050"/>
    <x v="24"/>
    <n v="4"/>
    <x v="1"/>
    <s v="123 4th Street"/>
    <x v="1"/>
    <x v="1"/>
    <n v="99999"/>
    <s v="USA"/>
    <x v="1"/>
    <x v="1"/>
    <m/>
    <m/>
    <s v="Christina Lee"/>
    <s v="123 4th Street"/>
    <x v="1"/>
    <s v="NY"/>
    <n v="99999"/>
    <s v="USA"/>
    <m/>
    <x v="20"/>
    <x v="9"/>
    <n v="38"/>
    <n v="96"/>
    <x v="44"/>
    <n v="346.56"/>
  </r>
  <r>
    <n v="1051"/>
    <x v="14"/>
    <n v="3"/>
    <x v="5"/>
    <s v="123 3rd Street"/>
    <x v="4"/>
    <x v="4"/>
    <n v="99999"/>
    <s v="USA"/>
    <x v="0"/>
    <x v="0"/>
    <m/>
    <m/>
    <s v="Thomas Axerr"/>
    <s v="123 3rd Street"/>
    <x v="4"/>
    <s v="CA"/>
    <n v="99999"/>
    <s v="USA"/>
    <m/>
    <x v="10"/>
    <x v="0"/>
    <n v="2.99"/>
    <n v="75"/>
    <x v="45"/>
    <n v="23.097750000000005"/>
  </r>
  <r>
    <n v="1052"/>
    <x v="25"/>
    <n v="9"/>
    <x v="12"/>
    <s v="123 9th Street"/>
    <x v="11"/>
    <x v="11"/>
    <n v="99999"/>
    <s v="USA"/>
    <x v="7"/>
    <x v="0"/>
    <n v="41709"/>
    <s v="Shipping Company A"/>
    <s v="Sven Mortensen"/>
    <s v="123 9th Street"/>
    <x v="11"/>
    <s v="UT"/>
    <n v="99999"/>
    <s v="USA"/>
    <s v="Check"/>
    <x v="14"/>
    <x v="9"/>
    <n v="19.5"/>
    <n v="55"/>
    <x v="46"/>
    <n v="108.32250000000001"/>
  </r>
  <r>
    <n v="1053"/>
    <x v="25"/>
    <n v="9"/>
    <x v="12"/>
    <s v="123 9th Street"/>
    <x v="11"/>
    <x v="11"/>
    <n v="99999"/>
    <s v="USA"/>
    <x v="7"/>
    <x v="0"/>
    <d v="2014-03-11T00:00:00"/>
    <s v="Shipping Company A"/>
    <s v="Sven Mortensen"/>
    <s v="123 9th Street"/>
    <x v="11"/>
    <s v="UT"/>
    <n v="99999"/>
    <s v="USA"/>
    <s v="Check"/>
    <x v="15"/>
    <x v="10"/>
    <n v="34.799999999999997"/>
    <n v="11"/>
    <x v="47"/>
    <n v="36.748799999999996"/>
  </r>
  <r>
    <n v="1054"/>
    <x v="26"/>
    <n v="6"/>
    <x v="6"/>
    <s v="123 6th Street"/>
    <x v="5"/>
    <x v="5"/>
    <n v="99999"/>
    <s v="USA"/>
    <x v="4"/>
    <x v="2"/>
    <d v="2014-03-08T00:00:00"/>
    <s v="Shipping Company B"/>
    <s v="Francisco Pérez-Olaeta"/>
    <s v="123 6th Street"/>
    <x v="5"/>
    <s v="WI"/>
    <n v="99999"/>
    <s v="USA"/>
    <s v="Credit Card"/>
    <x v="0"/>
    <x v="0"/>
    <n v="14"/>
    <n v="53"/>
    <x v="48"/>
    <n v="71.974000000000004"/>
  </r>
  <r>
    <n v="1055"/>
    <x v="27"/>
    <n v="8"/>
    <x v="3"/>
    <s v="123 8th Street"/>
    <x v="2"/>
    <x v="2"/>
    <n v="99999"/>
    <s v="USA"/>
    <x v="2"/>
    <x v="2"/>
    <d v="2014-03-10T00:00:00"/>
    <s v="Shipping Company B"/>
    <s v="Elizabeth Andersen"/>
    <s v="123 8th Street"/>
    <x v="2"/>
    <s v="OR"/>
    <n v="99999"/>
    <s v="USA"/>
    <s v="Check"/>
    <x v="9"/>
    <x v="5"/>
    <n v="40"/>
    <n v="85"/>
    <x v="49"/>
    <n v="357"/>
  </r>
  <r>
    <n v="1056"/>
    <x v="27"/>
    <n v="8"/>
    <x v="3"/>
    <s v="123 8th Street"/>
    <x v="2"/>
    <x v="2"/>
    <n v="99999"/>
    <s v="USA"/>
    <x v="2"/>
    <x v="2"/>
    <d v="2014-03-10T00:00:00"/>
    <s v="Shipping Company B"/>
    <s v="Elizabeth Andersen"/>
    <s v="123 8th Street"/>
    <x v="2"/>
    <s v="OR"/>
    <n v="99999"/>
    <s v="USA"/>
    <s v="Check"/>
    <x v="6"/>
    <x v="2"/>
    <n v="9.1999999999999993"/>
    <n v="97"/>
    <x v="50"/>
    <n v="91.024800000000013"/>
  </r>
  <r>
    <n v="1057"/>
    <x v="28"/>
    <n v="25"/>
    <x v="13"/>
    <s v="789 25th Street"/>
    <x v="7"/>
    <x v="7"/>
    <n v="99999"/>
    <s v="USA"/>
    <x v="6"/>
    <x v="1"/>
    <d v="2014-03-27T00:00:00"/>
    <s v="Shipping Company A"/>
    <s v="John Rodman"/>
    <s v="789 25th Street"/>
    <x v="7"/>
    <s v="IL"/>
    <n v="99999"/>
    <s v="USA"/>
    <s v="Cash"/>
    <x v="21"/>
    <x v="2"/>
    <n v="10"/>
    <n v="46"/>
    <x v="51"/>
    <n v="46.46"/>
  </r>
  <r>
    <n v="1058"/>
    <x v="29"/>
    <n v="26"/>
    <x v="14"/>
    <s v="789 26th Street"/>
    <x v="9"/>
    <x v="9"/>
    <n v="99999"/>
    <s v="USA"/>
    <x v="5"/>
    <x v="3"/>
    <d v="2014-03-28T00:00:00"/>
    <s v="Shipping Company C"/>
    <s v="Run Liu"/>
    <s v="789 26th Street"/>
    <x v="9"/>
    <s v="FL"/>
    <n v="99999"/>
    <s v="USA"/>
    <s v="Credit Card"/>
    <x v="22"/>
    <x v="13"/>
    <n v="21.35"/>
    <n v="97"/>
    <x v="52"/>
    <n v="196.74025"/>
  </r>
  <r>
    <n v="1059"/>
    <x v="29"/>
    <n v="26"/>
    <x v="14"/>
    <s v="789 26th Street"/>
    <x v="9"/>
    <x v="9"/>
    <n v="99999"/>
    <s v="USA"/>
    <x v="5"/>
    <x v="3"/>
    <d v="2014-03-28T00:00:00"/>
    <s v="Shipping Company C"/>
    <s v="Run Liu"/>
    <s v="789 26th Street"/>
    <x v="9"/>
    <s v="FL"/>
    <n v="99999"/>
    <s v="USA"/>
    <s v="Credit Card"/>
    <x v="8"/>
    <x v="4"/>
    <n v="9.65"/>
    <n v="97"/>
    <x v="53"/>
    <n v="95.477100000000021"/>
  </r>
  <r>
    <n v="1060"/>
    <x v="29"/>
    <n v="26"/>
    <x v="14"/>
    <s v="789 26th Street"/>
    <x v="9"/>
    <x v="9"/>
    <n v="99999"/>
    <s v="USA"/>
    <x v="5"/>
    <x v="3"/>
    <d v="2014-03-28T00:00:00"/>
    <s v="Shipping Company C"/>
    <s v="Run Liu"/>
    <s v="789 26th Street"/>
    <x v="9"/>
    <s v="FL"/>
    <n v="99999"/>
    <s v="USA"/>
    <s v="Credit Card"/>
    <x v="13"/>
    <x v="8"/>
    <n v="18.399999999999999"/>
    <n v="65"/>
    <x v="54"/>
    <n v="123.18800000000002"/>
  </r>
  <r>
    <n v="1061"/>
    <x v="30"/>
    <n v="29"/>
    <x v="4"/>
    <s v="789 29th Street"/>
    <x v="3"/>
    <x v="3"/>
    <n v="99999"/>
    <s v="USA"/>
    <x v="3"/>
    <x v="0"/>
    <d v="2014-03-31T00:00:00"/>
    <s v="Shipping Company B"/>
    <s v="Soo Jung Lee"/>
    <s v="789 29th Street"/>
    <x v="3"/>
    <s v="CO"/>
    <n v="99999"/>
    <s v="USA"/>
    <s v="Check"/>
    <x v="0"/>
    <x v="0"/>
    <n v="14"/>
    <n v="72"/>
    <x v="55"/>
    <n v="100.80000000000001"/>
  </r>
  <r>
    <n v="1062"/>
    <x v="26"/>
    <n v="6"/>
    <x v="6"/>
    <s v="123 6th Street"/>
    <x v="5"/>
    <x v="5"/>
    <n v="99999"/>
    <s v="USA"/>
    <x v="4"/>
    <x v="2"/>
    <d v="2014-03-08T00:00:00"/>
    <s v="Shipping Company C"/>
    <s v="Francisco Pérez-Olaeta"/>
    <s v="123 6th Street"/>
    <x v="5"/>
    <s v="WI"/>
    <n v="99999"/>
    <s v="USA"/>
    <s v="Check"/>
    <x v="7"/>
    <x v="3"/>
    <n v="12.75"/>
    <n v="16"/>
    <x v="56"/>
    <n v="20.196000000000002"/>
  </r>
  <r>
    <n v="1064"/>
    <x v="31"/>
    <n v="4"/>
    <x v="1"/>
    <s v="123 4th Street"/>
    <x v="1"/>
    <x v="1"/>
    <n v="99999"/>
    <s v="USA"/>
    <x v="1"/>
    <x v="1"/>
    <d v="2014-03-06T00:00:00"/>
    <s v="Shipping Company A"/>
    <s v="Christina Lee"/>
    <s v="123 4th Street"/>
    <x v="1"/>
    <s v="NY"/>
    <n v="99999"/>
    <s v="USA"/>
    <s v="Credit Card"/>
    <x v="23"/>
    <x v="6"/>
    <n v="81"/>
    <n v="77"/>
    <x v="57"/>
    <n v="642.41100000000006"/>
  </r>
  <r>
    <n v="1065"/>
    <x v="31"/>
    <n v="4"/>
    <x v="1"/>
    <s v="123 4th Street"/>
    <x v="1"/>
    <x v="1"/>
    <n v="99999"/>
    <s v="USA"/>
    <x v="1"/>
    <x v="1"/>
    <d v="2014-03-06T00:00:00"/>
    <s v="Shipping Company A"/>
    <s v="Christina Lee"/>
    <s v="123 4th Street"/>
    <x v="1"/>
    <s v="NY"/>
    <n v="99999"/>
    <s v="USA"/>
    <s v="Credit Card"/>
    <x v="24"/>
    <x v="14"/>
    <n v="7"/>
    <n v="37"/>
    <x v="58"/>
    <n v="24.605"/>
  </r>
  <r>
    <n v="1067"/>
    <x v="27"/>
    <n v="8"/>
    <x v="3"/>
    <s v="123 8th Street"/>
    <x v="2"/>
    <x v="2"/>
    <n v="99999"/>
    <s v="USA"/>
    <x v="2"/>
    <x v="2"/>
    <d v="2014-03-10T00:00:00"/>
    <s v="Shipping Company C"/>
    <s v="Elizabeth Andersen"/>
    <s v="123 8th Street"/>
    <x v="2"/>
    <s v="OR"/>
    <n v="99999"/>
    <s v="USA"/>
    <s v="Credit Card"/>
    <x v="15"/>
    <x v="10"/>
    <n v="34.799999999999997"/>
    <n v="63"/>
    <x v="59"/>
    <n v="217.04759999999999"/>
  </r>
  <r>
    <n v="1070"/>
    <x v="32"/>
    <n v="3"/>
    <x v="5"/>
    <s v="123 3rd Street"/>
    <x v="4"/>
    <x v="4"/>
    <n v="99999"/>
    <s v="USA"/>
    <x v="0"/>
    <x v="0"/>
    <d v="2014-03-05T00:00:00"/>
    <s v="Shipping Company B"/>
    <s v="Thomas Axerr"/>
    <s v="123 3rd Street"/>
    <x v="4"/>
    <s v="CA"/>
    <n v="99999"/>
    <s v="USA"/>
    <s v="Cash"/>
    <x v="16"/>
    <x v="7"/>
    <n v="10"/>
    <n v="48"/>
    <x v="60"/>
    <n v="48"/>
  </r>
  <r>
    <n v="1071"/>
    <x v="32"/>
    <n v="3"/>
    <x v="5"/>
    <s v="123 3rd Street"/>
    <x v="4"/>
    <x v="4"/>
    <n v="99999"/>
    <s v="USA"/>
    <x v="0"/>
    <x v="0"/>
    <d v="2014-03-05T00:00:00"/>
    <s v="Shipping Company B"/>
    <s v="Thomas Axerr"/>
    <s v="123 3rd Street"/>
    <x v="4"/>
    <s v="CA"/>
    <n v="99999"/>
    <s v="USA"/>
    <s v="Cash"/>
    <x v="9"/>
    <x v="5"/>
    <n v="40"/>
    <n v="71"/>
    <x v="61"/>
    <n v="295.36"/>
  </r>
  <r>
    <n v="1075"/>
    <x v="33"/>
    <n v="10"/>
    <x v="8"/>
    <s v="123 10th Street"/>
    <x v="7"/>
    <x v="7"/>
    <n v="99999"/>
    <s v="USA"/>
    <x v="6"/>
    <x v="1"/>
    <d v="2014-03-12T00:00:00"/>
    <s v="Shipping Company B"/>
    <s v="Roland Wacker"/>
    <s v="123 10th Street"/>
    <x v="7"/>
    <s v="IL"/>
    <n v="99999"/>
    <s v="USA"/>
    <s v="Credit Card"/>
    <x v="18"/>
    <x v="1"/>
    <n v="10"/>
    <n v="55"/>
    <x v="62"/>
    <n v="55"/>
  </r>
  <r>
    <n v="1077"/>
    <x v="33"/>
    <n v="10"/>
    <x v="8"/>
    <s v="123 10th Street"/>
    <x v="7"/>
    <x v="7"/>
    <n v="99999"/>
    <s v="USA"/>
    <x v="6"/>
    <x v="1"/>
    <m/>
    <s v="Shipping Company A"/>
    <s v="Roland Wacker"/>
    <s v="123 10th Street"/>
    <x v="7"/>
    <s v="IL"/>
    <n v="99999"/>
    <s v="USA"/>
    <m/>
    <x v="1"/>
    <x v="1"/>
    <n v="3.5"/>
    <n v="21"/>
    <x v="63"/>
    <n v="7.3500000000000005"/>
  </r>
  <r>
    <n v="1078"/>
    <x v="34"/>
    <n v="11"/>
    <x v="10"/>
    <s v="123 11th Street"/>
    <x v="9"/>
    <x v="9"/>
    <n v="99999"/>
    <s v="USA"/>
    <x v="5"/>
    <x v="3"/>
    <m/>
    <s v="Shipping Company C"/>
    <s v="Peter Krschne"/>
    <s v="123 11th Street"/>
    <x v="9"/>
    <s v="FL"/>
    <n v="99999"/>
    <s v="USA"/>
    <m/>
    <x v="9"/>
    <x v="5"/>
    <n v="40"/>
    <n v="67"/>
    <x v="64"/>
    <n v="270.68"/>
  </r>
  <r>
    <n v="1079"/>
    <x v="23"/>
    <n v="1"/>
    <x v="11"/>
    <s v="123 1st Street"/>
    <x v="10"/>
    <x v="10"/>
    <n v="99999"/>
    <s v="USA"/>
    <x v="2"/>
    <x v="2"/>
    <m/>
    <s v="Shipping Company C"/>
    <s v="Anna Bedecs"/>
    <s v="123 1st Street"/>
    <x v="10"/>
    <s v="WA"/>
    <n v="99999"/>
    <s v="USA"/>
    <m/>
    <x v="13"/>
    <x v="8"/>
    <n v="18.399999999999999"/>
    <n v="75"/>
    <x v="65"/>
    <n v="138"/>
  </r>
  <r>
    <n v="1080"/>
    <x v="35"/>
    <n v="28"/>
    <x v="7"/>
    <s v="789 28th Street"/>
    <x v="6"/>
    <x v="6"/>
    <n v="99999"/>
    <s v="USA"/>
    <x v="5"/>
    <x v="3"/>
    <d v="2014-03-30T00:00:00"/>
    <s v="Shipping Company C"/>
    <s v="Amritansh Raghav"/>
    <s v="789 28th Street"/>
    <x v="6"/>
    <s v="TN"/>
    <n v="99999"/>
    <s v="USA"/>
    <s v="Credit Card"/>
    <x v="5"/>
    <x v="0"/>
    <n v="46"/>
    <n v="17"/>
    <x v="66"/>
    <n v="80.546000000000006"/>
  </r>
  <r>
    <n v="1081"/>
    <x v="36"/>
    <n v="4"/>
    <x v="1"/>
    <s v="123 4th Street"/>
    <x v="1"/>
    <x v="1"/>
    <n v="99999"/>
    <s v="USA"/>
    <x v="1"/>
    <x v="1"/>
    <d v="2014-04-06T00:00:00"/>
    <s v="Shipping Company A"/>
    <s v="Christina Lee"/>
    <s v="123 4th Street"/>
    <x v="1"/>
    <s v="NY"/>
    <n v="99999"/>
    <s v="USA"/>
    <s v="Credit Card"/>
    <x v="1"/>
    <x v="1"/>
    <n v="3.5"/>
    <n v="48"/>
    <x v="67"/>
    <n v="16.295999999999999"/>
  </r>
  <r>
    <n v="1082"/>
    <x v="37"/>
    <n v="12"/>
    <x v="2"/>
    <s v="123 12th Street"/>
    <x v="0"/>
    <x v="0"/>
    <n v="99999"/>
    <s v="USA"/>
    <x v="0"/>
    <x v="0"/>
    <d v="2014-04-14T00:00:00"/>
    <s v="Shipping Company B"/>
    <s v="John Edwards"/>
    <s v="123 12th Street"/>
    <x v="0"/>
    <s v="NV"/>
    <n v="99999"/>
    <s v="USA"/>
    <s v="Credit Card"/>
    <x v="4"/>
    <x v="0"/>
    <n v="18"/>
    <n v="74"/>
    <x v="68"/>
    <n v="137.19600000000003"/>
  </r>
  <r>
    <n v="1083"/>
    <x v="37"/>
    <n v="12"/>
    <x v="2"/>
    <s v="123 12th Street"/>
    <x v="0"/>
    <x v="0"/>
    <n v="99999"/>
    <s v="USA"/>
    <x v="0"/>
    <x v="0"/>
    <d v="2014-04-14T00:00:00"/>
    <s v="Shipping Company B"/>
    <s v="John Edwards"/>
    <s v="123 12th Street"/>
    <x v="0"/>
    <s v="NV"/>
    <n v="99999"/>
    <s v="USA"/>
    <s v="Credit Card"/>
    <x v="5"/>
    <x v="0"/>
    <n v="46"/>
    <n v="96"/>
    <x v="69"/>
    <n v="428.35200000000003"/>
  </r>
  <r>
    <n v="1084"/>
    <x v="38"/>
    <n v="8"/>
    <x v="3"/>
    <s v="123 8th Street"/>
    <x v="2"/>
    <x v="2"/>
    <n v="99999"/>
    <s v="USA"/>
    <x v="2"/>
    <x v="2"/>
    <d v="2014-04-10T00:00:00"/>
    <s v="Shipping Company C"/>
    <s v="Elizabeth Andersen"/>
    <s v="123 8th Street"/>
    <x v="2"/>
    <s v="OR"/>
    <n v="99999"/>
    <s v="USA"/>
    <s v="Credit Card"/>
    <x v="6"/>
    <x v="2"/>
    <n v="9.1999999999999993"/>
    <n v="12"/>
    <x v="70"/>
    <n v="11.3712"/>
  </r>
  <r>
    <n v="1085"/>
    <x v="36"/>
    <n v="4"/>
    <x v="1"/>
    <s v="123 4th Street"/>
    <x v="1"/>
    <x v="1"/>
    <n v="99999"/>
    <s v="USA"/>
    <x v="1"/>
    <x v="1"/>
    <n v="41735"/>
    <s v="Shipping Company C"/>
    <s v="Christina Lee"/>
    <s v="123 4th Street"/>
    <x v="1"/>
    <s v="NY"/>
    <n v="99999"/>
    <s v="USA"/>
    <s v="Check"/>
    <x v="6"/>
    <x v="2"/>
    <n v="9.1999999999999993"/>
    <n v="62"/>
    <x v="71"/>
    <n v="58.751199999999997"/>
  </r>
  <r>
    <n v="1086"/>
    <x v="39"/>
    <n v="29"/>
    <x v="4"/>
    <s v="789 29th Street"/>
    <x v="3"/>
    <x v="3"/>
    <n v="99999"/>
    <s v="USA"/>
    <x v="3"/>
    <x v="0"/>
    <n v="41760"/>
    <s v="Shipping Company B"/>
    <s v="Soo Jung Lee"/>
    <s v="789 29th Street"/>
    <x v="3"/>
    <s v="CO"/>
    <n v="99999"/>
    <s v="USA"/>
    <s v="Check"/>
    <x v="7"/>
    <x v="3"/>
    <n v="12.75"/>
    <n v="35"/>
    <x v="72"/>
    <n v="45.963750000000005"/>
  </r>
  <r>
    <n v="1087"/>
    <x v="40"/>
    <n v="3"/>
    <x v="5"/>
    <s v="123 3rd Street"/>
    <x v="4"/>
    <x v="4"/>
    <n v="99999"/>
    <s v="USA"/>
    <x v="0"/>
    <x v="0"/>
    <n v="41734"/>
    <s v="Shipping Company B"/>
    <s v="Thomas Axerr"/>
    <s v="123 3rd Street"/>
    <x v="4"/>
    <s v="CA"/>
    <n v="99999"/>
    <s v="USA"/>
    <s v="Cash"/>
    <x v="8"/>
    <x v="4"/>
    <n v="9.65"/>
    <n v="95"/>
    <x v="73"/>
    <n v="91.675000000000011"/>
  </r>
  <r>
    <n v="1088"/>
    <x v="41"/>
    <n v="6"/>
    <x v="6"/>
    <s v="123 6th Street"/>
    <x v="5"/>
    <x v="5"/>
    <n v="99999"/>
    <s v="USA"/>
    <x v="4"/>
    <x v="2"/>
    <n v="41737"/>
    <s v="Shipping Company B"/>
    <s v="Francisco Pérez-Olaeta"/>
    <s v="123 6th Street"/>
    <x v="5"/>
    <s v="WI"/>
    <n v="99999"/>
    <s v="USA"/>
    <s v="Credit Card"/>
    <x v="9"/>
    <x v="5"/>
    <n v="40"/>
    <n v="17"/>
    <x v="74"/>
    <n v="68.680000000000007"/>
  </r>
  <r>
    <n v="1089"/>
    <x v="42"/>
    <n v="28"/>
    <x v="7"/>
    <s v="789 28th Street"/>
    <x v="6"/>
    <x v="6"/>
    <n v="99999"/>
    <s v="USA"/>
    <x v="5"/>
    <x v="3"/>
    <d v="2014-04-30T00:00:00"/>
    <s v="Shipping Company C"/>
    <s v="Amritansh Raghav"/>
    <s v="789 28th Street"/>
    <x v="6"/>
    <s v="TN"/>
    <n v="99999"/>
    <s v="USA"/>
    <s v="Check"/>
    <x v="5"/>
    <x v="0"/>
    <n v="46"/>
    <n v="96"/>
    <x v="69"/>
    <n v="463.68000000000006"/>
  </r>
  <r>
    <n v="1090"/>
    <x v="38"/>
    <n v="8"/>
    <x v="3"/>
    <s v="123 8th Street"/>
    <x v="2"/>
    <x v="2"/>
    <n v="99999"/>
    <s v="USA"/>
    <x v="2"/>
    <x v="2"/>
    <d v="2014-04-10T00:00:00"/>
    <s v="Shipping Company C"/>
    <s v="Elizabeth Andersen"/>
    <s v="123 8th Street"/>
    <x v="2"/>
    <s v="OR"/>
    <n v="99999"/>
    <s v="USA"/>
    <s v="Check"/>
    <x v="7"/>
    <x v="3"/>
    <n v="12.75"/>
    <n v="83"/>
    <x v="75"/>
    <n v="102.65025"/>
  </r>
  <r>
    <n v="1091"/>
    <x v="43"/>
    <n v="10"/>
    <x v="8"/>
    <s v="123 10th Street"/>
    <x v="7"/>
    <x v="7"/>
    <n v="99999"/>
    <s v="USA"/>
    <x v="6"/>
    <x v="1"/>
    <d v="2014-04-12T00:00:00"/>
    <s v="Shipping Company B"/>
    <s v="Roland Wacker"/>
    <s v="123 10th Street"/>
    <x v="7"/>
    <s v="IL"/>
    <n v="99999"/>
    <s v="USA"/>
    <s v="Credit Card"/>
    <x v="10"/>
    <x v="0"/>
    <n v="2.99"/>
    <n v="88"/>
    <x v="76"/>
    <n v="26.04888"/>
  </r>
  <r>
    <n v="1092"/>
    <x v="44"/>
    <n v="7"/>
    <x v="9"/>
    <s v="123 7th Street"/>
    <x v="8"/>
    <x v="8"/>
    <n v="99999"/>
    <s v="USA"/>
    <x v="2"/>
    <x v="2"/>
    <m/>
    <m/>
    <s v="Ming-Yang Xie"/>
    <s v="123 7th Street"/>
    <x v="8"/>
    <s v="ID"/>
    <n v="99999"/>
    <s v="USA"/>
    <m/>
    <x v="5"/>
    <x v="0"/>
    <n v="46"/>
    <n v="59"/>
    <x v="77"/>
    <n v="284.97000000000003"/>
  </r>
  <r>
    <n v="1093"/>
    <x v="43"/>
    <n v="10"/>
    <x v="8"/>
    <s v="123 10th Street"/>
    <x v="7"/>
    <x v="7"/>
    <n v="99999"/>
    <s v="USA"/>
    <x v="6"/>
    <x v="1"/>
    <d v="2014-04-12T00:00:00"/>
    <s v="Shipping Company A"/>
    <s v="Roland Wacker"/>
    <s v="123 10th Street"/>
    <x v="7"/>
    <s v="IL"/>
    <n v="99999"/>
    <s v="USA"/>
    <m/>
    <x v="11"/>
    <x v="6"/>
    <n v="25"/>
    <n v="27"/>
    <x v="78"/>
    <n v="68.849999999999994"/>
  </r>
  <r>
    <n v="1094"/>
    <x v="43"/>
    <n v="10"/>
    <x v="8"/>
    <s v="123 10th Street"/>
    <x v="7"/>
    <x v="7"/>
    <n v="99999"/>
    <s v="USA"/>
    <x v="6"/>
    <x v="1"/>
    <d v="2014-04-12T00:00:00"/>
    <s v="Shipping Company A"/>
    <s v="Roland Wacker"/>
    <s v="123 10th Street"/>
    <x v="7"/>
    <s v="IL"/>
    <n v="99999"/>
    <s v="USA"/>
    <m/>
    <x v="12"/>
    <x v="7"/>
    <n v="22"/>
    <n v="37"/>
    <x v="79"/>
    <n v="85.470000000000013"/>
  </r>
  <r>
    <n v="1095"/>
    <x v="43"/>
    <n v="10"/>
    <x v="8"/>
    <s v="123 10th Street"/>
    <x v="7"/>
    <x v="7"/>
    <n v="99999"/>
    <s v="USA"/>
    <x v="6"/>
    <x v="1"/>
    <d v="2014-04-12T00:00:00"/>
    <s v="Shipping Company A"/>
    <s v="Roland Wacker"/>
    <s v="123 10th Street"/>
    <x v="7"/>
    <s v="IL"/>
    <n v="99999"/>
    <s v="USA"/>
    <m/>
    <x v="6"/>
    <x v="2"/>
    <n v="9.1999999999999993"/>
    <n v="75"/>
    <x v="80"/>
    <n v="69"/>
  </r>
  <r>
    <n v="1096"/>
    <x v="45"/>
    <n v="11"/>
    <x v="10"/>
    <s v="123 11th Street"/>
    <x v="9"/>
    <x v="9"/>
    <n v="99999"/>
    <s v="USA"/>
    <x v="5"/>
    <x v="3"/>
    <m/>
    <s v="Shipping Company C"/>
    <s v="Peter Krschne"/>
    <s v="123 11th Street"/>
    <x v="9"/>
    <s v="FL"/>
    <n v="99999"/>
    <s v="USA"/>
    <m/>
    <x v="1"/>
    <x v="1"/>
    <n v="3.5"/>
    <n v="71"/>
    <x v="81"/>
    <n v="24.104500000000002"/>
  </r>
  <r>
    <n v="1097"/>
    <x v="45"/>
    <n v="11"/>
    <x v="10"/>
    <s v="123 11th Street"/>
    <x v="9"/>
    <x v="9"/>
    <n v="99999"/>
    <s v="USA"/>
    <x v="5"/>
    <x v="3"/>
    <m/>
    <s v="Shipping Company C"/>
    <s v="Peter Krschne"/>
    <s v="123 11th Street"/>
    <x v="9"/>
    <s v="FL"/>
    <n v="99999"/>
    <s v="USA"/>
    <m/>
    <x v="10"/>
    <x v="0"/>
    <n v="2.99"/>
    <n v="88"/>
    <x v="76"/>
    <n v="26.04888"/>
  </r>
  <r>
    <n v="1098"/>
    <x v="46"/>
    <n v="1"/>
    <x v="11"/>
    <s v="123 1st Street"/>
    <x v="10"/>
    <x v="10"/>
    <n v="99999"/>
    <s v="USA"/>
    <x v="2"/>
    <x v="2"/>
    <m/>
    <m/>
    <s v="Anna Bedecs"/>
    <s v="123 1st Street"/>
    <x v="10"/>
    <s v="WA"/>
    <n v="99999"/>
    <s v="USA"/>
    <m/>
    <x v="4"/>
    <x v="0"/>
    <n v="18"/>
    <n v="55"/>
    <x v="82"/>
    <n v="97.02"/>
  </r>
  <r>
    <n v="1099"/>
    <x v="47"/>
    <n v="29"/>
    <x v="4"/>
    <s v="789 29th Street"/>
    <x v="3"/>
    <x v="3"/>
    <n v="99999"/>
    <s v="USA"/>
    <x v="3"/>
    <x v="0"/>
    <d v="2014-05-31T00:00:00"/>
    <s v="Shipping Company B"/>
    <s v="Soo Jung Lee"/>
    <s v="789 29th Street"/>
    <x v="3"/>
    <s v="CO"/>
    <n v="99999"/>
    <s v="USA"/>
    <s v="Check"/>
    <x v="7"/>
    <x v="3"/>
    <n v="12.75"/>
    <n v="14"/>
    <x v="83"/>
    <n v="16.9575"/>
  </r>
  <r>
    <n v="1100"/>
    <x v="48"/>
    <n v="3"/>
    <x v="5"/>
    <s v="123 3rd Street"/>
    <x v="4"/>
    <x v="4"/>
    <n v="99999"/>
    <s v="USA"/>
    <x v="0"/>
    <x v="0"/>
    <d v="2014-05-05T00:00:00"/>
    <s v="Shipping Company B"/>
    <s v="Thomas Axerr"/>
    <s v="123 3rd Street"/>
    <x v="4"/>
    <s v="CA"/>
    <n v="99999"/>
    <s v="USA"/>
    <s v="Cash"/>
    <x v="8"/>
    <x v="4"/>
    <n v="9.65"/>
    <n v="43"/>
    <x v="84"/>
    <n v="42.324900000000007"/>
  </r>
  <r>
    <n v="1101"/>
    <x v="49"/>
    <n v="6"/>
    <x v="6"/>
    <s v="123 6th Street"/>
    <x v="5"/>
    <x v="5"/>
    <n v="99999"/>
    <s v="USA"/>
    <x v="4"/>
    <x v="2"/>
    <n v="41767"/>
    <s v="Shipping Company B"/>
    <s v="Francisco Pérez-Olaeta"/>
    <s v="123 6th Street"/>
    <x v="5"/>
    <s v="WI"/>
    <n v="99999"/>
    <s v="USA"/>
    <s v="Credit Card"/>
    <x v="9"/>
    <x v="5"/>
    <n v="40"/>
    <n v="63"/>
    <x v="85"/>
    <n v="254.52"/>
  </r>
  <r>
    <n v="1102"/>
    <x v="50"/>
    <n v="28"/>
    <x v="7"/>
    <s v="789 28th Street"/>
    <x v="6"/>
    <x v="6"/>
    <n v="99999"/>
    <s v="USA"/>
    <x v="5"/>
    <x v="3"/>
    <d v="2014-05-30T00:00:00"/>
    <s v="Shipping Company C"/>
    <s v="Amritansh Raghav"/>
    <s v="789 28th Street"/>
    <x v="6"/>
    <s v="TN"/>
    <n v="99999"/>
    <s v="USA"/>
    <s v="Check"/>
    <x v="5"/>
    <x v="0"/>
    <n v="46"/>
    <n v="36"/>
    <x v="86"/>
    <n v="165.60000000000002"/>
  </r>
  <r>
    <n v="1103"/>
    <x v="51"/>
    <n v="8"/>
    <x v="3"/>
    <s v="123 8th Street"/>
    <x v="2"/>
    <x v="2"/>
    <n v="99999"/>
    <s v="USA"/>
    <x v="2"/>
    <x v="2"/>
    <d v="2014-05-10T00:00:00"/>
    <s v="Shipping Company C"/>
    <s v="Elizabeth Andersen"/>
    <s v="123 8th Street"/>
    <x v="2"/>
    <s v="OR"/>
    <n v="99999"/>
    <s v="USA"/>
    <s v="Check"/>
    <x v="7"/>
    <x v="3"/>
    <n v="12.75"/>
    <n v="41"/>
    <x v="87"/>
    <n v="54.366000000000007"/>
  </r>
  <r>
    <n v="1104"/>
    <x v="52"/>
    <n v="10"/>
    <x v="8"/>
    <s v="123 10th Street"/>
    <x v="7"/>
    <x v="7"/>
    <n v="99999"/>
    <s v="USA"/>
    <x v="6"/>
    <x v="1"/>
    <d v="2014-05-12T00:00:00"/>
    <s v="Shipping Company B"/>
    <s v="Roland Wacker"/>
    <s v="123 10th Street"/>
    <x v="7"/>
    <s v="IL"/>
    <n v="99999"/>
    <s v="USA"/>
    <s v="Credit Card"/>
    <x v="10"/>
    <x v="0"/>
    <n v="2.99"/>
    <n v="35"/>
    <x v="88"/>
    <n v="10.255700000000001"/>
  </r>
  <r>
    <n v="1105"/>
    <x v="53"/>
    <n v="7"/>
    <x v="9"/>
    <s v="123 7th Street"/>
    <x v="8"/>
    <x v="8"/>
    <n v="99999"/>
    <s v="USA"/>
    <x v="2"/>
    <x v="2"/>
    <m/>
    <m/>
    <s v="Ming-Yang Xie"/>
    <s v="123 7th Street"/>
    <x v="8"/>
    <s v="ID"/>
    <n v="99999"/>
    <s v="USA"/>
    <m/>
    <x v="5"/>
    <x v="0"/>
    <n v="46"/>
    <n v="31"/>
    <x v="89"/>
    <n v="136.89599999999999"/>
  </r>
  <r>
    <n v="1106"/>
    <x v="52"/>
    <n v="10"/>
    <x v="8"/>
    <s v="123 10th Street"/>
    <x v="7"/>
    <x v="7"/>
    <n v="99999"/>
    <s v="USA"/>
    <x v="6"/>
    <x v="1"/>
    <n v="41771"/>
    <s v="Shipping Company A"/>
    <s v="Roland Wacker"/>
    <s v="123 10th Street"/>
    <x v="7"/>
    <s v="IL"/>
    <n v="99999"/>
    <s v="USA"/>
    <m/>
    <x v="11"/>
    <x v="6"/>
    <n v="25"/>
    <n v="52"/>
    <x v="90"/>
    <n v="123.5"/>
  </r>
  <r>
    <n v="1107"/>
    <x v="52"/>
    <n v="10"/>
    <x v="8"/>
    <s v="123 10th Street"/>
    <x v="7"/>
    <x v="7"/>
    <n v="99999"/>
    <s v="USA"/>
    <x v="6"/>
    <x v="1"/>
    <n v="41771"/>
    <s v="Shipping Company A"/>
    <s v="Roland Wacker"/>
    <s v="123 10th Street"/>
    <x v="7"/>
    <s v="IL"/>
    <n v="99999"/>
    <s v="USA"/>
    <m/>
    <x v="12"/>
    <x v="7"/>
    <n v="22"/>
    <n v="30"/>
    <x v="91"/>
    <n v="67.320000000000007"/>
  </r>
  <r>
    <n v="1108"/>
    <x v="52"/>
    <n v="10"/>
    <x v="8"/>
    <s v="123 10th Street"/>
    <x v="7"/>
    <x v="7"/>
    <n v="99999"/>
    <s v="USA"/>
    <x v="6"/>
    <x v="1"/>
    <d v="2014-05-12T00:00:00"/>
    <s v="Shipping Company A"/>
    <s v="Roland Wacker"/>
    <s v="123 10th Street"/>
    <x v="7"/>
    <s v="IL"/>
    <n v="99999"/>
    <s v="USA"/>
    <m/>
    <x v="6"/>
    <x v="2"/>
    <n v="9.1999999999999993"/>
    <n v="41"/>
    <x v="92"/>
    <n v="38.474400000000003"/>
  </r>
  <r>
    <n v="1109"/>
    <x v="54"/>
    <n v="11"/>
    <x v="10"/>
    <s v="123 11th Street"/>
    <x v="9"/>
    <x v="9"/>
    <n v="99999"/>
    <s v="USA"/>
    <x v="5"/>
    <x v="3"/>
    <m/>
    <s v="Shipping Company C"/>
    <s v="Peter Krschne"/>
    <s v="123 11th Street"/>
    <x v="9"/>
    <s v="FL"/>
    <n v="99999"/>
    <s v="USA"/>
    <m/>
    <x v="1"/>
    <x v="1"/>
    <n v="3.5"/>
    <n v="44"/>
    <x v="93"/>
    <n v="15.246"/>
  </r>
  <r>
    <n v="1110"/>
    <x v="54"/>
    <n v="11"/>
    <x v="10"/>
    <s v="123 11th Street"/>
    <x v="9"/>
    <x v="9"/>
    <n v="99999"/>
    <s v="USA"/>
    <x v="5"/>
    <x v="3"/>
    <m/>
    <s v="Shipping Company C"/>
    <s v="Peter Krschne"/>
    <s v="123 11th Street"/>
    <x v="9"/>
    <s v="FL"/>
    <n v="99999"/>
    <s v="USA"/>
    <m/>
    <x v="10"/>
    <x v="0"/>
    <n v="2.99"/>
    <n v="77"/>
    <x v="94"/>
    <n v="23.023000000000003"/>
  </r>
  <r>
    <n v="1111"/>
    <x v="55"/>
    <n v="1"/>
    <x v="11"/>
    <s v="123 1st Street"/>
    <x v="10"/>
    <x v="10"/>
    <n v="99999"/>
    <s v="USA"/>
    <x v="2"/>
    <x v="2"/>
    <m/>
    <m/>
    <s v="Anna Bedecs"/>
    <s v="123 1st Street"/>
    <x v="10"/>
    <s v="WA"/>
    <n v="99999"/>
    <s v="USA"/>
    <m/>
    <x v="4"/>
    <x v="0"/>
    <n v="18"/>
    <n v="29"/>
    <x v="95"/>
    <n v="52.722000000000001"/>
  </r>
  <r>
    <n v="1112"/>
    <x v="55"/>
    <n v="1"/>
    <x v="11"/>
    <s v="123 1st Street"/>
    <x v="10"/>
    <x v="10"/>
    <n v="99999"/>
    <s v="USA"/>
    <x v="2"/>
    <x v="2"/>
    <m/>
    <m/>
    <s v="Anna Bedecs"/>
    <s v="123 1st Street"/>
    <x v="10"/>
    <s v="WA"/>
    <n v="99999"/>
    <s v="USA"/>
    <m/>
    <x v="5"/>
    <x v="0"/>
    <n v="46"/>
    <n v="77"/>
    <x v="96"/>
    <n v="368.36800000000005"/>
  </r>
  <r>
    <n v="1113"/>
    <x v="55"/>
    <n v="1"/>
    <x v="11"/>
    <s v="123 1st Street"/>
    <x v="10"/>
    <x v="10"/>
    <n v="99999"/>
    <s v="USA"/>
    <x v="2"/>
    <x v="2"/>
    <m/>
    <m/>
    <s v="Anna Bedecs"/>
    <s v="123 1st Street"/>
    <x v="10"/>
    <s v="WA"/>
    <n v="99999"/>
    <s v="USA"/>
    <m/>
    <x v="10"/>
    <x v="0"/>
    <n v="2.99"/>
    <n v="73"/>
    <x v="97"/>
    <n v="21.827000000000002"/>
  </r>
  <r>
    <n v="1114"/>
    <x v="50"/>
    <n v="28"/>
    <x v="7"/>
    <s v="789 28th Street"/>
    <x v="6"/>
    <x v="6"/>
    <n v="99999"/>
    <s v="USA"/>
    <x v="5"/>
    <x v="3"/>
    <n v="41789"/>
    <s v="Shipping Company C"/>
    <s v="Amritansh Raghav"/>
    <s v="789 28th Street"/>
    <x v="6"/>
    <s v="TN"/>
    <n v="99999"/>
    <s v="USA"/>
    <s v="Credit Card"/>
    <x v="8"/>
    <x v="4"/>
    <n v="9.65"/>
    <n v="74"/>
    <x v="98"/>
    <n v="67.839500000000001"/>
  </r>
  <r>
    <n v="1115"/>
    <x v="50"/>
    <n v="28"/>
    <x v="7"/>
    <s v="789 28th Street"/>
    <x v="6"/>
    <x v="6"/>
    <n v="99999"/>
    <s v="USA"/>
    <x v="5"/>
    <x v="3"/>
    <d v="2014-05-30T00:00:00"/>
    <s v="Shipping Company C"/>
    <s v="Amritansh Raghav"/>
    <s v="789 28th Street"/>
    <x v="6"/>
    <s v="TN"/>
    <n v="99999"/>
    <s v="USA"/>
    <s v="Credit Card"/>
    <x v="13"/>
    <x v="8"/>
    <n v="18.399999999999999"/>
    <n v="25"/>
    <x v="99"/>
    <n v="46.46"/>
  </r>
  <r>
    <n v="1116"/>
    <x v="56"/>
    <n v="9"/>
    <x v="12"/>
    <s v="123 9th Street"/>
    <x v="11"/>
    <x v="11"/>
    <n v="99999"/>
    <s v="USA"/>
    <x v="7"/>
    <x v="0"/>
    <d v="2014-05-11T00:00:00"/>
    <s v="Shipping Company A"/>
    <s v="Sven Mortensen"/>
    <s v="123 9th Street"/>
    <x v="11"/>
    <s v="UT"/>
    <n v="99999"/>
    <s v="USA"/>
    <s v="Check"/>
    <x v="14"/>
    <x v="9"/>
    <n v="19.5"/>
    <n v="82"/>
    <x v="100"/>
    <n v="153.50399999999999"/>
  </r>
  <r>
    <n v="1117"/>
    <x v="56"/>
    <n v="9"/>
    <x v="12"/>
    <s v="123 9th Street"/>
    <x v="11"/>
    <x v="11"/>
    <n v="99999"/>
    <s v="USA"/>
    <x v="7"/>
    <x v="0"/>
    <d v="2014-05-11T00:00:00"/>
    <s v="Shipping Company A"/>
    <s v="Sven Mortensen"/>
    <s v="123 9th Street"/>
    <x v="11"/>
    <s v="UT"/>
    <n v="99999"/>
    <s v="USA"/>
    <s v="Check"/>
    <x v="15"/>
    <x v="10"/>
    <n v="34.799999999999997"/>
    <n v="37"/>
    <x v="101"/>
    <n v="132.62279999999998"/>
  </r>
  <r>
    <n v="1118"/>
    <x v="49"/>
    <n v="6"/>
    <x v="6"/>
    <s v="123 6th Street"/>
    <x v="5"/>
    <x v="5"/>
    <n v="99999"/>
    <s v="USA"/>
    <x v="4"/>
    <x v="2"/>
    <n v="41767"/>
    <s v="Shipping Company B"/>
    <s v="Francisco Pérez-Olaeta"/>
    <s v="123 6th Street"/>
    <x v="5"/>
    <s v="WI"/>
    <n v="99999"/>
    <s v="USA"/>
    <s v="Credit Card"/>
    <x v="0"/>
    <x v="0"/>
    <n v="14"/>
    <n v="84"/>
    <x v="102"/>
    <n v="112.896"/>
  </r>
  <r>
    <n v="1119"/>
    <x v="51"/>
    <n v="8"/>
    <x v="3"/>
    <s v="123 8th Street"/>
    <x v="2"/>
    <x v="2"/>
    <n v="99999"/>
    <s v="USA"/>
    <x v="2"/>
    <x v="2"/>
    <n v="41769"/>
    <s v="Shipping Company B"/>
    <s v="Elizabeth Andersen"/>
    <s v="123 8th Street"/>
    <x v="2"/>
    <s v="OR"/>
    <n v="99999"/>
    <s v="USA"/>
    <s v="Check"/>
    <x v="9"/>
    <x v="5"/>
    <n v="40"/>
    <n v="73"/>
    <x v="103"/>
    <n v="283.24"/>
  </r>
  <r>
    <n v="1120"/>
    <x v="51"/>
    <n v="8"/>
    <x v="3"/>
    <s v="123 8th Street"/>
    <x v="2"/>
    <x v="2"/>
    <n v="99999"/>
    <s v="USA"/>
    <x v="2"/>
    <x v="2"/>
    <n v="41769"/>
    <s v="Shipping Company B"/>
    <s v="Elizabeth Andersen"/>
    <s v="123 8th Street"/>
    <x v="2"/>
    <s v="OR"/>
    <n v="99999"/>
    <s v="USA"/>
    <s v="Check"/>
    <x v="6"/>
    <x v="2"/>
    <n v="9.1999999999999993"/>
    <n v="51"/>
    <x v="104"/>
    <n v="44.573999999999998"/>
  </r>
  <r>
    <n v="1121"/>
    <x v="57"/>
    <n v="25"/>
    <x v="13"/>
    <s v="789 25th Street"/>
    <x v="7"/>
    <x v="7"/>
    <n v="99999"/>
    <s v="USA"/>
    <x v="6"/>
    <x v="1"/>
    <n v="41786"/>
    <s v="Shipping Company A"/>
    <s v="John Rodman"/>
    <s v="789 25th Street"/>
    <x v="7"/>
    <s v="IL"/>
    <n v="99999"/>
    <s v="USA"/>
    <s v="Cash"/>
    <x v="21"/>
    <x v="2"/>
    <n v="10"/>
    <n v="66"/>
    <x v="91"/>
    <n v="68.64"/>
  </r>
  <r>
    <n v="1122"/>
    <x v="58"/>
    <n v="26"/>
    <x v="14"/>
    <s v="789 26th Street"/>
    <x v="9"/>
    <x v="9"/>
    <n v="99999"/>
    <s v="USA"/>
    <x v="5"/>
    <x v="3"/>
    <n v="41787"/>
    <s v="Shipping Company C"/>
    <s v="Run Liu"/>
    <s v="789 26th Street"/>
    <x v="9"/>
    <s v="FL"/>
    <n v="99999"/>
    <s v="USA"/>
    <s v="Credit Card"/>
    <x v="22"/>
    <x v="13"/>
    <n v="21.35"/>
    <n v="36"/>
    <x v="105"/>
    <n v="74.554200000000009"/>
  </r>
  <r>
    <n v="1123"/>
    <x v="58"/>
    <n v="26"/>
    <x v="14"/>
    <s v="789 26th Street"/>
    <x v="9"/>
    <x v="9"/>
    <n v="99999"/>
    <s v="USA"/>
    <x v="5"/>
    <x v="3"/>
    <d v="2014-05-28T00:00:00"/>
    <s v="Shipping Company C"/>
    <s v="Run Liu"/>
    <s v="789 26th Street"/>
    <x v="9"/>
    <s v="FL"/>
    <n v="99999"/>
    <s v="USA"/>
    <s v="Credit Card"/>
    <x v="8"/>
    <x v="4"/>
    <n v="9.65"/>
    <n v="87"/>
    <x v="106"/>
    <n v="87.313200000000009"/>
  </r>
  <r>
    <n v="1124"/>
    <x v="58"/>
    <n v="26"/>
    <x v="14"/>
    <s v="789 26th Street"/>
    <x v="9"/>
    <x v="9"/>
    <n v="99999"/>
    <s v="USA"/>
    <x v="5"/>
    <x v="3"/>
    <d v="2014-05-28T00:00:00"/>
    <s v="Shipping Company C"/>
    <s v="Run Liu"/>
    <s v="789 26th Street"/>
    <x v="9"/>
    <s v="FL"/>
    <n v="99999"/>
    <s v="USA"/>
    <s v="Credit Card"/>
    <x v="13"/>
    <x v="8"/>
    <n v="18.399999999999999"/>
    <n v="64"/>
    <x v="107"/>
    <n v="115.40479999999999"/>
  </r>
  <r>
    <n v="1125"/>
    <x v="47"/>
    <n v="29"/>
    <x v="4"/>
    <s v="789 29th Street"/>
    <x v="3"/>
    <x v="3"/>
    <n v="99999"/>
    <s v="USA"/>
    <x v="3"/>
    <x v="0"/>
    <d v="2014-05-31T00:00:00"/>
    <s v="Shipping Company B"/>
    <s v="Soo Jung Lee"/>
    <s v="789 29th Street"/>
    <x v="3"/>
    <s v="CO"/>
    <n v="99999"/>
    <s v="USA"/>
    <s v="Check"/>
    <x v="0"/>
    <x v="0"/>
    <n v="14"/>
    <n v="21"/>
    <x v="108"/>
    <n v="30.870000000000005"/>
  </r>
  <r>
    <n v="1126"/>
    <x v="49"/>
    <n v="6"/>
    <x v="6"/>
    <s v="123 6th Street"/>
    <x v="5"/>
    <x v="5"/>
    <n v="99999"/>
    <s v="USA"/>
    <x v="4"/>
    <x v="2"/>
    <d v="2014-05-08T00:00:00"/>
    <s v="Shipping Company C"/>
    <s v="Francisco Pérez-Olaeta"/>
    <s v="123 6th Street"/>
    <x v="5"/>
    <s v="WI"/>
    <n v="99999"/>
    <s v="USA"/>
    <s v="Check"/>
    <x v="7"/>
    <x v="3"/>
    <n v="12.75"/>
    <n v="19"/>
    <x v="109"/>
    <n v="24.46725"/>
  </r>
  <r>
    <n v="1128"/>
    <x v="59"/>
    <n v="4"/>
    <x v="1"/>
    <s v="123 4th Street"/>
    <x v="1"/>
    <x v="1"/>
    <n v="99999"/>
    <s v="USA"/>
    <x v="1"/>
    <x v="1"/>
    <d v="2014-05-06T00:00:00"/>
    <s v="Shipping Company A"/>
    <s v="Christina Lee"/>
    <s v="123 4th Street"/>
    <x v="1"/>
    <s v="NY"/>
    <n v="99999"/>
    <s v="USA"/>
    <s v="Credit Card"/>
    <x v="23"/>
    <x v="6"/>
    <n v="81"/>
    <n v="23"/>
    <x v="110"/>
    <n v="195.61500000000001"/>
  </r>
  <r>
    <n v="1129"/>
    <x v="59"/>
    <n v="4"/>
    <x v="1"/>
    <s v="123 4th Street"/>
    <x v="1"/>
    <x v="1"/>
    <n v="99999"/>
    <s v="USA"/>
    <x v="1"/>
    <x v="1"/>
    <d v="2014-05-06T00:00:00"/>
    <s v="Shipping Company A"/>
    <s v="Christina Lee"/>
    <s v="123 4th Street"/>
    <x v="1"/>
    <s v="NY"/>
    <n v="99999"/>
    <s v="USA"/>
    <s v="Credit Card"/>
    <x v="24"/>
    <x v="14"/>
    <n v="7"/>
    <n v="72"/>
    <x v="111"/>
    <n v="51.912000000000006"/>
  </r>
  <r>
    <n v="1131"/>
    <x v="51"/>
    <n v="8"/>
    <x v="3"/>
    <s v="123 8th Street"/>
    <x v="2"/>
    <x v="2"/>
    <n v="99999"/>
    <s v="USA"/>
    <x v="2"/>
    <x v="2"/>
    <d v="2014-05-10T00:00:00"/>
    <s v="Shipping Company C"/>
    <s v="Elizabeth Andersen"/>
    <s v="123 8th Street"/>
    <x v="2"/>
    <s v="OR"/>
    <n v="99999"/>
    <s v="USA"/>
    <s v="Credit Card"/>
    <x v="15"/>
    <x v="10"/>
    <n v="34.799999999999997"/>
    <n v="22"/>
    <x v="112"/>
    <n v="75.02879999999999"/>
  </r>
  <r>
    <n v="1134"/>
    <x v="48"/>
    <n v="3"/>
    <x v="5"/>
    <s v="123 3rd Street"/>
    <x v="4"/>
    <x v="4"/>
    <n v="99999"/>
    <s v="USA"/>
    <x v="0"/>
    <x v="0"/>
    <d v="2014-05-05T00:00:00"/>
    <s v="Shipping Company B"/>
    <s v="Thomas Axerr"/>
    <s v="123 3rd Street"/>
    <x v="4"/>
    <s v="CA"/>
    <n v="99999"/>
    <s v="USA"/>
    <s v="Cash"/>
    <x v="16"/>
    <x v="7"/>
    <n v="10"/>
    <n v="82"/>
    <x v="113"/>
    <n v="85.28"/>
  </r>
  <r>
    <n v="1135"/>
    <x v="48"/>
    <n v="3"/>
    <x v="5"/>
    <s v="123 3rd Street"/>
    <x v="4"/>
    <x v="4"/>
    <n v="99999"/>
    <s v="USA"/>
    <x v="0"/>
    <x v="0"/>
    <d v="2014-05-05T00:00:00"/>
    <s v="Shipping Company B"/>
    <s v="Thomas Axerr"/>
    <s v="123 3rd Street"/>
    <x v="4"/>
    <s v="CA"/>
    <n v="99999"/>
    <s v="USA"/>
    <s v="Cash"/>
    <x v="9"/>
    <x v="5"/>
    <n v="40"/>
    <n v="98"/>
    <x v="114"/>
    <n v="411.6"/>
  </r>
  <r>
    <n v="1138"/>
    <x v="60"/>
    <n v="7"/>
    <x v="9"/>
    <s v="123 7th Street"/>
    <x v="8"/>
    <x v="8"/>
    <n v="99999"/>
    <s v="USA"/>
    <x v="2"/>
    <x v="2"/>
    <m/>
    <m/>
    <s v="Ming-Yang Xie"/>
    <s v="123 7th Street"/>
    <x v="8"/>
    <s v="ID"/>
    <n v="99999"/>
    <s v="USA"/>
    <m/>
    <x v="5"/>
    <x v="0"/>
    <n v="46"/>
    <n v="71"/>
    <x v="115"/>
    <n v="310.27"/>
  </r>
  <r>
    <n v="1139"/>
    <x v="61"/>
    <n v="10"/>
    <x v="8"/>
    <s v="123 10th Street"/>
    <x v="7"/>
    <x v="7"/>
    <n v="99999"/>
    <s v="USA"/>
    <x v="6"/>
    <x v="1"/>
    <d v="2014-06-12T00:00:00"/>
    <s v="Shipping Company A"/>
    <s v="Roland Wacker"/>
    <s v="123 10th Street"/>
    <x v="7"/>
    <s v="IL"/>
    <n v="99999"/>
    <s v="USA"/>
    <m/>
    <x v="11"/>
    <x v="6"/>
    <n v="25"/>
    <n v="40"/>
    <x v="116"/>
    <n v="105"/>
  </r>
  <r>
    <n v="1140"/>
    <x v="61"/>
    <n v="10"/>
    <x v="8"/>
    <s v="123 10th Street"/>
    <x v="7"/>
    <x v="7"/>
    <n v="99999"/>
    <s v="USA"/>
    <x v="6"/>
    <x v="1"/>
    <d v="2014-06-12T00:00:00"/>
    <s v="Shipping Company A"/>
    <s v="Roland Wacker"/>
    <s v="123 10th Street"/>
    <x v="7"/>
    <s v="IL"/>
    <n v="99999"/>
    <s v="USA"/>
    <m/>
    <x v="12"/>
    <x v="7"/>
    <n v="22"/>
    <n v="80"/>
    <x v="117"/>
    <n v="172.48"/>
  </r>
  <r>
    <n v="1141"/>
    <x v="61"/>
    <n v="10"/>
    <x v="8"/>
    <s v="123 10th Street"/>
    <x v="7"/>
    <x v="7"/>
    <n v="99999"/>
    <s v="USA"/>
    <x v="6"/>
    <x v="1"/>
    <d v="2014-06-12T00:00:00"/>
    <s v="Shipping Company A"/>
    <s v="Roland Wacker"/>
    <s v="123 10th Street"/>
    <x v="7"/>
    <s v="IL"/>
    <n v="99999"/>
    <s v="USA"/>
    <m/>
    <x v="6"/>
    <x v="2"/>
    <n v="9.1999999999999993"/>
    <n v="38"/>
    <x v="7"/>
    <n v="33.211999999999996"/>
  </r>
  <r>
    <n v="1142"/>
    <x v="62"/>
    <n v="11"/>
    <x v="10"/>
    <s v="123 11th Street"/>
    <x v="9"/>
    <x v="9"/>
    <n v="99999"/>
    <s v="USA"/>
    <x v="5"/>
    <x v="3"/>
    <m/>
    <s v="Shipping Company C"/>
    <s v="Peter Krschne"/>
    <s v="123 11th Street"/>
    <x v="9"/>
    <s v="FL"/>
    <n v="99999"/>
    <s v="USA"/>
    <m/>
    <x v="1"/>
    <x v="1"/>
    <n v="3.5"/>
    <n v="28"/>
    <x v="118"/>
    <n v="10.290000000000001"/>
  </r>
  <r>
    <n v="1143"/>
    <x v="62"/>
    <n v="11"/>
    <x v="10"/>
    <s v="123 11th Street"/>
    <x v="9"/>
    <x v="9"/>
    <n v="99999"/>
    <s v="USA"/>
    <x v="5"/>
    <x v="3"/>
    <m/>
    <s v="Shipping Company C"/>
    <s v="Peter Krschne"/>
    <s v="123 11th Street"/>
    <x v="9"/>
    <s v="FL"/>
    <n v="99999"/>
    <s v="USA"/>
    <m/>
    <x v="10"/>
    <x v="0"/>
    <n v="2.99"/>
    <n v="60"/>
    <x v="119"/>
    <n v="17.581200000000003"/>
  </r>
  <r>
    <n v="1144"/>
    <x v="63"/>
    <n v="1"/>
    <x v="11"/>
    <s v="123 1st Street"/>
    <x v="10"/>
    <x v="10"/>
    <n v="99999"/>
    <s v="USA"/>
    <x v="2"/>
    <x v="2"/>
    <m/>
    <m/>
    <s v="Anna Bedecs"/>
    <s v="123 1st Street"/>
    <x v="10"/>
    <s v="WA"/>
    <n v="99999"/>
    <s v="USA"/>
    <m/>
    <x v="4"/>
    <x v="0"/>
    <n v="18"/>
    <n v="33"/>
    <x v="120"/>
    <n v="58.212000000000003"/>
  </r>
  <r>
    <n v="1145"/>
    <x v="63"/>
    <n v="1"/>
    <x v="11"/>
    <s v="123 1st Street"/>
    <x v="10"/>
    <x v="10"/>
    <n v="99999"/>
    <s v="USA"/>
    <x v="2"/>
    <x v="2"/>
    <m/>
    <m/>
    <s v="Anna Bedecs"/>
    <s v="123 1st Street"/>
    <x v="10"/>
    <s v="WA"/>
    <n v="99999"/>
    <s v="USA"/>
    <m/>
    <x v="5"/>
    <x v="0"/>
    <n v="46"/>
    <n v="22"/>
    <x v="121"/>
    <n v="101.2"/>
  </r>
  <r>
    <n v="1146"/>
    <x v="63"/>
    <n v="1"/>
    <x v="11"/>
    <s v="123 1st Street"/>
    <x v="10"/>
    <x v="10"/>
    <n v="99999"/>
    <s v="USA"/>
    <x v="2"/>
    <x v="2"/>
    <m/>
    <m/>
    <s v="Anna Bedecs"/>
    <s v="123 1st Street"/>
    <x v="10"/>
    <s v="WA"/>
    <n v="99999"/>
    <s v="USA"/>
    <m/>
    <x v="10"/>
    <x v="0"/>
    <n v="2.99"/>
    <n v="51"/>
    <x v="122"/>
    <n v="14.944020000000002"/>
  </r>
  <r>
    <n v="1147"/>
    <x v="64"/>
    <n v="28"/>
    <x v="7"/>
    <s v="789 28th Street"/>
    <x v="6"/>
    <x v="6"/>
    <n v="99999"/>
    <s v="USA"/>
    <x v="5"/>
    <x v="3"/>
    <d v="2014-06-30T00:00:00"/>
    <s v="Shipping Company C"/>
    <s v="Amritansh Raghav"/>
    <s v="789 28th Street"/>
    <x v="6"/>
    <s v="TN"/>
    <n v="99999"/>
    <s v="USA"/>
    <s v="Credit Card"/>
    <x v="8"/>
    <x v="4"/>
    <n v="9.65"/>
    <n v="60"/>
    <x v="123"/>
    <n v="57.321000000000005"/>
  </r>
  <r>
    <n v="1148"/>
    <x v="64"/>
    <n v="28"/>
    <x v="7"/>
    <s v="789 28th Street"/>
    <x v="6"/>
    <x v="6"/>
    <n v="99999"/>
    <s v="USA"/>
    <x v="5"/>
    <x v="3"/>
    <d v="2014-06-30T00:00:00"/>
    <s v="Shipping Company C"/>
    <s v="Amritansh Raghav"/>
    <s v="789 28th Street"/>
    <x v="6"/>
    <s v="TN"/>
    <n v="99999"/>
    <s v="USA"/>
    <s v="Credit Card"/>
    <x v="13"/>
    <x v="8"/>
    <n v="18.399999999999999"/>
    <n v="98"/>
    <x v="124"/>
    <n v="183.9264"/>
  </r>
  <r>
    <n v="1149"/>
    <x v="65"/>
    <n v="9"/>
    <x v="12"/>
    <s v="123 9th Street"/>
    <x v="11"/>
    <x v="11"/>
    <n v="99999"/>
    <s v="USA"/>
    <x v="7"/>
    <x v="0"/>
    <d v="2014-06-11T00:00:00"/>
    <s v="Shipping Company A"/>
    <s v="Sven Mortensen"/>
    <s v="123 9th Street"/>
    <x v="11"/>
    <s v="UT"/>
    <n v="99999"/>
    <s v="USA"/>
    <s v="Check"/>
    <x v="14"/>
    <x v="9"/>
    <n v="19.5"/>
    <n v="27"/>
    <x v="125"/>
    <n v="51.070500000000003"/>
  </r>
  <r>
    <n v="1150"/>
    <x v="65"/>
    <n v="9"/>
    <x v="12"/>
    <s v="123 9th Street"/>
    <x v="11"/>
    <x v="11"/>
    <n v="99999"/>
    <s v="USA"/>
    <x v="7"/>
    <x v="0"/>
    <d v="2014-06-11T00:00:00"/>
    <s v="Shipping Company A"/>
    <s v="Sven Mortensen"/>
    <s v="123 9th Street"/>
    <x v="11"/>
    <s v="UT"/>
    <n v="99999"/>
    <s v="USA"/>
    <s v="Check"/>
    <x v="15"/>
    <x v="10"/>
    <n v="34.799999999999997"/>
    <n v="88"/>
    <x v="126"/>
    <n v="303.17759999999993"/>
  </r>
  <r>
    <n v="1151"/>
    <x v="66"/>
    <n v="6"/>
    <x v="6"/>
    <s v="123 6th Street"/>
    <x v="5"/>
    <x v="5"/>
    <n v="99999"/>
    <s v="USA"/>
    <x v="4"/>
    <x v="2"/>
    <d v="2014-06-08T00:00:00"/>
    <s v="Shipping Company B"/>
    <s v="Francisco Pérez-Olaeta"/>
    <s v="123 6th Street"/>
    <x v="5"/>
    <s v="WI"/>
    <n v="99999"/>
    <s v="USA"/>
    <s v="Credit Card"/>
    <x v="0"/>
    <x v="0"/>
    <n v="14"/>
    <n v="65"/>
    <x v="127"/>
    <n v="95.55"/>
  </r>
  <r>
    <n v="1152"/>
    <x v="67"/>
    <n v="8"/>
    <x v="3"/>
    <s v="123 8th Street"/>
    <x v="2"/>
    <x v="2"/>
    <n v="99999"/>
    <s v="USA"/>
    <x v="2"/>
    <x v="2"/>
    <d v="2014-06-10T00:00:00"/>
    <s v="Shipping Company B"/>
    <s v="Elizabeth Andersen"/>
    <s v="123 8th Street"/>
    <x v="2"/>
    <s v="OR"/>
    <n v="99999"/>
    <s v="USA"/>
    <s v="Check"/>
    <x v="9"/>
    <x v="5"/>
    <n v="40"/>
    <n v="38"/>
    <x v="128"/>
    <n v="148.96"/>
  </r>
  <r>
    <n v="1153"/>
    <x v="67"/>
    <n v="8"/>
    <x v="3"/>
    <s v="123 8th Street"/>
    <x v="2"/>
    <x v="2"/>
    <n v="99999"/>
    <s v="USA"/>
    <x v="2"/>
    <x v="2"/>
    <n v="41800"/>
    <s v="Shipping Company B"/>
    <s v="Elizabeth Andersen"/>
    <s v="123 8th Street"/>
    <x v="2"/>
    <s v="OR"/>
    <n v="99999"/>
    <s v="USA"/>
    <s v="Check"/>
    <x v="6"/>
    <x v="2"/>
    <n v="9.1999999999999993"/>
    <n v="80"/>
    <x v="129"/>
    <n v="70.656000000000006"/>
  </r>
  <r>
    <n v="1154"/>
    <x v="68"/>
    <n v="25"/>
    <x v="13"/>
    <s v="789 25th Street"/>
    <x v="7"/>
    <x v="7"/>
    <n v="99999"/>
    <s v="USA"/>
    <x v="6"/>
    <x v="1"/>
    <d v="2014-06-27T00:00:00"/>
    <s v="Shipping Company A"/>
    <s v="John Rodman"/>
    <s v="789 25th Street"/>
    <x v="7"/>
    <s v="IL"/>
    <n v="99999"/>
    <s v="USA"/>
    <s v="Cash"/>
    <x v="21"/>
    <x v="2"/>
    <n v="10"/>
    <n v="49"/>
    <x v="130"/>
    <n v="47.04"/>
  </r>
  <r>
    <n v="1155"/>
    <x v="69"/>
    <n v="26"/>
    <x v="14"/>
    <s v="789 26th Street"/>
    <x v="9"/>
    <x v="9"/>
    <n v="99999"/>
    <s v="USA"/>
    <x v="5"/>
    <x v="3"/>
    <d v="2014-06-28T00:00:00"/>
    <s v="Shipping Company C"/>
    <s v="Run Liu"/>
    <s v="789 26th Street"/>
    <x v="9"/>
    <s v="FL"/>
    <n v="99999"/>
    <s v="USA"/>
    <s v="Credit Card"/>
    <x v="22"/>
    <x v="13"/>
    <n v="21.35"/>
    <n v="90"/>
    <x v="131"/>
    <n v="186.38550000000004"/>
  </r>
  <r>
    <n v="1156"/>
    <x v="69"/>
    <n v="26"/>
    <x v="14"/>
    <s v="789 26th Street"/>
    <x v="9"/>
    <x v="9"/>
    <n v="99999"/>
    <s v="USA"/>
    <x v="5"/>
    <x v="3"/>
    <d v="2014-06-28T00:00:00"/>
    <s v="Shipping Company C"/>
    <s v="Run Liu"/>
    <s v="789 26th Street"/>
    <x v="9"/>
    <s v="FL"/>
    <n v="99999"/>
    <s v="USA"/>
    <s v="Credit Card"/>
    <x v="8"/>
    <x v="4"/>
    <n v="9.65"/>
    <n v="60"/>
    <x v="123"/>
    <n v="59.637000000000008"/>
  </r>
  <r>
    <n v="1157"/>
    <x v="69"/>
    <n v="26"/>
    <x v="14"/>
    <s v="789 26th Street"/>
    <x v="9"/>
    <x v="9"/>
    <n v="99999"/>
    <s v="USA"/>
    <x v="5"/>
    <x v="3"/>
    <n v="41818"/>
    <s v="Shipping Company C"/>
    <s v="Run Liu"/>
    <s v="789 26th Street"/>
    <x v="9"/>
    <s v="FL"/>
    <n v="99999"/>
    <s v="USA"/>
    <s v="Credit Card"/>
    <x v="13"/>
    <x v="8"/>
    <n v="18.399999999999999"/>
    <n v="39"/>
    <x v="132"/>
    <n v="71.759999999999991"/>
  </r>
  <r>
    <n v="1158"/>
    <x v="70"/>
    <n v="29"/>
    <x v="4"/>
    <s v="789 29th Street"/>
    <x v="3"/>
    <x v="3"/>
    <n v="99999"/>
    <s v="USA"/>
    <x v="3"/>
    <x v="0"/>
    <n v="41821"/>
    <s v="Shipping Company B"/>
    <s v="Soo Jung Lee"/>
    <s v="789 29th Street"/>
    <x v="3"/>
    <s v="CO"/>
    <n v="99999"/>
    <s v="USA"/>
    <s v="Check"/>
    <x v="0"/>
    <x v="0"/>
    <n v="14"/>
    <n v="79"/>
    <x v="133"/>
    <n v="113.91800000000001"/>
  </r>
  <r>
    <n v="1159"/>
    <x v="66"/>
    <n v="6"/>
    <x v="6"/>
    <s v="123 6th Street"/>
    <x v="5"/>
    <x v="5"/>
    <n v="99999"/>
    <s v="USA"/>
    <x v="4"/>
    <x v="2"/>
    <n v="41798"/>
    <s v="Shipping Company C"/>
    <s v="Francisco Pérez-Olaeta"/>
    <s v="123 6th Street"/>
    <x v="5"/>
    <s v="WI"/>
    <n v="99999"/>
    <s v="USA"/>
    <s v="Check"/>
    <x v="7"/>
    <x v="3"/>
    <n v="12.75"/>
    <n v="44"/>
    <x v="134"/>
    <n v="57.222000000000001"/>
  </r>
  <r>
    <n v="1161"/>
    <x v="71"/>
    <n v="4"/>
    <x v="1"/>
    <s v="123 4th Street"/>
    <x v="1"/>
    <x v="1"/>
    <n v="99999"/>
    <s v="USA"/>
    <x v="1"/>
    <x v="1"/>
    <n v="41796"/>
    <s v="Shipping Company A"/>
    <s v="Christina Lee"/>
    <s v="123 4th Street"/>
    <x v="1"/>
    <s v="NY"/>
    <n v="99999"/>
    <s v="USA"/>
    <s v="Credit Card"/>
    <x v="23"/>
    <x v="6"/>
    <n v="81"/>
    <n v="98"/>
    <x v="135"/>
    <n v="769.98599999999999"/>
  </r>
  <r>
    <n v="1162"/>
    <x v="71"/>
    <n v="4"/>
    <x v="1"/>
    <s v="123 4th Street"/>
    <x v="1"/>
    <x v="1"/>
    <n v="99999"/>
    <s v="USA"/>
    <x v="1"/>
    <x v="1"/>
    <n v="41796"/>
    <s v="Shipping Company A"/>
    <s v="Christina Lee"/>
    <s v="123 4th Street"/>
    <x v="1"/>
    <s v="NY"/>
    <n v="99999"/>
    <s v="USA"/>
    <s v="Credit Card"/>
    <x v="24"/>
    <x v="14"/>
    <n v="7"/>
    <n v="61"/>
    <x v="136"/>
    <n v="42.273000000000003"/>
  </r>
  <r>
    <n v="1164"/>
    <x v="67"/>
    <n v="8"/>
    <x v="3"/>
    <s v="123 8th Street"/>
    <x v="2"/>
    <x v="2"/>
    <n v="99999"/>
    <s v="USA"/>
    <x v="2"/>
    <x v="2"/>
    <d v="2014-06-10T00:00:00"/>
    <s v="Shipping Company C"/>
    <s v="Elizabeth Andersen"/>
    <s v="123 8th Street"/>
    <x v="2"/>
    <s v="OR"/>
    <n v="99999"/>
    <s v="USA"/>
    <s v="Credit Card"/>
    <x v="15"/>
    <x v="10"/>
    <n v="34.799999999999997"/>
    <n v="30"/>
    <x v="137"/>
    <n v="109.62"/>
  </r>
  <r>
    <n v="1167"/>
    <x v="72"/>
    <n v="3"/>
    <x v="5"/>
    <s v="123 3rd Street"/>
    <x v="4"/>
    <x v="4"/>
    <n v="99999"/>
    <s v="USA"/>
    <x v="0"/>
    <x v="0"/>
    <d v="2014-06-05T00:00:00"/>
    <s v="Shipping Company B"/>
    <s v="Thomas Axerr"/>
    <s v="123 3rd Street"/>
    <x v="4"/>
    <s v="CA"/>
    <n v="99999"/>
    <s v="USA"/>
    <s v="Cash"/>
    <x v="16"/>
    <x v="7"/>
    <n v="10"/>
    <n v="24"/>
    <x v="138"/>
    <n v="25.200000000000003"/>
  </r>
  <r>
    <n v="1168"/>
    <x v="72"/>
    <n v="3"/>
    <x v="5"/>
    <s v="123 3rd Street"/>
    <x v="4"/>
    <x v="4"/>
    <n v="99999"/>
    <s v="USA"/>
    <x v="0"/>
    <x v="0"/>
    <d v="2014-06-05T00:00:00"/>
    <s v="Shipping Company B"/>
    <s v="Thomas Axerr"/>
    <s v="123 3rd Street"/>
    <x v="4"/>
    <s v="CA"/>
    <n v="99999"/>
    <s v="USA"/>
    <s v="Cash"/>
    <x v="9"/>
    <x v="5"/>
    <n v="40"/>
    <n v="28"/>
    <x v="139"/>
    <n v="109.75999999999999"/>
  </r>
  <r>
    <n v="1172"/>
    <x v="61"/>
    <n v="10"/>
    <x v="8"/>
    <s v="123 10th Street"/>
    <x v="7"/>
    <x v="7"/>
    <n v="99999"/>
    <s v="USA"/>
    <x v="6"/>
    <x v="1"/>
    <d v="2014-06-12T00:00:00"/>
    <s v="Shipping Company B"/>
    <s v="Roland Wacker"/>
    <s v="123 10th Street"/>
    <x v="7"/>
    <s v="IL"/>
    <n v="99999"/>
    <s v="USA"/>
    <s v="Credit Card"/>
    <x v="18"/>
    <x v="1"/>
    <n v="10"/>
    <n v="74"/>
    <x v="140"/>
    <n v="71.78"/>
  </r>
  <r>
    <n v="1174"/>
    <x v="61"/>
    <n v="10"/>
    <x v="8"/>
    <s v="123 10th Street"/>
    <x v="7"/>
    <x v="7"/>
    <n v="99999"/>
    <s v="USA"/>
    <x v="6"/>
    <x v="1"/>
    <m/>
    <s v="Shipping Company A"/>
    <s v="Roland Wacker"/>
    <s v="123 10th Street"/>
    <x v="7"/>
    <s v="IL"/>
    <n v="99999"/>
    <s v="USA"/>
    <m/>
    <x v="1"/>
    <x v="1"/>
    <n v="3.5"/>
    <n v="90"/>
    <x v="141"/>
    <n v="30.24"/>
  </r>
  <r>
    <n v="1175"/>
    <x v="62"/>
    <n v="11"/>
    <x v="10"/>
    <s v="123 11th Street"/>
    <x v="9"/>
    <x v="9"/>
    <n v="99999"/>
    <s v="USA"/>
    <x v="5"/>
    <x v="3"/>
    <m/>
    <s v="Shipping Company C"/>
    <s v="Peter Krschne"/>
    <s v="123 11th Street"/>
    <x v="9"/>
    <s v="FL"/>
    <n v="99999"/>
    <s v="USA"/>
    <m/>
    <x v="9"/>
    <x v="5"/>
    <n v="40"/>
    <n v="27"/>
    <x v="142"/>
    <n v="111.24000000000001"/>
  </r>
  <r>
    <n v="1176"/>
    <x v="63"/>
    <n v="1"/>
    <x v="11"/>
    <s v="123 1st Street"/>
    <x v="10"/>
    <x v="10"/>
    <n v="99999"/>
    <s v="USA"/>
    <x v="2"/>
    <x v="2"/>
    <m/>
    <s v="Shipping Company C"/>
    <s v="Anna Bedecs"/>
    <s v="123 1st Street"/>
    <x v="10"/>
    <s v="WA"/>
    <n v="99999"/>
    <s v="USA"/>
    <m/>
    <x v="13"/>
    <x v="8"/>
    <n v="18.399999999999999"/>
    <n v="71"/>
    <x v="143"/>
    <n v="137.172"/>
  </r>
  <r>
    <n v="1177"/>
    <x v="64"/>
    <n v="28"/>
    <x v="7"/>
    <s v="789 28th Street"/>
    <x v="6"/>
    <x v="6"/>
    <n v="99999"/>
    <s v="USA"/>
    <x v="5"/>
    <x v="3"/>
    <d v="2014-06-30T00:00:00"/>
    <s v="Shipping Company C"/>
    <s v="Amritansh Raghav"/>
    <s v="789 28th Street"/>
    <x v="6"/>
    <s v="TN"/>
    <n v="99999"/>
    <s v="USA"/>
    <s v="Credit Card"/>
    <x v="5"/>
    <x v="0"/>
    <n v="46"/>
    <n v="74"/>
    <x v="144"/>
    <n v="340.40000000000003"/>
  </r>
  <r>
    <n v="1178"/>
    <x v="65"/>
    <n v="9"/>
    <x v="12"/>
    <s v="123 9th Street"/>
    <x v="11"/>
    <x v="11"/>
    <n v="99999"/>
    <s v="USA"/>
    <x v="7"/>
    <x v="0"/>
    <d v="2014-06-11T00:00:00"/>
    <s v="Shipping Company A"/>
    <s v="Sven Mortensen"/>
    <s v="123 9th Street"/>
    <x v="11"/>
    <s v="UT"/>
    <n v="99999"/>
    <s v="USA"/>
    <s v="Check"/>
    <x v="8"/>
    <x v="4"/>
    <n v="9.65"/>
    <n v="76"/>
    <x v="145"/>
    <n v="72.6066"/>
  </r>
  <r>
    <n v="1179"/>
    <x v="66"/>
    <n v="6"/>
    <x v="6"/>
    <s v="123 6th Street"/>
    <x v="5"/>
    <x v="5"/>
    <n v="99999"/>
    <s v="USA"/>
    <x v="4"/>
    <x v="2"/>
    <d v="2014-06-08T00:00:00"/>
    <s v="Shipping Company B"/>
    <s v="Francisco Pérez-Olaeta"/>
    <s v="123 6th Street"/>
    <x v="5"/>
    <s v="WI"/>
    <n v="99999"/>
    <s v="USA"/>
    <s v="Credit Card"/>
    <x v="7"/>
    <x v="3"/>
    <n v="12.75"/>
    <n v="96"/>
    <x v="146"/>
    <n v="123.62400000000001"/>
  </r>
  <r>
    <n v="1180"/>
    <x v="67"/>
    <n v="8"/>
    <x v="3"/>
    <s v="123 8th Street"/>
    <x v="2"/>
    <x v="2"/>
    <n v="99999"/>
    <s v="USA"/>
    <x v="2"/>
    <x v="2"/>
    <d v="2014-06-10T00:00:00"/>
    <s v="Shipping Company B"/>
    <s v="Elizabeth Andersen"/>
    <s v="123 8th Street"/>
    <x v="2"/>
    <s v="OR"/>
    <n v="99999"/>
    <s v="USA"/>
    <s v="Check"/>
    <x v="7"/>
    <x v="3"/>
    <n v="12.75"/>
    <n v="92"/>
    <x v="147"/>
    <n v="116.12700000000001"/>
  </r>
  <r>
    <n v="1181"/>
    <x v="68"/>
    <n v="25"/>
    <x v="13"/>
    <s v="789 25th Street"/>
    <x v="7"/>
    <x v="7"/>
    <n v="99999"/>
    <s v="USA"/>
    <x v="6"/>
    <x v="1"/>
    <d v="2014-06-27T00:00:00"/>
    <s v="Shipping Company A"/>
    <s v="John Rodman"/>
    <s v="789 25th Street"/>
    <x v="7"/>
    <s v="IL"/>
    <n v="99999"/>
    <s v="USA"/>
    <s v="Cash"/>
    <x v="12"/>
    <x v="7"/>
    <n v="22"/>
    <n v="93"/>
    <x v="148"/>
    <n v="200.50800000000001"/>
  </r>
  <r>
    <n v="1182"/>
    <x v="69"/>
    <n v="26"/>
    <x v="14"/>
    <s v="789 26th Street"/>
    <x v="9"/>
    <x v="9"/>
    <n v="99999"/>
    <s v="USA"/>
    <x v="5"/>
    <x v="3"/>
    <d v="2014-06-28T00:00:00"/>
    <s v="Shipping Company C"/>
    <s v="Run Liu"/>
    <s v="789 26th Street"/>
    <x v="9"/>
    <s v="FL"/>
    <n v="99999"/>
    <s v="USA"/>
    <s v="Credit Card"/>
    <x v="11"/>
    <x v="6"/>
    <n v="25"/>
    <n v="18"/>
    <x v="149"/>
    <n v="42.75"/>
  </r>
  <r>
    <n v="1183"/>
    <x v="70"/>
    <n v="29"/>
    <x v="4"/>
    <s v="789 29th Street"/>
    <x v="3"/>
    <x v="3"/>
    <n v="99999"/>
    <s v="USA"/>
    <x v="3"/>
    <x v="0"/>
    <d v="2014-07-01T00:00:00"/>
    <s v="Shipping Company B"/>
    <s v="Soo Jung Lee"/>
    <s v="789 29th Street"/>
    <x v="3"/>
    <s v="CO"/>
    <n v="99999"/>
    <s v="USA"/>
    <s v="Check"/>
    <x v="19"/>
    <x v="12"/>
    <n v="39"/>
    <n v="98"/>
    <x v="150"/>
    <n v="397.48800000000006"/>
  </r>
  <r>
    <n v="1184"/>
    <x v="66"/>
    <n v="6"/>
    <x v="6"/>
    <s v="123 6th Street"/>
    <x v="5"/>
    <x v="5"/>
    <n v="99999"/>
    <s v="USA"/>
    <x v="4"/>
    <x v="2"/>
    <d v="2014-06-08T00:00:00"/>
    <s v="Shipping Company C"/>
    <s v="Francisco Pérez-Olaeta"/>
    <s v="123 6th Street"/>
    <x v="5"/>
    <s v="WI"/>
    <n v="99999"/>
    <s v="USA"/>
    <s v="Check"/>
    <x v="2"/>
    <x v="1"/>
    <n v="30"/>
    <n v="46"/>
    <x v="65"/>
    <n v="135.24"/>
  </r>
  <r>
    <n v="1185"/>
    <x v="66"/>
    <n v="6"/>
    <x v="6"/>
    <s v="123 6th Street"/>
    <x v="5"/>
    <x v="5"/>
    <n v="99999"/>
    <s v="USA"/>
    <x v="4"/>
    <x v="2"/>
    <d v="2014-06-08T00:00:00"/>
    <s v="Shipping Company C"/>
    <s v="Francisco Pérez-Olaeta"/>
    <s v="123 6th Street"/>
    <x v="5"/>
    <s v="WI"/>
    <n v="99999"/>
    <s v="USA"/>
    <s v="Check"/>
    <x v="3"/>
    <x v="1"/>
    <n v="53"/>
    <n v="14"/>
    <x v="48"/>
    <n v="74.2"/>
  </r>
  <r>
    <n v="1186"/>
    <x v="71"/>
    <n v="4"/>
    <x v="1"/>
    <s v="123 4th Street"/>
    <x v="1"/>
    <x v="1"/>
    <n v="99999"/>
    <s v="USA"/>
    <x v="1"/>
    <x v="1"/>
    <m/>
    <m/>
    <s v="Christina Lee"/>
    <s v="123 4th Street"/>
    <x v="1"/>
    <s v="NY"/>
    <n v="99999"/>
    <s v="USA"/>
    <m/>
    <x v="20"/>
    <x v="9"/>
    <n v="38"/>
    <n v="85"/>
    <x v="151"/>
    <n v="319.77"/>
  </r>
  <r>
    <n v="1187"/>
    <x v="72"/>
    <n v="3"/>
    <x v="5"/>
    <s v="123 3rd Street"/>
    <x v="4"/>
    <x v="4"/>
    <n v="99999"/>
    <s v="USA"/>
    <x v="0"/>
    <x v="0"/>
    <m/>
    <m/>
    <s v="Thomas Axerr"/>
    <s v="123 3rd Street"/>
    <x v="4"/>
    <s v="CA"/>
    <n v="99999"/>
    <s v="USA"/>
    <m/>
    <x v="10"/>
    <x v="0"/>
    <n v="2.99"/>
    <n v="88"/>
    <x v="76"/>
    <n v="25.522639999999999"/>
  </r>
  <r>
    <n v="1188"/>
    <x v="73"/>
    <n v="1"/>
    <x v="11"/>
    <s v="123 1st Street"/>
    <x v="10"/>
    <x v="10"/>
    <n v="99999"/>
    <s v="USA"/>
    <x v="2"/>
    <x v="2"/>
    <m/>
    <m/>
    <s v="Anna Bedecs"/>
    <s v="123 1st Street"/>
    <x v="10"/>
    <s v="WA"/>
    <n v="99999"/>
    <s v="USA"/>
    <m/>
    <x v="10"/>
    <x v="0"/>
    <n v="2.99"/>
    <n v="81"/>
    <x v="152"/>
    <n v="23.976810000000004"/>
  </r>
  <r>
    <n v="1189"/>
    <x v="74"/>
    <n v="28"/>
    <x v="7"/>
    <s v="789 28th Street"/>
    <x v="6"/>
    <x v="6"/>
    <n v="99999"/>
    <s v="USA"/>
    <x v="5"/>
    <x v="3"/>
    <d v="2014-07-30T00:00:00"/>
    <s v="Shipping Company C"/>
    <s v="Amritansh Raghav"/>
    <s v="789 28th Street"/>
    <x v="6"/>
    <s v="TN"/>
    <n v="99999"/>
    <s v="USA"/>
    <s v="Credit Card"/>
    <x v="8"/>
    <x v="4"/>
    <n v="9.65"/>
    <n v="33"/>
    <x v="153"/>
    <n v="30.252749999999999"/>
  </r>
  <r>
    <n v="1190"/>
    <x v="74"/>
    <n v="28"/>
    <x v="7"/>
    <s v="789 28th Street"/>
    <x v="6"/>
    <x v="6"/>
    <n v="99999"/>
    <s v="USA"/>
    <x v="5"/>
    <x v="3"/>
    <d v="2014-07-30T00:00:00"/>
    <s v="Shipping Company C"/>
    <s v="Amritansh Raghav"/>
    <s v="789 28th Street"/>
    <x v="6"/>
    <s v="TN"/>
    <n v="99999"/>
    <s v="USA"/>
    <s v="Credit Card"/>
    <x v="13"/>
    <x v="8"/>
    <n v="18.399999999999999"/>
    <n v="47"/>
    <x v="154"/>
    <n v="90.804000000000002"/>
  </r>
  <r>
    <n v="1191"/>
    <x v="75"/>
    <n v="9"/>
    <x v="12"/>
    <s v="123 9th Street"/>
    <x v="11"/>
    <x v="11"/>
    <n v="99999"/>
    <s v="USA"/>
    <x v="7"/>
    <x v="0"/>
    <d v="2014-07-11T00:00:00"/>
    <s v="Shipping Company A"/>
    <s v="Sven Mortensen"/>
    <s v="123 9th Street"/>
    <x v="11"/>
    <s v="UT"/>
    <n v="99999"/>
    <s v="USA"/>
    <s v="Check"/>
    <x v="14"/>
    <x v="9"/>
    <n v="19.5"/>
    <n v="61"/>
    <x v="155"/>
    <n v="123.70800000000001"/>
  </r>
  <r>
    <n v="1192"/>
    <x v="75"/>
    <n v="9"/>
    <x v="12"/>
    <s v="123 9th Street"/>
    <x v="11"/>
    <x v="11"/>
    <n v="99999"/>
    <s v="USA"/>
    <x v="7"/>
    <x v="0"/>
    <d v="2014-07-11T00:00:00"/>
    <s v="Shipping Company A"/>
    <s v="Sven Mortensen"/>
    <s v="123 9th Street"/>
    <x v="11"/>
    <s v="UT"/>
    <n v="99999"/>
    <s v="USA"/>
    <s v="Check"/>
    <x v="15"/>
    <x v="10"/>
    <n v="34.799999999999997"/>
    <n v="27"/>
    <x v="156"/>
    <n v="95.839199999999991"/>
  </r>
  <r>
    <n v="1193"/>
    <x v="76"/>
    <n v="6"/>
    <x v="6"/>
    <s v="123 6th Street"/>
    <x v="5"/>
    <x v="5"/>
    <n v="99999"/>
    <s v="USA"/>
    <x v="4"/>
    <x v="2"/>
    <d v="2014-07-08T00:00:00"/>
    <s v="Shipping Company B"/>
    <s v="Francisco Pérez-Olaeta"/>
    <s v="123 6th Street"/>
    <x v="5"/>
    <s v="WI"/>
    <n v="99999"/>
    <s v="USA"/>
    <s v="Credit Card"/>
    <x v="0"/>
    <x v="0"/>
    <n v="14"/>
    <n v="84"/>
    <x v="102"/>
    <n v="118.77600000000001"/>
  </r>
  <r>
    <n v="1194"/>
    <x v="77"/>
    <n v="8"/>
    <x v="3"/>
    <s v="123 8th Street"/>
    <x v="2"/>
    <x v="2"/>
    <n v="99999"/>
    <s v="USA"/>
    <x v="2"/>
    <x v="2"/>
    <d v="2014-07-10T00:00:00"/>
    <s v="Shipping Company B"/>
    <s v="Elizabeth Andersen"/>
    <s v="123 8th Street"/>
    <x v="2"/>
    <s v="OR"/>
    <n v="99999"/>
    <s v="USA"/>
    <s v="Check"/>
    <x v="9"/>
    <x v="5"/>
    <n v="40"/>
    <n v="91"/>
    <x v="157"/>
    <n v="360.36"/>
  </r>
  <r>
    <n v="1195"/>
    <x v="77"/>
    <n v="8"/>
    <x v="3"/>
    <s v="123 8th Street"/>
    <x v="2"/>
    <x v="2"/>
    <n v="99999"/>
    <s v="USA"/>
    <x v="2"/>
    <x v="2"/>
    <d v="2014-07-10T00:00:00"/>
    <s v="Shipping Company B"/>
    <s v="Elizabeth Andersen"/>
    <s v="123 8th Street"/>
    <x v="2"/>
    <s v="OR"/>
    <n v="99999"/>
    <s v="USA"/>
    <s v="Check"/>
    <x v="6"/>
    <x v="2"/>
    <n v="9.1999999999999993"/>
    <n v="36"/>
    <x v="158"/>
    <n v="34.444800000000001"/>
  </r>
  <r>
    <n v="1196"/>
    <x v="78"/>
    <n v="25"/>
    <x v="13"/>
    <s v="789 25th Street"/>
    <x v="7"/>
    <x v="7"/>
    <n v="99999"/>
    <s v="USA"/>
    <x v="6"/>
    <x v="1"/>
    <n v="41847"/>
    <s v="Shipping Company A"/>
    <s v="John Rodman"/>
    <s v="789 25th Street"/>
    <x v="7"/>
    <s v="IL"/>
    <n v="99999"/>
    <s v="USA"/>
    <s v="Cash"/>
    <x v="21"/>
    <x v="2"/>
    <n v="10"/>
    <n v="34"/>
    <x v="159"/>
    <n v="34.340000000000003"/>
  </r>
  <r>
    <n v="1197"/>
    <x v="79"/>
    <n v="26"/>
    <x v="14"/>
    <s v="789 26th Street"/>
    <x v="9"/>
    <x v="9"/>
    <n v="99999"/>
    <s v="USA"/>
    <x v="5"/>
    <x v="3"/>
    <n v="41848"/>
    <s v="Shipping Company C"/>
    <s v="Run Liu"/>
    <s v="789 26th Street"/>
    <x v="9"/>
    <s v="FL"/>
    <n v="99999"/>
    <s v="USA"/>
    <s v="Credit Card"/>
    <x v="22"/>
    <x v="13"/>
    <n v="21.35"/>
    <n v="81"/>
    <x v="160"/>
    <n v="178.12305000000003"/>
  </r>
  <r>
    <n v="1198"/>
    <x v="79"/>
    <n v="26"/>
    <x v="14"/>
    <s v="789 26th Street"/>
    <x v="9"/>
    <x v="9"/>
    <n v="99999"/>
    <s v="USA"/>
    <x v="5"/>
    <x v="3"/>
    <n v="41848"/>
    <s v="Shipping Company C"/>
    <s v="Run Liu"/>
    <s v="789 26th Street"/>
    <x v="9"/>
    <s v="FL"/>
    <n v="99999"/>
    <s v="USA"/>
    <s v="Credit Card"/>
    <x v="8"/>
    <x v="4"/>
    <n v="9.65"/>
    <n v="25"/>
    <x v="161"/>
    <n v="23.401250000000001"/>
  </r>
  <r>
    <n v="1199"/>
    <x v="79"/>
    <n v="26"/>
    <x v="14"/>
    <s v="789 26th Street"/>
    <x v="9"/>
    <x v="9"/>
    <n v="99999"/>
    <s v="USA"/>
    <x v="5"/>
    <x v="3"/>
    <n v="41848"/>
    <s v="Shipping Company C"/>
    <s v="Run Liu"/>
    <s v="789 26th Street"/>
    <x v="9"/>
    <s v="FL"/>
    <n v="99999"/>
    <s v="USA"/>
    <s v="Credit Card"/>
    <x v="13"/>
    <x v="8"/>
    <n v="18.399999999999999"/>
    <n v="12"/>
    <x v="162"/>
    <n v="22.08"/>
  </r>
  <r>
    <n v="1200"/>
    <x v="80"/>
    <n v="29"/>
    <x v="4"/>
    <s v="789 29th Street"/>
    <x v="3"/>
    <x v="3"/>
    <n v="99999"/>
    <s v="USA"/>
    <x v="3"/>
    <x v="0"/>
    <d v="2014-07-31T00:00:00"/>
    <s v="Shipping Company B"/>
    <s v="Soo Jung Lee"/>
    <s v="789 29th Street"/>
    <x v="3"/>
    <s v="CO"/>
    <n v="99999"/>
    <s v="USA"/>
    <s v="Check"/>
    <x v="0"/>
    <x v="0"/>
    <n v="14"/>
    <n v="23"/>
    <x v="163"/>
    <n v="30.912000000000003"/>
  </r>
  <r>
    <n v="1201"/>
    <x v="76"/>
    <n v="6"/>
    <x v="6"/>
    <s v="123 6th Street"/>
    <x v="5"/>
    <x v="5"/>
    <n v="99999"/>
    <s v="USA"/>
    <x v="4"/>
    <x v="2"/>
    <d v="2014-07-08T00:00:00"/>
    <s v="Shipping Company C"/>
    <s v="Francisco Pérez-Olaeta"/>
    <s v="123 6th Street"/>
    <x v="5"/>
    <s v="WI"/>
    <n v="99999"/>
    <s v="USA"/>
    <s v="Check"/>
    <x v="7"/>
    <x v="3"/>
    <n v="12.75"/>
    <n v="76"/>
    <x v="164"/>
    <n v="97.869"/>
  </r>
  <r>
    <n v="1203"/>
    <x v="81"/>
    <n v="4"/>
    <x v="1"/>
    <s v="123 4th Street"/>
    <x v="1"/>
    <x v="1"/>
    <n v="99999"/>
    <s v="USA"/>
    <x v="1"/>
    <x v="1"/>
    <d v="2014-07-06T00:00:00"/>
    <s v="Shipping Company A"/>
    <s v="Christina Lee"/>
    <s v="123 4th Street"/>
    <x v="1"/>
    <s v="NY"/>
    <n v="99999"/>
    <s v="USA"/>
    <s v="Credit Card"/>
    <x v="23"/>
    <x v="6"/>
    <n v="81"/>
    <n v="55"/>
    <x v="165"/>
    <n v="445.5"/>
  </r>
  <r>
    <n v="1204"/>
    <x v="81"/>
    <n v="4"/>
    <x v="1"/>
    <s v="123 4th Street"/>
    <x v="1"/>
    <x v="1"/>
    <n v="99999"/>
    <s v="USA"/>
    <x v="1"/>
    <x v="1"/>
    <d v="2014-07-06T00:00:00"/>
    <s v="Shipping Company A"/>
    <s v="Christina Lee"/>
    <s v="123 4th Street"/>
    <x v="1"/>
    <s v="NY"/>
    <n v="99999"/>
    <s v="USA"/>
    <s v="Credit Card"/>
    <x v="24"/>
    <x v="14"/>
    <n v="7"/>
    <n v="19"/>
    <x v="166"/>
    <n v="12.901"/>
  </r>
  <r>
    <n v="1206"/>
    <x v="77"/>
    <n v="8"/>
    <x v="3"/>
    <s v="123 8th Street"/>
    <x v="2"/>
    <x v="2"/>
    <n v="99999"/>
    <s v="USA"/>
    <x v="2"/>
    <x v="2"/>
    <d v="2014-07-10T00:00:00"/>
    <s v="Shipping Company C"/>
    <s v="Elizabeth Andersen"/>
    <s v="123 8th Street"/>
    <x v="2"/>
    <s v="OR"/>
    <n v="99999"/>
    <s v="USA"/>
    <s v="Credit Card"/>
    <x v="15"/>
    <x v="10"/>
    <n v="34.799999999999997"/>
    <n v="27"/>
    <x v="156"/>
    <n v="89.261999999999986"/>
  </r>
  <r>
    <n v="1209"/>
    <x v="82"/>
    <n v="3"/>
    <x v="5"/>
    <s v="123 3rd Street"/>
    <x v="4"/>
    <x v="4"/>
    <n v="99999"/>
    <s v="USA"/>
    <x v="0"/>
    <x v="0"/>
    <d v="2014-07-05T00:00:00"/>
    <s v="Shipping Company B"/>
    <s v="Thomas Axerr"/>
    <s v="123 3rd Street"/>
    <x v="4"/>
    <s v="CA"/>
    <n v="99999"/>
    <s v="USA"/>
    <s v="Cash"/>
    <x v="16"/>
    <x v="7"/>
    <n v="10"/>
    <n v="99"/>
    <x v="82"/>
    <n v="95.039999999999992"/>
  </r>
  <r>
    <n v="1210"/>
    <x v="82"/>
    <n v="3"/>
    <x v="5"/>
    <s v="123 3rd Street"/>
    <x v="4"/>
    <x v="4"/>
    <n v="99999"/>
    <s v="USA"/>
    <x v="0"/>
    <x v="0"/>
    <d v="2014-07-05T00:00:00"/>
    <s v="Shipping Company B"/>
    <s v="Thomas Axerr"/>
    <s v="123 3rd Street"/>
    <x v="4"/>
    <s v="CA"/>
    <n v="99999"/>
    <s v="USA"/>
    <s v="Cash"/>
    <x v="9"/>
    <x v="5"/>
    <n v="40"/>
    <n v="10"/>
    <x v="167"/>
    <n v="40"/>
  </r>
  <r>
    <n v="1214"/>
    <x v="83"/>
    <n v="10"/>
    <x v="8"/>
    <s v="123 10th Street"/>
    <x v="7"/>
    <x v="7"/>
    <n v="99999"/>
    <s v="USA"/>
    <x v="6"/>
    <x v="1"/>
    <d v="2014-07-12T00:00:00"/>
    <s v="Shipping Company B"/>
    <s v="Roland Wacker"/>
    <s v="123 10th Street"/>
    <x v="7"/>
    <s v="IL"/>
    <n v="99999"/>
    <s v="USA"/>
    <s v="Credit Card"/>
    <x v="18"/>
    <x v="1"/>
    <n v="10"/>
    <n v="80"/>
    <x v="168"/>
    <n v="77.599999999999994"/>
  </r>
  <r>
    <n v="1216"/>
    <x v="83"/>
    <n v="10"/>
    <x v="8"/>
    <s v="123 10th Street"/>
    <x v="7"/>
    <x v="7"/>
    <n v="99999"/>
    <s v="USA"/>
    <x v="6"/>
    <x v="1"/>
    <m/>
    <s v="Shipping Company A"/>
    <s v="Roland Wacker"/>
    <s v="123 10th Street"/>
    <x v="7"/>
    <s v="IL"/>
    <n v="99999"/>
    <s v="USA"/>
    <m/>
    <x v="1"/>
    <x v="1"/>
    <n v="3.5"/>
    <n v="27"/>
    <x v="169"/>
    <n v="9.072000000000001"/>
  </r>
  <r>
    <n v="1217"/>
    <x v="84"/>
    <n v="11"/>
    <x v="10"/>
    <s v="123 11th Street"/>
    <x v="9"/>
    <x v="9"/>
    <n v="99999"/>
    <s v="USA"/>
    <x v="5"/>
    <x v="3"/>
    <m/>
    <s v="Shipping Company C"/>
    <s v="Peter Krschne"/>
    <s v="123 11th Street"/>
    <x v="9"/>
    <s v="FL"/>
    <n v="99999"/>
    <s v="USA"/>
    <m/>
    <x v="9"/>
    <x v="5"/>
    <n v="40"/>
    <n v="97"/>
    <x v="170"/>
    <n v="380.24"/>
  </r>
  <r>
    <n v="1218"/>
    <x v="73"/>
    <n v="1"/>
    <x v="11"/>
    <s v="123 1st Street"/>
    <x v="10"/>
    <x v="10"/>
    <n v="99999"/>
    <s v="USA"/>
    <x v="2"/>
    <x v="2"/>
    <m/>
    <s v="Shipping Company C"/>
    <s v="Anna Bedecs"/>
    <s v="123 1st Street"/>
    <x v="10"/>
    <s v="WA"/>
    <n v="99999"/>
    <s v="USA"/>
    <m/>
    <x v="13"/>
    <x v="8"/>
    <n v="18.399999999999999"/>
    <n v="42"/>
    <x v="171"/>
    <n v="80.371200000000002"/>
  </r>
  <r>
    <n v="1219"/>
    <x v="74"/>
    <n v="28"/>
    <x v="7"/>
    <s v="789 28th Street"/>
    <x v="6"/>
    <x v="6"/>
    <n v="99999"/>
    <s v="USA"/>
    <x v="5"/>
    <x v="3"/>
    <n v="41850"/>
    <s v="Shipping Company C"/>
    <s v="Amritansh Raghav"/>
    <s v="789 28th Street"/>
    <x v="6"/>
    <s v="TN"/>
    <n v="99999"/>
    <s v="USA"/>
    <s v="Credit Card"/>
    <x v="5"/>
    <x v="0"/>
    <n v="46"/>
    <n v="24"/>
    <x v="15"/>
    <n v="105.98399999999999"/>
  </r>
  <r>
    <n v="1220"/>
    <x v="75"/>
    <n v="9"/>
    <x v="12"/>
    <s v="123 9th Street"/>
    <x v="11"/>
    <x v="11"/>
    <n v="99999"/>
    <s v="USA"/>
    <x v="7"/>
    <x v="0"/>
    <d v="2014-07-11T00:00:00"/>
    <s v="Shipping Company A"/>
    <s v="Sven Mortensen"/>
    <s v="123 9th Street"/>
    <x v="11"/>
    <s v="UT"/>
    <n v="99999"/>
    <s v="USA"/>
    <s v="Check"/>
    <x v="8"/>
    <x v="4"/>
    <n v="9.65"/>
    <n v="90"/>
    <x v="172"/>
    <n v="83.376000000000005"/>
  </r>
  <r>
    <n v="1221"/>
    <x v="76"/>
    <n v="6"/>
    <x v="6"/>
    <s v="123 6th Street"/>
    <x v="5"/>
    <x v="5"/>
    <n v="99999"/>
    <s v="USA"/>
    <x v="4"/>
    <x v="2"/>
    <d v="2014-07-08T00:00:00"/>
    <s v="Shipping Company B"/>
    <s v="Francisco Pérez-Olaeta"/>
    <s v="123 6th Street"/>
    <x v="5"/>
    <s v="WI"/>
    <n v="99999"/>
    <s v="USA"/>
    <s v="Credit Card"/>
    <x v="7"/>
    <x v="3"/>
    <n v="12.75"/>
    <n v="28"/>
    <x v="173"/>
    <n v="35.700000000000003"/>
  </r>
  <r>
    <n v="1222"/>
    <x v="85"/>
    <n v="28"/>
    <x v="7"/>
    <s v="789 28th Street"/>
    <x v="6"/>
    <x v="6"/>
    <n v="99999"/>
    <s v="USA"/>
    <x v="5"/>
    <x v="3"/>
    <d v="2014-08-30T00:00:00"/>
    <s v="Shipping Company C"/>
    <s v="Amritansh Raghav"/>
    <s v="789 28th Street"/>
    <x v="6"/>
    <s v="TN"/>
    <n v="99999"/>
    <s v="USA"/>
    <s v="Check"/>
    <x v="5"/>
    <x v="0"/>
    <n v="46"/>
    <n v="28"/>
    <x v="174"/>
    <n v="133.95200000000003"/>
  </r>
  <r>
    <n v="1223"/>
    <x v="86"/>
    <n v="8"/>
    <x v="3"/>
    <s v="123 8th Street"/>
    <x v="2"/>
    <x v="2"/>
    <n v="99999"/>
    <s v="USA"/>
    <x v="2"/>
    <x v="2"/>
    <d v="2014-08-10T00:00:00"/>
    <s v="Shipping Company C"/>
    <s v="Elizabeth Andersen"/>
    <s v="123 8th Street"/>
    <x v="2"/>
    <s v="OR"/>
    <n v="99999"/>
    <s v="USA"/>
    <s v="Check"/>
    <x v="7"/>
    <x v="3"/>
    <n v="12.75"/>
    <n v="57"/>
    <x v="175"/>
    <n v="69.768000000000001"/>
  </r>
  <r>
    <n v="1224"/>
    <x v="87"/>
    <n v="10"/>
    <x v="8"/>
    <s v="123 10th Street"/>
    <x v="7"/>
    <x v="7"/>
    <n v="99999"/>
    <s v="USA"/>
    <x v="6"/>
    <x v="1"/>
    <d v="2014-08-12T00:00:00"/>
    <s v="Shipping Company B"/>
    <s v="Roland Wacker"/>
    <s v="123 10th Street"/>
    <x v="7"/>
    <s v="IL"/>
    <n v="99999"/>
    <s v="USA"/>
    <s v="Credit Card"/>
    <x v="10"/>
    <x v="0"/>
    <n v="2.99"/>
    <n v="23"/>
    <x v="176"/>
    <n v="6.6706900000000013"/>
  </r>
  <r>
    <n v="1225"/>
    <x v="88"/>
    <n v="7"/>
    <x v="9"/>
    <s v="123 7th Street"/>
    <x v="8"/>
    <x v="8"/>
    <n v="99999"/>
    <s v="USA"/>
    <x v="2"/>
    <x v="2"/>
    <m/>
    <m/>
    <s v="Ming-Yang Xie"/>
    <s v="123 7th Street"/>
    <x v="8"/>
    <s v="ID"/>
    <n v="99999"/>
    <s v="USA"/>
    <m/>
    <x v="5"/>
    <x v="0"/>
    <n v="46"/>
    <n v="86"/>
    <x v="177"/>
    <n v="399.55600000000004"/>
  </r>
  <r>
    <n v="1226"/>
    <x v="87"/>
    <n v="10"/>
    <x v="8"/>
    <s v="123 10th Street"/>
    <x v="7"/>
    <x v="7"/>
    <n v="99999"/>
    <s v="USA"/>
    <x v="6"/>
    <x v="1"/>
    <d v="2014-08-12T00:00:00"/>
    <s v="Shipping Company A"/>
    <s v="Roland Wacker"/>
    <s v="123 10th Street"/>
    <x v="7"/>
    <s v="IL"/>
    <n v="99999"/>
    <s v="USA"/>
    <m/>
    <x v="11"/>
    <x v="6"/>
    <n v="25"/>
    <n v="47"/>
    <x v="178"/>
    <n v="116.325"/>
  </r>
  <r>
    <n v="1227"/>
    <x v="87"/>
    <n v="10"/>
    <x v="8"/>
    <s v="123 10th Street"/>
    <x v="7"/>
    <x v="7"/>
    <n v="99999"/>
    <s v="USA"/>
    <x v="6"/>
    <x v="1"/>
    <d v="2014-08-12T00:00:00"/>
    <s v="Shipping Company A"/>
    <s v="Roland Wacker"/>
    <s v="123 10th Street"/>
    <x v="7"/>
    <s v="IL"/>
    <n v="99999"/>
    <s v="USA"/>
    <m/>
    <x v="12"/>
    <x v="7"/>
    <n v="22"/>
    <n v="97"/>
    <x v="179"/>
    <n v="221.93600000000001"/>
  </r>
  <r>
    <n v="1228"/>
    <x v="87"/>
    <n v="10"/>
    <x v="8"/>
    <s v="123 10th Street"/>
    <x v="7"/>
    <x v="7"/>
    <n v="99999"/>
    <s v="USA"/>
    <x v="6"/>
    <x v="1"/>
    <d v="2014-08-12T00:00:00"/>
    <s v="Shipping Company A"/>
    <s v="Roland Wacker"/>
    <s v="123 10th Street"/>
    <x v="7"/>
    <s v="IL"/>
    <n v="99999"/>
    <s v="USA"/>
    <m/>
    <x v="6"/>
    <x v="2"/>
    <n v="9.1999999999999993"/>
    <n v="96"/>
    <x v="180"/>
    <n v="86.553599999999989"/>
  </r>
  <r>
    <n v="1229"/>
    <x v="89"/>
    <n v="11"/>
    <x v="10"/>
    <s v="123 11th Street"/>
    <x v="9"/>
    <x v="9"/>
    <n v="99999"/>
    <s v="USA"/>
    <x v="5"/>
    <x v="3"/>
    <m/>
    <s v="Shipping Company C"/>
    <s v="Peter Krschne"/>
    <s v="123 11th Street"/>
    <x v="9"/>
    <s v="FL"/>
    <n v="99999"/>
    <s v="USA"/>
    <m/>
    <x v="1"/>
    <x v="1"/>
    <n v="3.5"/>
    <n v="31"/>
    <x v="181"/>
    <n v="10.850000000000001"/>
  </r>
  <r>
    <n v="1230"/>
    <x v="89"/>
    <n v="11"/>
    <x v="10"/>
    <s v="123 11th Street"/>
    <x v="9"/>
    <x v="9"/>
    <n v="99999"/>
    <s v="USA"/>
    <x v="5"/>
    <x v="3"/>
    <m/>
    <s v="Shipping Company C"/>
    <s v="Peter Krschne"/>
    <s v="123 11th Street"/>
    <x v="9"/>
    <s v="FL"/>
    <n v="99999"/>
    <s v="USA"/>
    <m/>
    <x v="10"/>
    <x v="0"/>
    <n v="2.99"/>
    <n v="52"/>
    <x v="182"/>
    <n v="16.014440000000004"/>
  </r>
  <r>
    <n v="1231"/>
    <x v="90"/>
    <n v="1"/>
    <x v="11"/>
    <s v="123 1st Street"/>
    <x v="10"/>
    <x v="10"/>
    <n v="99999"/>
    <s v="USA"/>
    <x v="2"/>
    <x v="2"/>
    <m/>
    <m/>
    <s v="Anna Bedecs"/>
    <s v="123 1st Street"/>
    <x v="10"/>
    <s v="WA"/>
    <n v="99999"/>
    <s v="USA"/>
    <m/>
    <x v="4"/>
    <x v="0"/>
    <n v="18"/>
    <n v="91"/>
    <x v="183"/>
    <n v="158.886"/>
  </r>
  <r>
    <n v="1232"/>
    <x v="90"/>
    <n v="1"/>
    <x v="11"/>
    <s v="123 1st Street"/>
    <x v="10"/>
    <x v="10"/>
    <n v="99999"/>
    <s v="USA"/>
    <x v="2"/>
    <x v="2"/>
    <m/>
    <m/>
    <s v="Anna Bedecs"/>
    <s v="123 1st Street"/>
    <x v="10"/>
    <s v="WA"/>
    <n v="99999"/>
    <s v="USA"/>
    <m/>
    <x v="5"/>
    <x v="0"/>
    <n v="46"/>
    <n v="14"/>
    <x v="184"/>
    <n v="63.756000000000007"/>
  </r>
  <r>
    <n v="1233"/>
    <x v="90"/>
    <n v="1"/>
    <x v="11"/>
    <s v="123 1st Street"/>
    <x v="10"/>
    <x v="10"/>
    <n v="99999"/>
    <s v="USA"/>
    <x v="2"/>
    <x v="2"/>
    <m/>
    <m/>
    <s v="Anna Bedecs"/>
    <s v="123 1st Street"/>
    <x v="10"/>
    <s v="WA"/>
    <n v="99999"/>
    <s v="USA"/>
    <m/>
    <x v="10"/>
    <x v="0"/>
    <n v="2.99"/>
    <n v="44"/>
    <x v="185"/>
    <n v="13.287560000000001"/>
  </r>
  <r>
    <n v="1234"/>
    <x v="85"/>
    <n v="28"/>
    <x v="7"/>
    <s v="789 28th Street"/>
    <x v="6"/>
    <x v="6"/>
    <n v="99999"/>
    <s v="USA"/>
    <x v="5"/>
    <x v="3"/>
    <d v="2014-08-30T00:00:00"/>
    <s v="Shipping Company C"/>
    <s v="Amritansh Raghav"/>
    <s v="789 28th Street"/>
    <x v="6"/>
    <s v="TN"/>
    <n v="99999"/>
    <s v="USA"/>
    <s v="Credit Card"/>
    <x v="8"/>
    <x v="4"/>
    <n v="9.65"/>
    <n v="97"/>
    <x v="53"/>
    <n v="95.477100000000021"/>
  </r>
  <r>
    <n v="1235"/>
    <x v="85"/>
    <n v="28"/>
    <x v="7"/>
    <s v="789 28th Street"/>
    <x v="6"/>
    <x v="6"/>
    <n v="99999"/>
    <s v="USA"/>
    <x v="5"/>
    <x v="3"/>
    <d v="2014-08-30T00:00:00"/>
    <s v="Shipping Company C"/>
    <s v="Amritansh Raghav"/>
    <s v="789 28th Street"/>
    <x v="6"/>
    <s v="TN"/>
    <n v="99999"/>
    <s v="USA"/>
    <s v="Credit Card"/>
    <x v="13"/>
    <x v="8"/>
    <n v="18.399999999999999"/>
    <n v="80"/>
    <x v="36"/>
    <n v="150.14400000000003"/>
  </r>
  <r>
    <n v="1236"/>
    <x v="91"/>
    <n v="9"/>
    <x v="12"/>
    <s v="123 9th Street"/>
    <x v="11"/>
    <x v="11"/>
    <n v="99999"/>
    <s v="USA"/>
    <x v="7"/>
    <x v="0"/>
    <d v="2014-08-11T00:00:00"/>
    <s v="Shipping Company A"/>
    <s v="Sven Mortensen"/>
    <s v="123 9th Street"/>
    <x v="11"/>
    <s v="UT"/>
    <n v="99999"/>
    <s v="USA"/>
    <s v="Check"/>
    <x v="14"/>
    <x v="9"/>
    <n v="19.5"/>
    <n v="66"/>
    <x v="186"/>
    <n v="132.56100000000001"/>
  </r>
  <r>
    <n v="1237"/>
    <x v="91"/>
    <n v="9"/>
    <x v="12"/>
    <s v="123 9th Street"/>
    <x v="11"/>
    <x v="11"/>
    <n v="99999"/>
    <s v="USA"/>
    <x v="7"/>
    <x v="0"/>
    <d v="2014-08-11T00:00:00"/>
    <s v="Shipping Company A"/>
    <s v="Sven Mortensen"/>
    <s v="123 9th Street"/>
    <x v="11"/>
    <s v="UT"/>
    <n v="99999"/>
    <s v="USA"/>
    <s v="Check"/>
    <x v="15"/>
    <x v="10"/>
    <n v="34.799999999999997"/>
    <n v="32"/>
    <x v="187"/>
    <n v="111.36"/>
  </r>
  <r>
    <n v="1238"/>
    <x v="92"/>
    <n v="6"/>
    <x v="6"/>
    <s v="123 6th Street"/>
    <x v="5"/>
    <x v="5"/>
    <n v="99999"/>
    <s v="USA"/>
    <x v="4"/>
    <x v="2"/>
    <d v="2014-08-08T00:00:00"/>
    <s v="Shipping Company B"/>
    <s v="Francisco Pérez-Olaeta"/>
    <s v="123 6th Street"/>
    <x v="5"/>
    <s v="WI"/>
    <n v="99999"/>
    <s v="USA"/>
    <s v="Credit Card"/>
    <x v="0"/>
    <x v="0"/>
    <n v="14"/>
    <n v="52"/>
    <x v="188"/>
    <n v="72.8"/>
  </r>
  <r>
    <n v="1239"/>
    <x v="86"/>
    <n v="8"/>
    <x v="3"/>
    <s v="123 8th Street"/>
    <x v="2"/>
    <x v="2"/>
    <n v="99999"/>
    <s v="USA"/>
    <x v="2"/>
    <x v="2"/>
    <d v="2014-08-10T00:00:00"/>
    <s v="Shipping Company B"/>
    <s v="Elizabeth Andersen"/>
    <s v="123 8th Street"/>
    <x v="2"/>
    <s v="OR"/>
    <n v="99999"/>
    <s v="USA"/>
    <s v="Check"/>
    <x v="9"/>
    <x v="5"/>
    <n v="40"/>
    <n v="78"/>
    <x v="189"/>
    <n v="318.24"/>
  </r>
  <r>
    <n v="1240"/>
    <x v="86"/>
    <n v="8"/>
    <x v="3"/>
    <s v="123 8th Street"/>
    <x v="2"/>
    <x v="2"/>
    <n v="99999"/>
    <s v="USA"/>
    <x v="2"/>
    <x v="2"/>
    <d v="2014-08-10T00:00:00"/>
    <s v="Shipping Company B"/>
    <s v="Elizabeth Andersen"/>
    <s v="123 8th Street"/>
    <x v="2"/>
    <s v="OR"/>
    <n v="99999"/>
    <s v="USA"/>
    <s v="Check"/>
    <x v="6"/>
    <x v="2"/>
    <n v="9.1999999999999993"/>
    <n v="54"/>
    <x v="190"/>
    <n v="49.183199999999999"/>
  </r>
  <r>
    <n v="1241"/>
    <x v="93"/>
    <n v="25"/>
    <x v="13"/>
    <s v="789 25th Street"/>
    <x v="7"/>
    <x v="7"/>
    <n v="99999"/>
    <s v="USA"/>
    <x v="6"/>
    <x v="1"/>
    <d v="2014-08-27T00:00:00"/>
    <s v="Shipping Company A"/>
    <s v="John Rodman"/>
    <s v="789 25th Street"/>
    <x v="7"/>
    <s v="IL"/>
    <n v="99999"/>
    <s v="USA"/>
    <s v="Cash"/>
    <x v="21"/>
    <x v="2"/>
    <n v="10"/>
    <n v="55"/>
    <x v="62"/>
    <n v="52.25"/>
  </r>
  <r>
    <n v="1242"/>
    <x v="94"/>
    <n v="26"/>
    <x v="14"/>
    <s v="789 26th Street"/>
    <x v="9"/>
    <x v="9"/>
    <n v="99999"/>
    <s v="USA"/>
    <x v="5"/>
    <x v="3"/>
    <d v="2014-08-28T00:00:00"/>
    <s v="Shipping Company C"/>
    <s v="Run Liu"/>
    <s v="789 26th Street"/>
    <x v="9"/>
    <s v="FL"/>
    <n v="99999"/>
    <s v="USA"/>
    <s v="Credit Card"/>
    <x v="22"/>
    <x v="13"/>
    <n v="21.35"/>
    <n v="60"/>
    <x v="191"/>
    <n v="129.381"/>
  </r>
  <r>
    <n v="1243"/>
    <x v="94"/>
    <n v="26"/>
    <x v="14"/>
    <s v="789 26th Street"/>
    <x v="9"/>
    <x v="9"/>
    <n v="99999"/>
    <s v="USA"/>
    <x v="5"/>
    <x v="3"/>
    <d v="2014-08-28T00:00:00"/>
    <s v="Shipping Company C"/>
    <s v="Run Liu"/>
    <s v="789 26th Street"/>
    <x v="9"/>
    <s v="FL"/>
    <n v="99999"/>
    <s v="USA"/>
    <s v="Credit Card"/>
    <x v="8"/>
    <x v="4"/>
    <n v="9.65"/>
    <n v="19"/>
    <x v="192"/>
    <n v="17.41825"/>
  </r>
  <r>
    <n v="1244"/>
    <x v="94"/>
    <n v="26"/>
    <x v="14"/>
    <s v="789 26th Street"/>
    <x v="9"/>
    <x v="9"/>
    <n v="99999"/>
    <s v="USA"/>
    <x v="5"/>
    <x v="3"/>
    <d v="2014-08-28T00:00:00"/>
    <s v="Shipping Company C"/>
    <s v="Run Liu"/>
    <s v="789 26th Street"/>
    <x v="9"/>
    <s v="FL"/>
    <n v="99999"/>
    <s v="USA"/>
    <s v="Credit Card"/>
    <x v="13"/>
    <x v="8"/>
    <n v="18.399999999999999"/>
    <n v="66"/>
    <x v="193"/>
    <n v="125.08320000000001"/>
  </r>
  <r>
    <n v="1245"/>
    <x v="95"/>
    <n v="29"/>
    <x v="4"/>
    <s v="789 29th Street"/>
    <x v="3"/>
    <x v="3"/>
    <n v="99999"/>
    <s v="USA"/>
    <x v="3"/>
    <x v="0"/>
    <d v="2014-08-31T00:00:00"/>
    <s v="Shipping Company B"/>
    <s v="Soo Jung Lee"/>
    <s v="789 29th Street"/>
    <x v="3"/>
    <s v="CO"/>
    <n v="99999"/>
    <s v="USA"/>
    <s v="Check"/>
    <x v="0"/>
    <x v="0"/>
    <n v="14"/>
    <n v="42"/>
    <x v="194"/>
    <n v="59.388000000000005"/>
  </r>
  <r>
    <n v="1246"/>
    <x v="92"/>
    <n v="6"/>
    <x v="6"/>
    <s v="123 6th Street"/>
    <x v="5"/>
    <x v="5"/>
    <n v="99999"/>
    <s v="USA"/>
    <x v="4"/>
    <x v="2"/>
    <n v="41859"/>
    <s v="Shipping Company C"/>
    <s v="Francisco Pérez-Olaeta"/>
    <s v="123 6th Street"/>
    <x v="5"/>
    <s v="WI"/>
    <n v="99999"/>
    <s v="USA"/>
    <s v="Check"/>
    <x v="7"/>
    <x v="3"/>
    <n v="12.75"/>
    <n v="72"/>
    <x v="195"/>
    <n v="89.046000000000006"/>
  </r>
  <r>
    <n v="1248"/>
    <x v="96"/>
    <n v="4"/>
    <x v="1"/>
    <s v="123 4th Street"/>
    <x v="1"/>
    <x v="1"/>
    <n v="99999"/>
    <s v="USA"/>
    <x v="1"/>
    <x v="1"/>
    <n v="41857"/>
    <s v="Shipping Company A"/>
    <s v="Christina Lee"/>
    <s v="123 4th Street"/>
    <x v="1"/>
    <s v="NY"/>
    <n v="99999"/>
    <s v="USA"/>
    <s v="Credit Card"/>
    <x v="23"/>
    <x v="6"/>
    <n v="81"/>
    <n v="32"/>
    <x v="196"/>
    <n v="251.42399999999998"/>
  </r>
  <r>
    <n v="1249"/>
    <x v="96"/>
    <n v="4"/>
    <x v="1"/>
    <s v="123 4th Street"/>
    <x v="1"/>
    <x v="1"/>
    <n v="99999"/>
    <s v="USA"/>
    <x v="1"/>
    <x v="1"/>
    <n v="41857"/>
    <s v="Shipping Company A"/>
    <s v="Christina Lee"/>
    <s v="123 4th Street"/>
    <x v="1"/>
    <s v="NY"/>
    <n v="99999"/>
    <s v="USA"/>
    <s v="Credit Card"/>
    <x v="24"/>
    <x v="14"/>
    <n v="7"/>
    <n v="76"/>
    <x v="197"/>
    <n v="53.732000000000006"/>
  </r>
  <r>
    <n v="1250"/>
    <x v="97"/>
    <n v="10"/>
    <x v="8"/>
    <s v="123 10th Street"/>
    <x v="7"/>
    <x v="7"/>
    <n v="99999"/>
    <s v="USA"/>
    <x v="6"/>
    <x v="1"/>
    <n v="41894"/>
    <s v="Shipping Company A"/>
    <s v="Roland Wacker"/>
    <s v="123 10th Street"/>
    <x v="7"/>
    <s v="IL"/>
    <n v="99999"/>
    <s v="USA"/>
    <m/>
    <x v="6"/>
    <x v="2"/>
    <n v="9.1999999999999993"/>
    <n v="83"/>
    <x v="198"/>
    <n v="74.832799999999992"/>
  </r>
  <r>
    <n v="1251"/>
    <x v="98"/>
    <n v="11"/>
    <x v="10"/>
    <s v="123 11th Street"/>
    <x v="9"/>
    <x v="9"/>
    <n v="99999"/>
    <s v="USA"/>
    <x v="5"/>
    <x v="3"/>
    <m/>
    <s v="Shipping Company C"/>
    <s v="Peter Krschne"/>
    <s v="123 11th Street"/>
    <x v="9"/>
    <s v="FL"/>
    <n v="99999"/>
    <s v="USA"/>
    <m/>
    <x v="1"/>
    <x v="1"/>
    <n v="3.5"/>
    <n v="91"/>
    <x v="199"/>
    <n v="31.213000000000001"/>
  </r>
  <r>
    <n v="1252"/>
    <x v="98"/>
    <n v="11"/>
    <x v="10"/>
    <s v="123 11th Street"/>
    <x v="9"/>
    <x v="9"/>
    <n v="99999"/>
    <s v="USA"/>
    <x v="5"/>
    <x v="3"/>
    <m/>
    <s v="Shipping Company C"/>
    <s v="Peter Krschne"/>
    <s v="123 11th Street"/>
    <x v="9"/>
    <s v="FL"/>
    <n v="99999"/>
    <s v="USA"/>
    <m/>
    <x v="10"/>
    <x v="0"/>
    <n v="2.99"/>
    <n v="64"/>
    <x v="200"/>
    <n v="19.518720000000002"/>
  </r>
  <r>
    <n v="1253"/>
    <x v="99"/>
    <n v="1"/>
    <x v="11"/>
    <s v="123 1st Street"/>
    <x v="10"/>
    <x v="10"/>
    <n v="99999"/>
    <s v="USA"/>
    <x v="2"/>
    <x v="2"/>
    <m/>
    <m/>
    <s v="Anna Bedecs"/>
    <s v="123 1st Street"/>
    <x v="10"/>
    <s v="WA"/>
    <n v="99999"/>
    <s v="USA"/>
    <m/>
    <x v="4"/>
    <x v="0"/>
    <n v="18"/>
    <n v="58"/>
    <x v="137"/>
    <n v="103.35600000000001"/>
  </r>
  <r>
    <n v="1254"/>
    <x v="99"/>
    <n v="1"/>
    <x v="11"/>
    <s v="123 1st Street"/>
    <x v="10"/>
    <x v="10"/>
    <n v="99999"/>
    <s v="USA"/>
    <x v="2"/>
    <x v="2"/>
    <m/>
    <m/>
    <s v="Anna Bedecs"/>
    <s v="123 1st Street"/>
    <x v="10"/>
    <s v="WA"/>
    <n v="99999"/>
    <s v="USA"/>
    <m/>
    <x v="5"/>
    <x v="0"/>
    <n v="46"/>
    <n v="97"/>
    <x v="201"/>
    <n v="464.04800000000006"/>
  </r>
  <r>
    <n v="1255"/>
    <x v="99"/>
    <n v="1"/>
    <x v="11"/>
    <s v="123 1st Street"/>
    <x v="10"/>
    <x v="10"/>
    <n v="99999"/>
    <s v="USA"/>
    <x v="2"/>
    <x v="2"/>
    <m/>
    <m/>
    <s v="Anna Bedecs"/>
    <s v="123 1st Street"/>
    <x v="10"/>
    <s v="WA"/>
    <n v="99999"/>
    <s v="USA"/>
    <m/>
    <x v="10"/>
    <x v="0"/>
    <n v="2.99"/>
    <n v="14"/>
    <x v="202"/>
    <n v="4.35344"/>
  </r>
  <r>
    <n v="1256"/>
    <x v="100"/>
    <n v="28"/>
    <x v="7"/>
    <s v="789 28th Street"/>
    <x v="6"/>
    <x v="6"/>
    <n v="99999"/>
    <s v="USA"/>
    <x v="5"/>
    <x v="3"/>
    <d v="2014-09-30T00:00:00"/>
    <s v="Shipping Company C"/>
    <s v="Amritansh Raghav"/>
    <s v="789 28th Street"/>
    <x v="6"/>
    <s v="TN"/>
    <n v="99999"/>
    <s v="USA"/>
    <s v="Credit Card"/>
    <x v="8"/>
    <x v="4"/>
    <n v="9.65"/>
    <n v="68"/>
    <x v="203"/>
    <n v="64.307600000000008"/>
  </r>
  <r>
    <n v="1257"/>
    <x v="100"/>
    <n v="28"/>
    <x v="7"/>
    <s v="789 28th Street"/>
    <x v="6"/>
    <x v="6"/>
    <n v="99999"/>
    <s v="USA"/>
    <x v="5"/>
    <x v="3"/>
    <n v="41912"/>
    <s v="Shipping Company C"/>
    <s v="Amritansh Raghav"/>
    <s v="789 28th Street"/>
    <x v="6"/>
    <s v="TN"/>
    <n v="99999"/>
    <s v="USA"/>
    <s v="Credit Card"/>
    <x v="13"/>
    <x v="8"/>
    <n v="18.399999999999999"/>
    <n v="32"/>
    <x v="204"/>
    <n v="58.879999999999995"/>
  </r>
  <r>
    <n v="1258"/>
    <x v="101"/>
    <n v="9"/>
    <x v="12"/>
    <s v="123 9th Street"/>
    <x v="11"/>
    <x v="11"/>
    <n v="99999"/>
    <s v="USA"/>
    <x v="7"/>
    <x v="0"/>
    <d v="2014-09-11T00:00:00"/>
    <s v="Shipping Company A"/>
    <s v="Sven Mortensen"/>
    <s v="123 9th Street"/>
    <x v="11"/>
    <s v="UT"/>
    <n v="99999"/>
    <s v="USA"/>
    <s v="Check"/>
    <x v="14"/>
    <x v="9"/>
    <n v="19.5"/>
    <n v="48"/>
    <x v="205"/>
    <n v="94.536000000000016"/>
  </r>
  <r>
    <n v="1259"/>
    <x v="101"/>
    <n v="9"/>
    <x v="12"/>
    <s v="123 9th Street"/>
    <x v="11"/>
    <x v="11"/>
    <n v="99999"/>
    <s v="USA"/>
    <x v="7"/>
    <x v="0"/>
    <d v="2014-09-11T00:00:00"/>
    <s v="Shipping Company A"/>
    <s v="Sven Mortensen"/>
    <s v="123 9th Street"/>
    <x v="11"/>
    <s v="UT"/>
    <n v="99999"/>
    <s v="USA"/>
    <s v="Check"/>
    <x v="15"/>
    <x v="10"/>
    <n v="34.799999999999997"/>
    <n v="57"/>
    <x v="206"/>
    <n v="194.39280000000002"/>
  </r>
  <r>
    <n v="1260"/>
    <x v="102"/>
    <n v="6"/>
    <x v="6"/>
    <s v="123 6th Street"/>
    <x v="5"/>
    <x v="5"/>
    <n v="99999"/>
    <s v="USA"/>
    <x v="4"/>
    <x v="2"/>
    <d v="2014-09-08T00:00:00"/>
    <s v="Shipping Company B"/>
    <s v="Francisco Pérez-Olaeta"/>
    <s v="123 6th Street"/>
    <x v="5"/>
    <s v="WI"/>
    <n v="99999"/>
    <s v="USA"/>
    <s v="Credit Card"/>
    <x v="0"/>
    <x v="0"/>
    <n v="14"/>
    <n v="67"/>
    <x v="207"/>
    <n v="98.490000000000009"/>
  </r>
  <r>
    <n v="1261"/>
    <x v="103"/>
    <n v="8"/>
    <x v="3"/>
    <s v="123 8th Street"/>
    <x v="2"/>
    <x v="2"/>
    <n v="99999"/>
    <s v="USA"/>
    <x v="2"/>
    <x v="2"/>
    <n v="41892"/>
    <s v="Shipping Company B"/>
    <s v="Elizabeth Andersen"/>
    <s v="123 8th Street"/>
    <x v="2"/>
    <s v="OR"/>
    <n v="99999"/>
    <s v="USA"/>
    <s v="Check"/>
    <x v="9"/>
    <x v="5"/>
    <n v="40"/>
    <n v="48"/>
    <x v="208"/>
    <n v="188.16"/>
  </r>
  <r>
    <n v="1262"/>
    <x v="103"/>
    <n v="8"/>
    <x v="3"/>
    <s v="123 8th Street"/>
    <x v="2"/>
    <x v="2"/>
    <n v="99999"/>
    <s v="USA"/>
    <x v="2"/>
    <x v="2"/>
    <n v="41892"/>
    <s v="Shipping Company B"/>
    <s v="Elizabeth Andersen"/>
    <s v="123 8th Street"/>
    <x v="2"/>
    <s v="OR"/>
    <n v="99999"/>
    <s v="USA"/>
    <s v="Check"/>
    <x v="6"/>
    <x v="2"/>
    <n v="9.1999999999999993"/>
    <n v="77"/>
    <x v="209"/>
    <n v="72.256799999999998"/>
  </r>
  <r>
    <n v="1263"/>
    <x v="104"/>
    <n v="25"/>
    <x v="13"/>
    <s v="789 25th Street"/>
    <x v="7"/>
    <x v="7"/>
    <n v="99999"/>
    <s v="USA"/>
    <x v="6"/>
    <x v="1"/>
    <n v="41909"/>
    <s v="Shipping Company A"/>
    <s v="John Rodman"/>
    <s v="789 25th Street"/>
    <x v="7"/>
    <s v="IL"/>
    <n v="99999"/>
    <s v="USA"/>
    <s v="Cash"/>
    <x v="21"/>
    <x v="2"/>
    <n v="10"/>
    <n v="94"/>
    <x v="210"/>
    <n v="97.76"/>
  </r>
  <r>
    <n v="1264"/>
    <x v="105"/>
    <n v="26"/>
    <x v="14"/>
    <s v="789 26th Street"/>
    <x v="9"/>
    <x v="9"/>
    <n v="99999"/>
    <s v="USA"/>
    <x v="5"/>
    <x v="3"/>
    <n v="41910"/>
    <s v="Shipping Company C"/>
    <s v="Run Liu"/>
    <s v="789 26th Street"/>
    <x v="9"/>
    <s v="FL"/>
    <n v="99999"/>
    <s v="USA"/>
    <s v="Credit Card"/>
    <x v="22"/>
    <x v="13"/>
    <n v="21.35"/>
    <n v="54"/>
    <x v="211"/>
    <n v="121.05450000000003"/>
  </r>
  <r>
    <n v="1265"/>
    <x v="105"/>
    <n v="26"/>
    <x v="14"/>
    <s v="789 26th Street"/>
    <x v="9"/>
    <x v="9"/>
    <n v="99999"/>
    <s v="USA"/>
    <x v="5"/>
    <x v="3"/>
    <n v="41910"/>
    <s v="Shipping Company C"/>
    <s v="Run Liu"/>
    <s v="789 26th Street"/>
    <x v="9"/>
    <s v="FL"/>
    <n v="99999"/>
    <s v="USA"/>
    <s v="Credit Card"/>
    <x v="8"/>
    <x v="4"/>
    <n v="9.65"/>
    <n v="43"/>
    <x v="84"/>
    <n v="40.250150000000005"/>
  </r>
  <r>
    <n v="1266"/>
    <x v="105"/>
    <n v="26"/>
    <x v="14"/>
    <s v="789 26th Street"/>
    <x v="9"/>
    <x v="9"/>
    <n v="99999"/>
    <s v="USA"/>
    <x v="5"/>
    <x v="3"/>
    <d v="2014-09-28T00:00:00"/>
    <s v="Shipping Company C"/>
    <s v="Run Liu"/>
    <s v="789 26th Street"/>
    <x v="9"/>
    <s v="FL"/>
    <n v="99999"/>
    <s v="USA"/>
    <s v="Credit Card"/>
    <x v="13"/>
    <x v="8"/>
    <n v="18.399999999999999"/>
    <n v="71"/>
    <x v="143"/>
    <n v="134.55919999999998"/>
  </r>
  <r>
    <n v="1267"/>
    <x v="106"/>
    <n v="29"/>
    <x v="4"/>
    <s v="789 29th Street"/>
    <x v="3"/>
    <x v="3"/>
    <n v="99999"/>
    <s v="USA"/>
    <x v="3"/>
    <x v="0"/>
    <d v="2014-10-01T00:00:00"/>
    <s v="Shipping Company B"/>
    <s v="Soo Jung Lee"/>
    <s v="789 29th Street"/>
    <x v="3"/>
    <s v="CO"/>
    <n v="99999"/>
    <s v="USA"/>
    <s v="Check"/>
    <x v="0"/>
    <x v="0"/>
    <n v="14"/>
    <n v="50"/>
    <x v="212"/>
    <n v="67.2"/>
  </r>
  <r>
    <n v="1268"/>
    <x v="102"/>
    <n v="6"/>
    <x v="6"/>
    <s v="123 6th Street"/>
    <x v="5"/>
    <x v="5"/>
    <n v="99999"/>
    <s v="USA"/>
    <x v="4"/>
    <x v="2"/>
    <d v="2014-09-08T00:00:00"/>
    <s v="Shipping Company C"/>
    <s v="Francisco Pérez-Olaeta"/>
    <s v="123 6th Street"/>
    <x v="5"/>
    <s v="WI"/>
    <n v="99999"/>
    <s v="USA"/>
    <s v="Check"/>
    <x v="7"/>
    <x v="3"/>
    <n v="12.75"/>
    <n v="96"/>
    <x v="146"/>
    <n v="119.952"/>
  </r>
  <r>
    <n v="1270"/>
    <x v="107"/>
    <n v="4"/>
    <x v="1"/>
    <s v="123 4th Street"/>
    <x v="1"/>
    <x v="1"/>
    <n v="99999"/>
    <s v="USA"/>
    <x v="1"/>
    <x v="1"/>
    <d v="2014-09-06T00:00:00"/>
    <s v="Shipping Company A"/>
    <s v="Christina Lee"/>
    <s v="123 4th Street"/>
    <x v="1"/>
    <s v="NY"/>
    <n v="99999"/>
    <s v="USA"/>
    <s v="Credit Card"/>
    <x v="23"/>
    <x v="6"/>
    <n v="81"/>
    <n v="54"/>
    <x v="213"/>
    <n v="437.40000000000003"/>
  </r>
  <r>
    <n v="1271"/>
    <x v="107"/>
    <n v="4"/>
    <x v="1"/>
    <s v="123 4th Street"/>
    <x v="1"/>
    <x v="1"/>
    <n v="99999"/>
    <s v="USA"/>
    <x v="1"/>
    <x v="1"/>
    <d v="2014-09-06T00:00:00"/>
    <s v="Shipping Company A"/>
    <s v="Christina Lee"/>
    <s v="123 4th Street"/>
    <x v="1"/>
    <s v="NY"/>
    <n v="99999"/>
    <s v="USA"/>
    <s v="Credit Card"/>
    <x v="24"/>
    <x v="14"/>
    <n v="7"/>
    <n v="39"/>
    <x v="214"/>
    <n v="27.3"/>
  </r>
  <r>
    <n v="1273"/>
    <x v="103"/>
    <n v="8"/>
    <x v="3"/>
    <s v="123 8th Street"/>
    <x v="2"/>
    <x v="2"/>
    <n v="99999"/>
    <s v="USA"/>
    <x v="2"/>
    <x v="2"/>
    <d v="2014-09-10T00:00:00"/>
    <s v="Shipping Company C"/>
    <s v="Elizabeth Andersen"/>
    <s v="123 8th Street"/>
    <x v="2"/>
    <s v="OR"/>
    <n v="99999"/>
    <s v="USA"/>
    <s v="Credit Card"/>
    <x v="15"/>
    <x v="10"/>
    <n v="34.799999999999997"/>
    <n v="63"/>
    <x v="59"/>
    <n v="230.202"/>
  </r>
  <r>
    <n v="1276"/>
    <x v="108"/>
    <n v="3"/>
    <x v="5"/>
    <s v="123 3rd Street"/>
    <x v="4"/>
    <x v="4"/>
    <n v="99999"/>
    <s v="USA"/>
    <x v="0"/>
    <x v="0"/>
    <d v="2014-09-05T00:00:00"/>
    <s v="Shipping Company B"/>
    <s v="Thomas Axerr"/>
    <s v="123 3rd Street"/>
    <x v="4"/>
    <s v="CA"/>
    <n v="99999"/>
    <s v="USA"/>
    <s v="Cash"/>
    <x v="16"/>
    <x v="7"/>
    <n v="10"/>
    <n v="71"/>
    <x v="215"/>
    <n v="73.13"/>
  </r>
  <r>
    <n v="1277"/>
    <x v="108"/>
    <n v="3"/>
    <x v="5"/>
    <s v="123 3rd Street"/>
    <x v="4"/>
    <x v="4"/>
    <n v="99999"/>
    <s v="USA"/>
    <x v="0"/>
    <x v="0"/>
    <d v="2014-09-05T00:00:00"/>
    <s v="Shipping Company B"/>
    <s v="Thomas Axerr"/>
    <s v="123 3rd Street"/>
    <x v="4"/>
    <s v="CA"/>
    <n v="99999"/>
    <s v="USA"/>
    <s v="Cash"/>
    <x v="9"/>
    <x v="5"/>
    <n v="40"/>
    <n v="88"/>
    <x v="216"/>
    <n v="366.08000000000004"/>
  </r>
  <r>
    <n v="1281"/>
    <x v="97"/>
    <n v="10"/>
    <x v="8"/>
    <s v="123 10th Street"/>
    <x v="7"/>
    <x v="7"/>
    <n v="99999"/>
    <s v="USA"/>
    <x v="6"/>
    <x v="1"/>
    <d v="2014-09-12T00:00:00"/>
    <s v="Shipping Company B"/>
    <s v="Roland Wacker"/>
    <s v="123 10th Street"/>
    <x v="7"/>
    <s v="IL"/>
    <n v="99999"/>
    <s v="USA"/>
    <s v="Credit Card"/>
    <x v="18"/>
    <x v="1"/>
    <n v="10"/>
    <n v="59"/>
    <x v="217"/>
    <n v="59.59"/>
  </r>
  <r>
    <n v="1282"/>
    <x v="109"/>
    <n v="6"/>
    <x v="6"/>
    <s v="123 6th Street"/>
    <x v="5"/>
    <x v="5"/>
    <n v="99999"/>
    <s v="USA"/>
    <x v="4"/>
    <x v="2"/>
    <d v="2014-10-08T00:00:00"/>
    <s v="Shipping Company B"/>
    <s v="Francisco Pérez-Olaeta"/>
    <s v="123 6th Street"/>
    <x v="5"/>
    <s v="WI"/>
    <n v="99999"/>
    <s v="USA"/>
    <s v="Credit Card"/>
    <x v="9"/>
    <x v="5"/>
    <n v="40"/>
    <n v="94"/>
    <x v="218"/>
    <n v="376"/>
  </r>
  <r>
    <n v="1283"/>
    <x v="110"/>
    <n v="28"/>
    <x v="7"/>
    <s v="789 28th Street"/>
    <x v="6"/>
    <x v="6"/>
    <n v="99999"/>
    <s v="USA"/>
    <x v="5"/>
    <x v="3"/>
    <d v="2014-10-30T00:00:00"/>
    <s v="Shipping Company C"/>
    <s v="Amritansh Raghav"/>
    <s v="789 28th Street"/>
    <x v="6"/>
    <s v="TN"/>
    <n v="99999"/>
    <s v="USA"/>
    <s v="Check"/>
    <x v="5"/>
    <x v="0"/>
    <n v="46"/>
    <n v="86"/>
    <x v="177"/>
    <n v="379.77600000000001"/>
  </r>
  <r>
    <n v="1284"/>
    <x v="111"/>
    <n v="8"/>
    <x v="3"/>
    <s v="123 8th Street"/>
    <x v="2"/>
    <x v="2"/>
    <n v="99999"/>
    <s v="USA"/>
    <x v="2"/>
    <x v="2"/>
    <d v="2014-10-10T00:00:00"/>
    <s v="Shipping Company C"/>
    <s v="Elizabeth Andersen"/>
    <s v="123 8th Street"/>
    <x v="2"/>
    <s v="OR"/>
    <n v="99999"/>
    <s v="USA"/>
    <s v="Check"/>
    <x v="7"/>
    <x v="3"/>
    <n v="12.75"/>
    <n v="61"/>
    <x v="219"/>
    <n v="78.552750000000003"/>
  </r>
  <r>
    <n v="1285"/>
    <x v="112"/>
    <n v="10"/>
    <x v="8"/>
    <s v="123 10th Street"/>
    <x v="7"/>
    <x v="7"/>
    <n v="99999"/>
    <s v="USA"/>
    <x v="6"/>
    <x v="1"/>
    <d v="2014-10-12T00:00:00"/>
    <s v="Shipping Company B"/>
    <s v="Roland Wacker"/>
    <s v="123 10th Street"/>
    <x v="7"/>
    <s v="IL"/>
    <n v="99999"/>
    <s v="USA"/>
    <s v="Credit Card"/>
    <x v="10"/>
    <x v="0"/>
    <n v="2.99"/>
    <n v="32"/>
    <x v="220"/>
    <n v="9.7593600000000009"/>
  </r>
  <r>
    <n v="1286"/>
    <x v="113"/>
    <n v="7"/>
    <x v="9"/>
    <s v="123 7th Street"/>
    <x v="8"/>
    <x v="8"/>
    <n v="99999"/>
    <s v="USA"/>
    <x v="2"/>
    <x v="2"/>
    <m/>
    <m/>
    <s v="Ming-Yang Xie"/>
    <s v="123 7th Street"/>
    <x v="8"/>
    <s v="ID"/>
    <n v="99999"/>
    <s v="USA"/>
    <m/>
    <x v="5"/>
    <x v="0"/>
    <n v="46"/>
    <n v="62"/>
    <x v="221"/>
    <n v="290.904"/>
  </r>
  <r>
    <n v="1287"/>
    <x v="112"/>
    <n v="10"/>
    <x v="8"/>
    <s v="123 10th Street"/>
    <x v="7"/>
    <x v="7"/>
    <n v="99999"/>
    <s v="USA"/>
    <x v="6"/>
    <x v="1"/>
    <d v="2014-10-12T00:00:00"/>
    <s v="Shipping Company A"/>
    <s v="Roland Wacker"/>
    <s v="123 10th Street"/>
    <x v="7"/>
    <s v="IL"/>
    <n v="99999"/>
    <s v="USA"/>
    <m/>
    <x v="11"/>
    <x v="6"/>
    <n v="25"/>
    <n v="60"/>
    <x v="222"/>
    <n v="154.5"/>
  </r>
  <r>
    <n v="1288"/>
    <x v="112"/>
    <n v="10"/>
    <x v="8"/>
    <s v="123 10th Street"/>
    <x v="7"/>
    <x v="7"/>
    <n v="99999"/>
    <s v="USA"/>
    <x v="6"/>
    <x v="1"/>
    <d v="2014-10-12T00:00:00"/>
    <s v="Shipping Company A"/>
    <s v="Roland Wacker"/>
    <s v="123 10th Street"/>
    <x v="7"/>
    <s v="IL"/>
    <n v="99999"/>
    <s v="USA"/>
    <m/>
    <x v="12"/>
    <x v="7"/>
    <n v="22"/>
    <n v="51"/>
    <x v="223"/>
    <n v="109.956"/>
  </r>
  <r>
    <n v="1289"/>
    <x v="112"/>
    <n v="10"/>
    <x v="8"/>
    <s v="123 10th Street"/>
    <x v="7"/>
    <x v="7"/>
    <n v="99999"/>
    <s v="USA"/>
    <x v="6"/>
    <x v="1"/>
    <d v="2014-10-12T00:00:00"/>
    <s v="Shipping Company A"/>
    <s v="Roland Wacker"/>
    <s v="123 10th Street"/>
    <x v="7"/>
    <s v="IL"/>
    <n v="99999"/>
    <s v="USA"/>
    <m/>
    <x v="6"/>
    <x v="2"/>
    <n v="9.1999999999999993"/>
    <n v="49"/>
    <x v="224"/>
    <n v="44.629199999999997"/>
  </r>
  <r>
    <n v="1290"/>
    <x v="114"/>
    <n v="11"/>
    <x v="10"/>
    <s v="123 11th Street"/>
    <x v="9"/>
    <x v="9"/>
    <n v="99999"/>
    <s v="USA"/>
    <x v="5"/>
    <x v="3"/>
    <m/>
    <s v="Shipping Company C"/>
    <s v="Peter Krschne"/>
    <s v="123 11th Street"/>
    <x v="9"/>
    <s v="FL"/>
    <n v="99999"/>
    <s v="USA"/>
    <m/>
    <x v="1"/>
    <x v="1"/>
    <n v="3.5"/>
    <n v="20"/>
    <x v="225"/>
    <n v="6.93"/>
  </r>
  <r>
    <n v="1291"/>
    <x v="114"/>
    <n v="11"/>
    <x v="10"/>
    <s v="123 11th Street"/>
    <x v="9"/>
    <x v="9"/>
    <n v="99999"/>
    <s v="USA"/>
    <x v="5"/>
    <x v="3"/>
    <m/>
    <s v="Shipping Company C"/>
    <s v="Peter Krschne"/>
    <s v="123 11th Street"/>
    <x v="9"/>
    <s v="FL"/>
    <n v="99999"/>
    <s v="USA"/>
    <m/>
    <x v="10"/>
    <x v="0"/>
    <n v="2.99"/>
    <n v="49"/>
    <x v="20"/>
    <n v="14.651000000000003"/>
  </r>
  <r>
    <n v="1292"/>
    <x v="115"/>
    <n v="1"/>
    <x v="11"/>
    <s v="123 1st Street"/>
    <x v="10"/>
    <x v="10"/>
    <n v="99999"/>
    <s v="USA"/>
    <x v="2"/>
    <x v="2"/>
    <m/>
    <m/>
    <s v="Anna Bedecs"/>
    <s v="123 1st Street"/>
    <x v="10"/>
    <s v="WA"/>
    <n v="99999"/>
    <s v="USA"/>
    <m/>
    <x v="4"/>
    <x v="0"/>
    <n v="18"/>
    <n v="22"/>
    <x v="226"/>
    <n v="38.015999999999998"/>
  </r>
  <r>
    <n v="1293"/>
    <x v="115"/>
    <n v="1"/>
    <x v="11"/>
    <s v="123 1st Street"/>
    <x v="10"/>
    <x v="10"/>
    <n v="99999"/>
    <s v="USA"/>
    <x v="2"/>
    <x v="2"/>
    <m/>
    <m/>
    <s v="Anna Bedecs"/>
    <s v="123 1st Street"/>
    <x v="10"/>
    <s v="WA"/>
    <n v="99999"/>
    <s v="USA"/>
    <m/>
    <x v="5"/>
    <x v="0"/>
    <n v="46"/>
    <n v="73"/>
    <x v="227"/>
    <n v="339.15800000000002"/>
  </r>
  <r>
    <n v="1294"/>
    <x v="115"/>
    <n v="1"/>
    <x v="11"/>
    <s v="123 1st Street"/>
    <x v="10"/>
    <x v="10"/>
    <n v="99999"/>
    <s v="USA"/>
    <x v="2"/>
    <x v="2"/>
    <m/>
    <m/>
    <s v="Anna Bedecs"/>
    <s v="123 1st Street"/>
    <x v="10"/>
    <s v="WA"/>
    <n v="99999"/>
    <s v="USA"/>
    <m/>
    <x v="10"/>
    <x v="0"/>
    <n v="2.99"/>
    <n v="85"/>
    <x v="228"/>
    <n v="24.652550000000002"/>
  </r>
  <r>
    <n v="1295"/>
    <x v="110"/>
    <n v="28"/>
    <x v="7"/>
    <s v="789 28th Street"/>
    <x v="6"/>
    <x v="6"/>
    <n v="99999"/>
    <s v="USA"/>
    <x v="5"/>
    <x v="3"/>
    <d v="2014-10-30T00:00:00"/>
    <s v="Shipping Company C"/>
    <s v="Amritansh Raghav"/>
    <s v="789 28th Street"/>
    <x v="6"/>
    <s v="TN"/>
    <n v="99999"/>
    <s v="USA"/>
    <s v="Credit Card"/>
    <x v="8"/>
    <x v="4"/>
    <n v="9.65"/>
    <n v="44"/>
    <x v="229"/>
    <n v="44.158400000000007"/>
  </r>
  <r>
    <n v="1296"/>
    <x v="110"/>
    <n v="28"/>
    <x v="7"/>
    <s v="789 28th Street"/>
    <x v="6"/>
    <x v="6"/>
    <n v="99999"/>
    <s v="USA"/>
    <x v="5"/>
    <x v="3"/>
    <d v="2014-10-30T00:00:00"/>
    <s v="Shipping Company C"/>
    <s v="Amritansh Raghav"/>
    <s v="789 28th Street"/>
    <x v="6"/>
    <s v="TN"/>
    <n v="99999"/>
    <s v="USA"/>
    <s v="Credit Card"/>
    <x v="13"/>
    <x v="8"/>
    <n v="18.399999999999999"/>
    <n v="24"/>
    <x v="230"/>
    <n v="42.835199999999993"/>
  </r>
  <r>
    <n v="1297"/>
    <x v="116"/>
    <n v="9"/>
    <x v="12"/>
    <s v="123 9th Street"/>
    <x v="11"/>
    <x v="11"/>
    <n v="99999"/>
    <s v="USA"/>
    <x v="7"/>
    <x v="0"/>
    <d v="2014-10-11T00:00:00"/>
    <s v="Shipping Company A"/>
    <s v="Sven Mortensen"/>
    <s v="123 9th Street"/>
    <x v="11"/>
    <s v="UT"/>
    <n v="99999"/>
    <s v="USA"/>
    <s v="Check"/>
    <x v="14"/>
    <x v="9"/>
    <n v="19.5"/>
    <n v="64"/>
    <x v="231"/>
    <n v="119.80800000000001"/>
  </r>
  <r>
    <n v="1298"/>
    <x v="116"/>
    <n v="9"/>
    <x v="12"/>
    <s v="123 9th Street"/>
    <x v="11"/>
    <x v="11"/>
    <n v="99999"/>
    <s v="USA"/>
    <x v="7"/>
    <x v="0"/>
    <d v="2014-10-11T00:00:00"/>
    <s v="Shipping Company A"/>
    <s v="Sven Mortensen"/>
    <s v="123 9th Street"/>
    <x v="11"/>
    <s v="UT"/>
    <n v="99999"/>
    <s v="USA"/>
    <s v="Check"/>
    <x v="15"/>
    <x v="10"/>
    <n v="34.799999999999997"/>
    <n v="70"/>
    <x v="232"/>
    <n v="246.03600000000003"/>
  </r>
  <r>
    <n v="1299"/>
    <x v="109"/>
    <n v="6"/>
    <x v="6"/>
    <s v="123 6th Street"/>
    <x v="5"/>
    <x v="5"/>
    <n v="99999"/>
    <s v="USA"/>
    <x v="4"/>
    <x v="2"/>
    <d v="2014-10-08T00:00:00"/>
    <s v="Shipping Company B"/>
    <s v="Francisco Pérez-Olaeta"/>
    <s v="123 6th Street"/>
    <x v="5"/>
    <s v="WI"/>
    <n v="99999"/>
    <s v="USA"/>
    <s v="Credit Card"/>
    <x v="0"/>
    <x v="0"/>
    <n v="14"/>
    <n v="98"/>
    <x v="233"/>
    <n v="138.57200000000003"/>
  </r>
  <r>
    <n v="1300"/>
    <x v="111"/>
    <n v="8"/>
    <x v="3"/>
    <s v="123 8th Street"/>
    <x v="2"/>
    <x v="2"/>
    <n v="99999"/>
    <s v="USA"/>
    <x v="2"/>
    <x v="2"/>
    <d v="2014-10-10T00:00:00"/>
    <s v="Shipping Company B"/>
    <s v="Elizabeth Andersen"/>
    <s v="123 8th Street"/>
    <x v="2"/>
    <s v="OR"/>
    <n v="99999"/>
    <s v="USA"/>
    <s v="Check"/>
    <x v="9"/>
    <x v="5"/>
    <n v="40"/>
    <n v="48"/>
    <x v="208"/>
    <n v="188.16"/>
  </r>
  <r>
    <n v="1301"/>
    <x v="111"/>
    <n v="8"/>
    <x v="3"/>
    <s v="123 8th Street"/>
    <x v="2"/>
    <x v="2"/>
    <n v="99999"/>
    <s v="USA"/>
    <x v="2"/>
    <x v="2"/>
    <d v="2014-10-10T00:00:00"/>
    <s v="Shipping Company B"/>
    <s v="Elizabeth Andersen"/>
    <s v="123 8th Street"/>
    <x v="2"/>
    <s v="OR"/>
    <n v="99999"/>
    <s v="USA"/>
    <s v="Check"/>
    <x v="6"/>
    <x v="2"/>
    <n v="9.1999999999999993"/>
    <n v="100"/>
    <x v="234"/>
    <n v="91.08"/>
  </r>
  <r>
    <n v="1302"/>
    <x v="117"/>
    <n v="25"/>
    <x v="13"/>
    <s v="789 25th Street"/>
    <x v="7"/>
    <x v="7"/>
    <n v="99999"/>
    <s v="USA"/>
    <x v="6"/>
    <x v="1"/>
    <d v="2014-10-27T00:00:00"/>
    <s v="Shipping Company A"/>
    <s v="John Rodman"/>
    <s v="789 25th Street"/>
    <x v="7"/>
    <s v="IL"/>
    <n v="99999"/>
    <s v="USA"/>
    <s v="Cash"/>
    <x v="21"/>
    <x v="2"/>
    <n v="10"/>
    <n v="90"/>
    <x v="235"/>
    <n v="87.3"/>
  </r>
  <r>
    <n v="1303"/>
    <x v="118"/>
    <n v="26"/>
    <x v="14"/>
    <s v="789 26th Street"/>
    <x v="9"/>
    <x v="9"/>
    <n v="99999"/>
    <s v="USA"/>
    <x v="5"/>
    <x v="3"/>
    <d v="2014-10-28T00:00:00"/>
    <s v="Shipping Company C"/>
    <s v="Run Liu"/>
    <s v="789 26th Street"/>
    <x v="9"/>
    <s v="FL"/>
    <n v="99999"/>
    <s v="USA"/>
    <s v="Credit Card"/>
    <x v="22"/>
    <x v="13"/>
    <n v="21.35"/>
    <n v="49"/>
    <x v="236"/>
    <n v="102.5227"/>
  </r>
  <r>
    <n v="1304"/>
    <x v="118"/>
    <n v="26"/>
    <x v="14"/>
    <s v="789 26th Street"/>
    <x v="9"/>
    <x v="9"/>
    <n v="99999"/>
    <s v="USA"/>
    <x v="5"/>
    <x v="3"/>
    <d v="2014-10-28T00:00:00"/>
    <s v="Shipping Company C"/>
    <s v="Run Liu"/>
    <s v="789 26th Street"/>
    <x v="9"/>
    <s v="FL"/>
    <n v="99999"/>
    <s v="USA"/>
    <s v="Credit Card"/>
    <x v="8"/>
    <x v="4"/>
    <n v="9.65"/>
    <n v="71"/>
    <x v="237"/>
    <n v="65.7744"/>
  </r>
  <r>
    <n v="1305"/>
    <x v="118"/>
    <n v="26"/>
    <x v="14"/>
    <s v="789 26th Street"/>
    <x v="9"/>
    <x v="9"/>
    <n v="99999"/>
    <s v="USA"/>
    <x v="5"/>
    <x v="3"/>
    <d v="2014-10-28T00:00:00"/>
    <s v="Shipping Company C"/>
    <s v="Run Liu"/>
    <s v="789 26th Street"/>
    <x v="9"/>
    <s v="FL"/>
    <n v="99999"/>
    <s v="USA"/>
    <s v="Credit Card"/>
    <x v="13"/>
    <x v="8"/>
    <n v="18.399999999999999"/>
    <n v="10"/>
    <x v="238"/>
    <n v="19.136000000000003"/>
  </r>
  <r>
    <n v="1306"/>
    <x v="119"/>
    <n v="29"/>
    <x v="4"/>
    <s v="789 29th Street"/>
    <x v="3"/>
    <x v="3"/>
    <n v="99999"/>
    <s v="USA"/>
    <x v="3"/>
    <x v="0"/>
    <d v="2014-10-31T00:00:00"/>
    <s v="Shipping Company B"/>
    <s v="Soo Jung Lee"/>
    <s v="789 29th Street"/>
    <x v="3"/>
    <s v="CO"/>
    <n v="99999"/>
    <s v="USA"/>
    <s v="Check"/>
    <x v="0"/>
    <x v="0"/>
    <n v="14"/>
    <n v="78"/>
    <x v="239"/>
    <n v="112.476"/>
  </r>
  <r>
    <n v="1307"/>
    <x v="109"/>
    <n v="6"/>
    <x v="6"/>
    <s v="123 6th Street"/>
    <x v="5"/>
    <x v="5"/>
    <n v="99999"/>
    <s v="USA"/>
    <x v="4"/>
    <x v="2"/>
    <d v="2014-10-08T00:00:00"/>
    <s v="Shipping Company C"/>
    <s v="Francisco Pérez-Olaeta"/>
    <s v="123 6th Street"/>
    <x v="5"/>
    <s v="WI"/>
    <n v="99999"/>
    <s v="USA"/>
    <s v="Check"/>
    <x v="7"/>
    <x v="3"/>
    <n v="12.75"/>
    <n v="44"/>
    <x v="134"/>
    <n v="53.856000000000002"/>
  </r>
  <r>
    <n v="1309"/>
    <x v="120"/>
    <n v="4"/>
    <x v="1"/>
    <s v="123 4th Street"/>
    <x v="1"/>
    <x v="1"/>
    <n v="99999"/>
    <s v="USA"/>
    <x v="1"/>
    <x v="1"/>
    <d v="2014-10-06T00:00:00"/>
    <s v="Shipping Company A"/>
    <s v="Christina Lee"/>
    <s v="123 4th Street"/>
    <x v="1"/>
    <s v="NY"/>
    <n v="99999"/>
    <s v="USA"/>
    <s v="Credit Card"/>
    <x v="23"/>
    <x v="6"/>
    <n v="81"/>
    <n v="82"/>
    <x v="240"/>
    <n v="697.41000000000008"/>
  </r>
  <r>
    <n v="1310"/>
    <x v="120"/>
    <n v="4"/>
    <x v="1"/>
    <s v="123 4th Street"/>
    <x v="1"/>
    <x v="1"/>
    <n v="99999"/>
    <s v="USA"/>
    <x v="1"/>
    <x v="1"/>
    <d v="2014-10-06T00:00:00"/>
    <s v="Shipping Company A"/>
    <s v="Christina Lee"/>
    <s v="123 4th Street"/>
    <x v="1"/>
    <s v="NY"/>
    <n v="99999"/>
    <s v="USA"/>
    <s v="Credit Card"/>
    <x v="24"/>
    <x v="14"/>
    <n v="7"/>
    <n v="29"/>
    <x v="241"/>
    <n v="20.3"/>
  </r>
  <r>
    <n v="1312"/>
    <x v="111"/>
    <n v="8"/>
    <x v="3"/>
    <s v="123 8th Street"/>
    <x v="2"/>
    <x v="2"/>
    <n v="99999"/>
    <s v="USA"/>
    <x v="2"/>
    <x v="2"/>
    <d v="2014-10-10T00:00:00"/>
    <s v="Shipping Company C"/>
    <s v="Elizabeth Andersen"/>
    <s v="123 8th Street"/>
    <x v="2"/>
    <s v="OR"/>
    <n v="99999"/>
    <s v="USA"/>
    <s v="Credit Card"/>
    <x v="15"/>
    <x v="10"/>
    <n v="34.799999999999997"/>
    <n v="93"/>
    <x v="242"/>
    <n v="313.93079999999998"/>
  </r>
  <r>
    <n v="1315"/>
    <x v="121"/>
    <n v="3"/>
    <x v="5"/>
    <s v="123 3rd Street"/>
    <x v="4"/>
    <x v="4"/>
    <n v="99999"/>
    <s v="USA"/>
    <x v="0"/>
    <x v="0"/>
    <d v="2014-10-05T00:00:00"/>
    <s v="Shipping Company B"/>
    <s v="Thomas Axerr"/>
    <s v="123 3rd Street"/>
    <x v="4"/>
    <s v="CA"/>
    <n v="99999"/>
    <s v="USA"/>
    <s v="Cash"/>
    <x v="16"/>
    <x v="7"/>
    <n v="10"/>
    <n v="11"/>
    <x v="243"/>
    <n v="11.440000000000001"/>
  </r>
  <r>
    <n v="1316"/>
    <x v="121"/>
    <n v="3"/>
    <x v="5"/>
    <s v="123 3rd Street"/>
    <x v="4"/>
    <x v="4"/>
    <n v="99999"/>
    <s v="USA"/>
    <x v="0"/>
    <x v="0"/>
    <d v="2014-10-05T00:00:00"/>
    <s v="Shipping Company B"/>
    <s v="Thomas Axerr"/>
    <s v="123 3rd Street"/>
    <x v="4"/>
    <s v="CA"/>
    <n v="99999"/>
    <s v="USA"/>
    <s v="Cash"/>
    <x v="9"/>
    <x v="5"/>
    <n v="40"/>
    <n v="91"/>
    <x v="157"/>
    <n v="364"/>
  </r>
  <r>
    <n v="1320"/>
    <x v="112"/>
    <n v="10"/>
    <x v="8"/>
    <s v="123 10th Street"/>
    <x v="7"/>
    <x v="7"/>
    <n v="99999"/>
    <s v="USA"/>
    <x v="6"/>
    <x v="1"/>
    <d v="2014-10-12T00:00:00"/>
    <s v="Shipping Company B"/>
    <s v="Roland Wacker"/>
    <s v="123 10th Street"/>
    <x v="7"/>
    <s v="IL"/>
    <n v="99999"/>
    <s v="USA"/>
    <s v="Credit Card"/>
    <x v="18"/>
    <x v="1"/>
    <n v="10"/>
    <n v="12"/>
    <x v="244"/>
    <n v="12.36"/>
  </r>
  <r>
    <n v="1322"/>
    <x v="112"/>
    <n v="10"/>
    <x v="8"/>
    <s v="123 10th Street"/>
    <x v="7"/>
    <x v="7"/>
    <n v="99999"/>
    <s v="USA"/>
    <x v="6"/>
    <x v="1"/>
    <m/>
    <s v="Shipping Company A"/>
    <s v="Roland Wacker"/>
    <s v="123 10th Street"/>
    <x v="7"/>
    <s v="IL"/>
    <n v="99999"/>
    <s v="USA"/>
    <m/>
    <x v="1"/>
    <x v="1"/>
    <n v="3.5"/>
    <n v="78"/>
    <x v="214"/>
    <n v="27.3"/>
  </r>
  <r>
    <n v="1323"/>
    <x v="114"/>
    <n v="11"/>
    <x v="10"/>
    <s v="123 11th Street"/>
    <x v="9"/>
    <x v="9"/>
    <n v="99999"/>
    <s v="USA"/>
    <x v="5"/>
    <x v="3"/>
    <m/>
    <s v="Shipping Company C"/>
    <s v="Peter Krschne"/>
    <s v="123 11th Street"/>
    <x v="9"/>
    <s v="FL"/>
    <n v="99999"/>
    <s v="USA"/>
    <m/>
    <x v="9"/>
    <x v="5"/>
    <n v="40"/>
    <n v="60"/>
    <x v="245"/>
    <n v="228"/>
  </r>
  <r>
    <n v="1324"/>
    <x v="115"/>
    <n v="1"/>
    <x v="11"/>
    <s v="123 1st Street"/>
    <x v="10"/>
    <x v="10"/>
    <n v="99999"/>
    <s v="USA"/>
    <x v="2"/>
    <x v="2"/>
    <m/>
    <s v="Shipping Company C"/>
    <s v="Anna Bedecs"/>
    <s v="123 1st Street"/>
    <x v="10"/>
    <s v="WA"/>
    <n v="99999"/>
    <s v="USA"/>
    <m/>
    <x v="13"/>
    <x v="8"/>
    <n v="18.399999999999999"/>
    <n v="23"/>
    <x v="246"/>
    <n v="43.589600000000004"/>
  </r>
  <r>
    <n v="1325"/>
    <x v="110"/>
    <n v="28"/>
    <x v="7"/>
    <s v="789 28th Street"/>
    <x v="6"/>
    <x v="6"/>
    <n v="99999"/>
    <s v="USA"/>
    <x v="5"/>
    <x v="3"/>
    <d v="2014-10-30T00:00:00"/>
    <s v="Shipping Company C"/>
    <s v="Amritansh Raghav"/>
    <s v="789 28th Street"/>
    <x v="6"/>
    <s v="TN"/>
    <n v="99999"/>
    <s v="USA"/>
    <s v="Credit Card"/>
    <x v="5"/>
    <x v="0"/>
    <n v="46"/>
    <n v="34"/>
    <x v="247"/>
    <n v="157.964"/>
  </r>
  <r>
    <n v="1326"/>
    <x v="116"/>
    <n v="9"/>
    <x v="12"/>
    <s v="123 9th Street"/>
    <x v="11"/>
    <x v="11"/>
    <n v="99999"/>
    <s v="USA"/>
    <x v="7"/>
    <x v="0"/>
    <d v="2014-10-11T00:00:00"/>
    <s v="Shipping Company A"/>
    <s v="Sven Mortensen"/>
    <s v="123 9th Street"/>
    <x v="11"/>
    <s v="UT"/>
    <n v="99999"/>
    <s v="USA"/>
    <s v="Check"/>
    <x v="8"/>
    <x v="4"/>
    <n v="9.65"/>
    <n v="89"/>
    <x v="248"/>
    <n v="86.743850000000009"/>
  </r>
  <r>
    <n v="1327"/>
    <x v="109"/>
    <n v="6"/>
    <x v="6"/>
    <s v="123 6th Street"/>
    <x v="5"/>
    <x v="5"/>
    <n v="99999"/>
    <s v="USA"/>
    <x v="4"/>
    <x v="2"/>
    <d v="2014-10-08T00:00:00"/>
    <s v="Shipping Company B"/>
    <s v="Francisco Pérez-Olaeta"/>
    <s v="123 6th Street"/>
    <x v="5"/>
    <s v="WI"/>
    <n v="99999"/>
    <s v="USA"/>
    <s v="Credit Card"/>
    <x v="7"/>
    <x v="3"/>
    <n v="12.75"/>
    <n v="82"/>
    <x v="249"/>
    <n v="103.50450000000001"/>
  </r>
  <r>
    <n v="1328"/>
    <x v="111"/>
    <n v="8"/>
    <x v="3"/>
    <s v="123 8th Street"/>
    <x v="2"/>
    <x v="2"/>
    <n v="99999"/>
    <s v="USA"/>
    <x v="2"/>
    <x v="2"/>
    <d v="2014-10-10T00:00:00"/>
    <s v="Shipping Company B"/>
    <s v="Elizabeth Andersen"/>
    <s v="123 8th Street"/>
    <x v="2"/>
    <s v="OR"/>
    <n v="99999"/>
    <s v="USA"/>
    <s v="Check"/>
    <x v="7"/>
    <x v="3"/>
    <n v="12.75"/>
    <n v="43"/>
    <x v="250"/>
    <n v="52.631999999999998"/>
  </r>
  <r>
    <n v="1329"/>
    <x v="122"/>
    <n v="10"/>
    <x v="8"/>
    <s v="123 10th Street"/>
    <x v="7"/>
    <x v="7"/>
    <n v="99999"/>
    <s v="USA"/>
    <x v="6"/>
    <x v="1"/>
    <d v="2014-11-12T00:00:00"/>
    <s v="Shipping Company A"/>
    <s v="Roland Wacker"/>
    <s v="123 10th Street"/>
    <x v="7"/>
    <s v="IL"/>
    <n v="99999"/>
    <s v="USA"/>
    <m/>
    <x v="12"/>
    <x v="7"/>
    <n v="22"/>
    <n v="96"/>
    <x v="251"/>
    <n v="221.76000000000002"/>
  </r>
  <r>
    <n v="1330"/>
    <x v="122"/>
    <n v="10"/>
    <x v="8"/>
    <s v="123 10th Street"/>
    <x v="7"/>
    <x v="7"/>
    <n v="99999"/>
    <s v="USA"/>
    <x v="6"/>
    <x v="1"/>
    <d v="2014-11-12T00:00:00"/>
    <s v="Shipping Company A"/>
    <s v="Roland Wacker"/>
    <s v="123 10th Street"/>
    <x v="7"/>
    <s v="IL"/>
    <n v="99999"/>
    <s v="USA"/>
    <m/>
    <x v="6"/>
    <x v="2"/>
    <n v="9.1999999999999993"/>
    <n v="34"/>
    <x v="252"/>
    <n v="31.279999999999998"/>
  </r>
  <r>
    <n v="1331"/>
    <x v="123"/>
    <n v="11"/>
    <x v="10"/>
    <s v="123 11th Street"/>
    <x v="9"/>
    <x v="9"/>
    <n v="99999"/>
    <s v="USA"/>
    <x v="5"/>
    <x v="3"/>
    <m/>
    <s v="Shipping Company C"/>
    <s v="Peter Krschne"/>
    <s v="123 11th Street"/>
    <x v="9"/>
    <s v="FL"/>
    <n v="99999"/>
    <s v="USA"/>
    <m/>
    <x v="1"/>
    <x v="1"/>
    <n v="3.5"/>
    <n v="42"/>
    <x v="253"/>
    <n v="15.141000000000002"/>
  </r>
  <r>
    <n v="1332"/>
    <x v="123"/>
    <n v="11"/>
    <x v="10"/>
    <s v="123 11th Street"/>
    <x v="9"/>
    <x v="9"/>
    <n v="99999"/>
    <s v="USA"/>
    <x v="5"/>
    <x v="3"/>
    <m/>
    <s v="Shipping Company C"/>
    <s v="Peter Krschne"/>
    <s v="123 11th Street"/>
    <x v="9"/>
    <s v="FL"/>
    <n v="99999"/>
    <s v="USA"/>
    <m/>
    <x v="10"/>
    <x v="0"/>
    <n v="2.99"/>
    <n v="100"/>
    <x v="254"/>
    <n v="30.498000000000001"/>
  </r>
  <r>
    <n v="1333"/>
    <x v="124"/>
    <n v="1"/>
    <x v="11"/>
    <s v="123 1st Street"/>
    <x v="10"/>
    <x v="10"/>
    <n v="99999"/>
    <s v="USA"/>
    <x v="2"/>
    <x v="2"/>
    <m/>
    <m/>
    <s v="Anna Bedecs"/>
    <s v="123 1st Street"/>
    <x v="10"/>
    <s v="WA"/>
    <n v="99999"/>
    <s v="USA"/>
    <m/>
    <x v="4"/>
    <x v="0"/>
    <n v="18"/>
    <n v="42"/>
    <x v="21"/>
    <n v="76.356000000000009"/>
  </r>
  <r>
    <n v="1334"/>
    <x v="124"/>
    <n v="1"/>
    <x v="11"/>
    <s v="123 1st Street"/>
    <x v="10"/>
    <x v="10"/>
    <n v="99999"/>
    <s v="USA"/>
    <x v="2"/>
    <x v="2"/>
    <m/>
    <m/>
    <s v="Anna Bedecs"/>
    <s v="123 1st Street"/>
    <x v="10"/>
    <s v="WA"/>
    <n v="99999"/>
    <s v="USA"/>
    <m/>
    <x v="5"/>
    <x v="0"/>
    <n v="46"/>
    <n v="16"/>
    <x v="129"/>
    <n v="70.656000000000006"/>
  </r>
  <r>
    <n v="1335"/>
    <x v="124"/>
    <n v="1"/>
    <x v="11"/>
    <s v="123 1st Street"/>
    <x v="10"/>
    <x v="10"/>
    <n v="99999"/>
    <s v="USA"/>
    <x v="2"/>
    <x v="2"/>
    <m/>
    <m/>
    <s v="Anna Bedecs"/>
    <s v="123 1st Street"/>
    <x v="10"/>
    <s v="WA"/>
    <n v="99999"/>
    <s v="USA"/>
    <m/>
    <x v="10"/>
    <x v="0"/>
    <n v="2.99"/>
    <n v="22"/>
    <x v="255"/>
    <n v="6.3806599999999998"/>
  </r>
  <r>
    <n v="1336"/>
    <x v="125"/>
    <n v="28"/>
    <x v="7"/>
    <s v="789 28th Street"/>
    <x v="6"/>
    <x v="6"/>
    <n v="99999"/>
    <s v="USA"/>
    <x v="5"/>
    <x v="3"/>
    <d v="2014-11-30T00:00:00"/>
    <s v="Shipping Company C"/>
    <s v="Amritansh Raghav"/>
    <s v="789 28th Street"/>
    <x v="6"/>
    <s v="TN"/>
    <n v="99999"/>
    <s v="USA"/>
    <s v="Credit Card"/>
    <x v="8"/>
    <x v="4"/>
    <n v="9.65"/>
    <n v="46"/>
    <x v="256"/>
    <n v="45.721700000000006"/>
  </r>
  <r>
    <n v="1337"/>
    <x v="125"/>
    <n v="28"/>
    <x v="7"/>
    <s v="789 28th Street"/>
    <x v="6"/>
    <x v="6"/>
    <n v="99999"/>
    <s v="USA"/>
    <x v="5"/>
    <x v="3"/>
    <n v="41973"/>
    <s v="Shipping Company C"/>
    <s v="Amritansh Raghav"/>
    <s v="789 28th Street"/>
    <x v="6"/>
    <s v="TN"/>
    <n v="99999"/>
    <s v="USA"/>
    <s v="Credit Card"/>
    <x v="13"/>
    <x v="8"/>
    <n v="18.399999999999999"/>
    <n v="100"/>
    <x v="257"/>
    <n v="184"/>
  </r>
  <r>
    <n v="1338"/>
    <x v="126"/>
    <n v="9"/>
    <x v="12"/>
    <s v="123 9th Street"/>
    <x v="11"/>
    <x v="11"/>
    <n v="99999"/>
    <s v="USA"/>
    <x v="7"/>
    <x v="0"/>
    <n v="41954"/>
    <s v="Shipping Company A"/>
    <s v="Sven Mortensen"/>
    <s v="123 9th Street"/>
    <x v="11"/>
    <s v="UT"/>
    <n v="99999"/>
    <s v="USA"/>
    <s v="Check"/>
    <x v="14"/>
    <x v="9"/>
    <n v="19.5"/>
    <n v="87"/>
    <x v="258"/>
    <n v="174.73950000000002"/>
  </r>
  <r>
    <n v="1339"/>
    <x v="126"/>
    <n v="9"/>
    <x v="12"/>
    <s v="123 9th Street"/>
    <x v="11"/>
    <x v="11"/>
    <n v="99999"/>
    <s v="USA"/>
    <x v="7"/>
    <x v="0"/>
    <n v="41954"/>
    <s v="Shipping Company A"/>
    <s v="Sven Mortensen"/>
    <s v="123 9th Street"/>
    <x v="11"/>
    <s v="UT"/>
    <n v="99999"/>
    <s v="USA"/>
    <s v="Check"/>
    <x v="15"/>
    <x v="10"/>
    <n v="34.799999999999997"/>
    <n v="58"/>
    <x v="259"/>
    <n v="205.8768"/>
  </r>
  <r>
    <n v="1340"/>
    <x v="127"/>
    <n v="6"/>
    <x v="6"/>
    <s v="123 6th Street"/>
    <x v="5"/>
    <x v="5"/>
    <n v="99999"/>
    <s v="USA"/>
    <x v="4"/>
    <x v="2"/>
    <n v="41951"/>
    <s v="Shipping Company B"/>
    <s v="Francisco Pérez-Olaeta"/>
    <s v="123 6th Street"/>
    <x v="5"/>
    <s v="WI"/>
    <n v="99999"/>
    <s v="USA"/>
    <s v="Credit Card"/>
    <x v="0"/>
    <x v="0"/>
    <n v="14"/>
    <n v="85"/>
    <x v="260"/>
    <n v="120.19"/>
  </r>
  <r>
    <n v="1341"/>
    <x v="128"/>
    <n v="8"/>
    <x v="3"/>
    <s v="123 8th Street"/>
    <x v="2"/>
    <x v="2"/>
    <n v="99999"/>
    <s v="USA"/>
    <x v="2"/>
    <x v="2"/>
    <n v="41953"/>
    <s v="Shipping Company B"/>
    <s v="Elizabeth Andersen"/>
    <s v="123 8th Street"/>
    <x v="2"/>
    <s v="OR"/>
    <n v="99999"/>
    <s v="USA"/>
    <s v="Check"/>
    <x v="9"/>
    <x v="5"/>
    <n v="40"/>
    <n v="28"/>
    <x v="139"/>
    <n v="110.88"/>
  </r>
  <r>
    <n v="1342"/>
    <x v="128"/>
    <n v="8"/>
    <x v="3"/>
    <s v="123 8th Street"/>
    <x v="2"/>
    <x v="2"/>
    <n v="99999"/>
    <s v="USA"/>
    <x v="2"/>
    <x v="2"/>
    <d v="2014-11-10T00:00:00"/>
    <s v="Shipping Company B"/>
    <s v="Elizabeth Andersen"/>
    <s v="123 8th Street"/>
    <x v="2"/>
    <s v="OR"/>
    <n v="99999"/>
    <s v="USA"/>
    <s v="Check"/>
    <x v="6"/>
    <x v="2"/>
    <n v="9.1999999999999993"/>
    <n v="19"/>
    <x v="261"/>
    <n v="17.130400000000002"/>
  </r>
  <r>
    <n v="1343"/>
    <x v="129"/>
    <n v="25"/>
    <x v="13"/>
    <s v="789 25th Street"/>
    <x v="7"/>
    <x v="7"/>
    <n v="99999"/>
    <s v="USA"/>
    <x v="6"/>
    <x v="1"/>
    <d v="2014-11-27T00:00:00"/>
    <s v="Shipping Company A"/>
    <s v="John Rodman"/>
    <s v="789 25th Street"/>
    <x v="7"/>
    <s v="IL"/>
    <n v="99999"/>
    <s v="USA"/>
    <s v="Cash"/>
    <x v="21"/>
    <x v="2"/>
    <n v="10"/>
    <n v="99"/>
    <x v="82"/>
    <n v="102.96000000000001"/>
  </r>
  <r>
    <n v="1344"/>
    <x v="130"/>
    <n v="26"/>
    <x v="14"/>
    <s v="789 26th Street"/>
    <x v="9"/>
    <x v="9"/>
    <n v="99999"/>
    <s v="USA"/>
    <x v="5"/>
    <x v="3"/>
    <d v="2014-11-28T00:00:00"/>
    <s v="Shipping Company C"/>
    <s v="Run Liu"/>
    <s v="789 26th Street"/>
    <x v="9"/>
    <s v="FL"/>
    <n v="99999"/>
    <s v="USA"/>
    <s v="Credit Card"/>
    <x v="22"/>
    <x v="13"/>
    <n v="21.35"/>
    <n v="69"/>
    <x v="262"/>
    <n v="153.20760000000004"/>
  </r>
  <r>
    <n v="1345"/>
    <x v="130"/>
    <n v="26"/>
    <x v="14"/>
    <s v="789 26th Street"/>
    <x v="9"/>
    <x v="9"/>
    <n v="99999"/>
    <s v="USA"/>
    <x v="5"/>
    <x v="3"/>
    <d v="2014-11-28T00:00:00"/>
    <s v="Shipping Company C"/>
    <s v="Run Liu"/>
    <s v="789 26th Street"/>
    <x v="9"/>
    <s v="FL"/>
    <n v="99999"/>
    <s v="USA"/>
    <s v="Credit Card"/>
    <x v="8"/>
    <x v="4"/>
    <n v="9.65"/>
    <n v="37"/>
    <x v="263"/>
    <n v="33.919750000000001"/>
  </r>
  <r>
    <n v="1346"/>
    <x v="130"/>
    <n v="26"/>
    <x v="14"/>
    <s v="789 26th Street"/>
    <x v="9"/>
    <x v="9"/>
    <n v="99999"/>
    <s v="USA"/>
    <x v="5"/>
    <x v="3"/>
    <d v="2014-11-28T00:00:00"/>
    <s v="Shipping Company C"/>
    <s v="Run Liu"/>
    <s v="789 26th Street"/>
    <x v="9"/>
    <s v="FL"/>
    <n v="99999"/>
    <s v="USA"/>
    <s v="Credit Card"/>
    <x v="13"/>
    <x v="8"/>
    <n v="18.399999999999999"/>
    <n v="64"/>
    <x v="107"/>
    <n v="118.93759999999999"/>
  </r>
  <r>
    <n v="1347"/>
    <x v="131"/>
    <n v="29"/>
    <x v="4"/>
    <s v="789 29th Street"/>
    <x v="3"/>
    <x v="3"/>
    <n v="99999"/>
    <s v="USA"/>
    <x v="3"/>
    <x v="0"/>
    <d v="2014-12-01T00:00:00"/>
    <s v="Shipping Company B"/>
    <s v="Soo Jung Lee"/>
    <s v="789 29th Street"/>
    <x v="3"/>
    <s v="CO"/>
    <n v="99999"/>
    <s v="USA"/>
    <s v="Check"/>
    <x v="0"/>
    <x v="0"/>
    <n v="14"/>
    <n v="38"/>
    <x v="197"/>
    <n v="55.328000000000003"/>
  </r>
  <r>
    <n v="1348"/>
    <x v="127"/>
    <n v="6"/>
    <x v="6"/>
    <s v="123 6th Street"/>
    <x v="5"/>
    <x v="5"/>
    <n v="99999"/>
    <s v="USA"/>
    <x v="4"/>
    <x v="2"/>
    <d v="2014-11-08T00:00:00"/>
    <s v="Shipping Company C"/>
    <s v="Francisco Pérez-Olaeta"/>
    <s v="123 6th Street"/>
    <x v="5"/>
    <s v="WI"/>
    <n v="99999"/>
    <s v="USA"/>
    <s v="Check"/>
    <x v="7"/>
    <x v="3"/>
    <n v="12.75"/>
    <n v="15"/>
    <x v="264"/>
    <n v="18.55125"/>
  </r>
  <r>
    <n v="1350"/>
    <x v="132"/>
    <n v="4"/>
    <x v="1"/>
    <s v="123 4th Street"/>
    <x v="1"/>
    <x v="1"/>
    <n v="99999"/>
    <s v="USA"/>
    <x v="1"/>
    <x v="1"/>
    <d v="2014-11-06T00:00:00"/>
    <s v="Shipping Company A"/>
    <s v="Christina Lee"/>
    <s v="123 4th Street"/>
    <x v="1"/>
    <s v="NY"/>
    <n v="99999"/>
    <s v="USA"/>
    <s v="Credit Card"/>
    <x v="23"/>
    <x v="6"/>
    <n v="81"/>
    <n v="52"/>
    <x v="265"/>
    <n v="412.77600000000001"/>
  </r>
  <r>
    <n v="1351"/>
    <x v="132"/>
    <n v="4"/>
    <x v="1"/>
    <s v="123 4th Street"/>
    <x v="1"/>
    <x v="1"/>
    <n v="99999"/>
    <s v="USA"/>
    <x v="1"/>
    <x v="1"/>
    <d v="2014-11-06T00:00:00"/>
    <s v="Shipping Company A"/>
    <s v="Christina Lee"/>
    <s v="123 4th Street"/>
    <x v="1"/>
    <s v="NY"/>
    <n v="99999"/>
    <s v="USA"/>
    <s v="Credit Card"/>
    <x v="24"/>
    <x v="14"/>
    <n v="7"/>
    <n v="37"/>
    <x v="58"/>
    <n v="25.382000000000001"/>
  </r>
  <r>
    <n v="1353"/>
    <x v="128"/>
    <n v="8"/>
    <x v="3"/>
    <s v="123 8th Street"/>
    <x v="2"/>
    <x v="2"/>
    <n v="99999"/>
    <s v="USA"/>
    <x v="2"/>
    <x v="2"/>
    <d v="2014-11-10T00:00:00"/>
    <s v="Shipping Company C"/>
    <s v="Elizabeth Andersen"/>
    <s v="123 8th Street"/>
    <x v="2"/>
    <s v="OR"/>
    <n v="99999"/>
    <s v="USA"/>
    <s v="Credit Card"/>
    <x v="15"/>
    <x v="10"/>
    <n v="34.799999999999997"/>
    <n v="24"/>
    <x v="266"/>
    <n v="80.179199999999994"/>
  </r>
  <r>
    <n v="1356"/>
    <x v="133"/>
    <n v="3"/>
    <x v="5"/>
    <s v="123 3rd Street"/>
    <x v="4"/>
    <x v="4"/>
    <n v="99999"/>
    <s v="USA"/>
    <x v="0"/>
    <x v="0"/>
    <d v="2014-11-05T00:00:00"/>
    <s v="Shipping Company B"/>
    <s v="Thomas Axerr"/>
    <s v="123 3rd Street"/>
    <x v="4"/>
    <s v="CA"/>
    <n v="99999"/>
    <s v="USA"/>
    <s v="Cash"/>
    <x v="16"/>
    <x v="7"/>
    <n v="10"/>
    <n v="36"/>
    <x v="267"/>
    <n v="37.08"/>
  </r>
  <r>
    <n v="1357"/>
    <x v="133"/>
    <n v="3"/>
    <x v="5"/>
    <s v="123 3rd Street"/>
    <x v="4"/>
    <x v="4"/>
    <n v="99999"/>
    <s v="USA"/>
    <x v="0"/>
    <x v="0"/>
    <d v="2014-11-05T00:00:00"/>
    <s v="Shipping Company B"/>
    <s v="Thomas Axerr"/>
    <s v="123 3rd Street"/>
    <x v="4"/>
    <s v="CA"/>
    <n v="99999"/>
    <s v="USA"/>
    <s v="Cash"/>
    <x v="9"/>
    <x v="5"/>
    <n v="40"/>
    <n v="24"/>
    <x v="268"/>
    <n v="96"/>
  </r>
  <r>
    <n v="1361"/>
    <x v="122"/>
    <n v="10"/>
    <x v="8"/>
    <s v="123 10th Street"/>
    <x v="7"/>
    <x v="7"/>
    <n v="99999"/>
    <s v="USA"/>
    <x v="6"/>
    <x v="1"/>
    <d v="2014-11-12T00:00:00"/>
    <s v="Shipping Company B"/>
    <s v="Roland Wacker"/>
    <s v="123 10th Street"/>
    <x v="7"/>
    <s v="IL"/>
    <n v="99999"/>
    <s v="USA"/>
    <s v="Credit Card"/>
    <x v="18"/>
    <x v="1"/>
    <n v="10"/>
    <n v="20"/>
    <x v="269"/>
    <n v="20"/>
  </r>
  <r>
    <n v="1363"/>
    <x v="122"/>
    <n v="10"/>
    <x v="8"/>
    <s v="123 10th Street"/>
    <x v="7"/>
    <x v="7"/>
    <n v="99999"/>
    <s v="USA"/>
    <x v="6"/>
    <x v="1"/>
    <m/>
    <s v="Shipping Company A"/>
    <s v="Roland Wacker"/>
    <s v="123 10th Street"/>
    <x v="7"/>
    <s v="IL"/>
    <n v="99999"/>
    <s v="USA"/>
    <m/>
    <x v="1"/>
    <x v="1"/>
    <n v="3.5"/>
    <n v="11"/>
    <x v="4"/>
    <n v="3.7345000000000002"/>
  </r>
  <r>
    <n v="1364"/>
    <x v="123"/>
    <n v="11"/>
    <x v="10"/>
    <s v="123 11th Street"/>
    <x v="9"/>
    <x v="9"/>
    <n v="99999"/>
    <s v="USA"/>
    <x v="5"/>
    <x v="3"/>
    <m/>
    <s v="Shipping Company C"/>
    <s v="Peter Krschne"/>
    <s v="123 11th Street"/>
    <x v="9"/>
    <s v="FL"/>
    <n v="99999"/>
    <s v="USA"/>
    <m/>
    <x v="9"/>
    <x v="5"/>
    <n v="40"/>
    <n v="78"/>
    <x v="189"/>
    <n v="299.52"/>
  </r>
  <r>
    <n v="1365"/>
    <x v="124"/>
    <n v="1"/>
    <x v="11"/>
    <s v="123 1st Street"/>
    <x v="10"/>
    <x v="10"/>
    <n v="99999"/>
    <s v="USA"/>
    <x v="2"/>
    <x v="2"/>
    <m/>
    <s v="Shipping Company C"/>
    <s v="Anna Bedecs"/>
    <s v="123 1st Street"/>
    <x v="10"/>
    <s v="WA"/>
    <n v="99999"/>
    <s v="USA"/>
    <m/>
    <x v="13"/>
    <x v="8"/>
    <n v="18.399999999999999"/>
    <n v="76"/>
    <x v="270"/>
    <n v="144.0352"/>
  </r>
  <r>
    <n v="1366"/>
    <x v="125"/>
    <n v="28"/>
    <x v="7"/>
    <s v="789 28th Street"/>
    <x v="6"/>
    <x v="6"/>
    <n v="99999"/>
    <s v="USA"/>
    <x v="5"/>
    <x v="3"/>
    <d v="2014-11-30T00:00:00"/>
    <s v="Shipping Company C"/>
    <s v="Amritansh Raghav"/>
    <s v="789 28th Street"/>
    <x v="6"/>
    <s v="TN"/>
    <n v="99999"/>
    <s v="USA"/>
    <s v="Credit Card"/>
    <x v="5"/>
    <x v="0"/>
    <n v="46"/>
    <n v="57"/>
    <x v="271"/>
    <n v="272.68799999999999"/>
  </r>
  <r>
    <n v="1367"/>
    <x v="126"/>
    <n v="9"/>
    <x v="12"/>
    <s v="123 9th Street"/>
    <x v="11"/>
    <x v="11"/>
    <n v="99999"/>
    <s v="USA"/>
    <x v="7"/>
    <x v="0"/>
    <d v="2014-11-11T00:00:00"/>
    <s v="Shipping Company A"/>
    <s v="Sven Mortensen"/>
    <s v="123 9th Street"/>
    <x v="11"/>
    <s v="UT"/>
    <n v="99999"/>
    <s v="USA"/>
    <s v="Check"/>
    <x v="8"/>
    <x v="4"/>
    <n v="9.65"/>
    <n v="14"/>
    <x v="272"/>
    <n v="12.9696"/>
  </r>
  <r>
    <n v="1368"/>
    <x v="134"/>
    <n v="27"/>
    <x v="0"/>
    <s v="789 27th Street"/>
    <x v="0"/>
    <x v="0"/>
    <n v="99999"/>
    <s v="USA"/>
    <x v="0"/>
    <x v="0"/>
    <d v="2014-12-29T00:00:00"/>
    <s v="Shipping Company B"/>
    <s v="Karen Toh"/>
    <s v="789 27th Street"/>
    <x v="0"/>
    <s v="NV"/>
    <n v="99999"/>
    <s v="USA"/>
    <s v="Check"/>
    <x v="0"/>
    <x v="0"/>
    <n v="14"/>
    <n v="14"/>
    <x v="273"/>
    <n v="19.796000000000003"/>
  </r>
  <r>
    <n v="1369"/>
    <x v="134"/>
    <n v="27"/>
    <x v="0"/>
    <s v="789 27th Street"/>
    <x v="0"/>
    <x v="0"/>
    <n v="99999"/>
    <s v="USA"/>
    <x v="0"/>
    <x v="0"/>
    <d v="2014-12-29T00:00:00"/>
    <s v="Shipping Company B"/>
    <s v="Karen Toh"/>
    <s v="789 27th Street"/>
    <x v="0"/>
    <s v="NV"/>
    <n v="99999"/>
    <s v="USA"/>
    <s v="Check"/>
    <x v="1"/>
    <x v="1"/>
    <n v="3.5"/>
    <n v="70"/>
    <x v="274"/>
    <n v="25.234999999999999"/>
  </r>
  <r>
    <n v="1370"/>
    <x v="135"/>
    <n v="4"/>
    <x v="1"/>
    <s v="123 4th Street"/>
    <x v="1"/>
    <x v="1"/>
    <n v="99999"/>
    <s v="USA"/>
    <x v="1"/>
    <x v="1"/>
    <d v="2014-12-06T00:00:00"/>
    <s v="Shipping Company A"/>
    <s v="Christina Lee"/>
    <s v="123 4th Street"/>
    <x v="1"/>
    <s v="NY"/>
    <n v="99999"/>
    <s v="USA"/>
    <s v="Credit Card"/>
    <x v="2"/>
    <x v="1"/>
    <n v="30"/>
    <n v="100"/>
    <x v="275"/>
    <n v="291"/>
  </r>
  <r>
    <n v="1371"/>
    <x v="135"/>
    <n v="4"/>
    <x v="1"/>
    <s v="123 4th Street"/>
    <x v="1"/>
    <x v="1"/>
    <n v="99999"/>
    <s v="USA"/>
    <x v="1"/>
    <x v="1"/>
    <d v="2014-12-06T00:00:00"/>
    <s v="Shipping Company A"/>
    <s v="Christina Lee"/>
    <s v="123 4th Street"/>
    <x v="1"/>
    <s v="NY"/>
    <n v="99999"/>
    <s v="USA"/>
    <s v="Credit Card"/>
    <x v="3"/>
    <x v="1"/>
    <n v="53"/>
    <n v="27"/>
    <x v="276"/>
    <n v="143.1"/>
  </r>
  <r>
    <n v="1372"/>
    <x v="135"/>
    <n v="4"/>
    <x v="1"/>
    <s v="123 4th Street"/>
    <x v="1"/>
    <x v="1"/>
    <n v="99999"/>
    <s v="USA"/>
    <x v="1"/>
    <x v="1"/>
    <d v="2014-12-06T00:00:00"/>
    <s v="Shipping Company A"/>
    <s v="Christina Lee"/>
    <s v="123 4th Street"/>
    <x v="1"/>
    <s v="NY"/>
    <n v="99999"/>
    <s v="USA"/>
    <s v="Credit Card"/>
    <x v="1"/>
    <x v="1"/>
    <n v="3.5"/>
    <n v="70"/>
    <x v="274"/>
    <n v="24.009999999999998"/>
  </r>
  <r>
    <n v="1373"/>
    <x v="136"/>
    <n v="12"/>
    <x v="2"/>
    <s v="123 12th Street"/>
    <x v="0"/>
    <x v="0"/>
    <n v="99999"/>
    <s v="USA"/>
    <x v="0"/>
    <x v="0"/>
    <d v="2014-12-14T00:00:00"/>
    <s v="Shipping Company B"/>
    <s v="John Edwards"/>
    <s v="123 12th Street"/>
    <x v="0"/>
    <s v="NV"/>
    <n v="99999"/>
    <s v="USA"/>
    <s v="Credit Card"/>
    <x v="4"/>
    <x v="0"/>
    <n v="18"/>
    <n v="57"/>
    <x v="277"/>
    <n v="102.60000000000001"/>
  </r>
  <r>
    <n v="1374"/>
    <x v="136"/>
    <n v="12"/>
    <x v="2"/>
    <s v="123 12th Street"/>
    <x v="0"/>
    <x v="0"/>
    <n v="99999"/>
    <s v="USA"/>
    <x v="0"/>
    <x v="0"/>
    <d v="2014-12-14T00:00:00"/>
    <s v="Shipping Company B"/>
    <s v="John Edwards"/>
    <s v="123 12th Street"/>
    <x v="0"/>
    <s v="NV"/>
    <n v="99999"/>
    <s v="USA"/>
    <s v="Credit Card"/>
    <x v="5"/>
    <x v="0"/>
    <n v="46"/>
    <n v="83"/>
    <x v="278"/>
    <n v="374.16399999999999"/>
  </r>
  <r>
    <n v="1375"/>
    <x v="137"/>
    <n v="8"/>
    <x v="3"/>
    <s v="123 8th Street"/>
    <x v="2"/>
    <x v="2"/>
    <n v="99999"/>
    <s v="USA"/>
    <x v="2"/>
    <x v="2"/>
    <d v="2014-12-10T00:00:00"/>
    <s v="Shipping Company C"/>
    <s v="Elizabeth Andersen"/>
    <s v="123 8th Street"/>
    <x v="2"/>
    <s v="OR"/>
    <n v="99999"/>
    <s v="USA"/>
    <s v="Credit Card"/>
    <x v="6"/>
    <x v="2"/>
    <n v="9.1999999999999993"/>
    <n v="76"/>
    <x v="279"/>
    <n v="67.123199999999997"/>
  </r>
  <r>
    <n v="1376"/>
    <x v="135"/>
    <n v="4"/>
    <x v="1"/>
    <s v="123 4th Street"/>
    <x v="1"/>
    <x v="1"/>
    <n v="99999"/>
    <s v="USA"/>
    <x v="1"/>
    <x v="1"/>
    <n v="41979"/>
    <s v="Shipping Company C"/>
    <s v="Christina Lee"/>
    <s v="123 4th Street"/>
    <x v="1"/>
    <s v="NY"/>
    <n v="99999"/>
    <s v="USA"/>
    <s v="Check"/>
    <x v="6"/>
    <x v="2"/>
    <n v="9.1999999999999993"/>
    <n v="80"/>
    <x v="129"/>
    <n v="72.864000000000004"/>
  </r>
  <r>
    <n v="1377"/>
    <x v="138"/>
    <n v="29"/>
    <x v="4"/>
    <s v="789 29th Street"/>
    <x v="3"/>
    <x v="3"/>
    <n v="99999"/>
    <s v="USA"/>
    <x v="3"/>
    <x v="0"/>
    <n v="42004"/>
    <s v="Shipping Company B"/>
    <s v="Soo Jung Lee"/>
    <s v="789 29th Street"/>
    <x v="3"/>
    <s v="CO"/>
    <n v="99999"/>
    <s v="USA"/>
    <s v="Check"/>
    <x v="7"/>
    <x v="3"/>
    <n v="12.75"/>
    <n v="47"/>
    <x v="13"/>
    <n v="59.325750000000006"/>
  </r>
  <r>
    <n v="1378"/>
    <x v="139"/>
    <n v="3"/>
    <x v="5"/>
    <s v="123 3rd Street"/>
    <x v="4"/>
    <x v="4"/>
    <n v="99999"/>
    <s v="USA"/>
    <x v="0"/>
    <x v="0"/>
    <n v="41978"/>
    <s v="Shipping Company B"/>
    <s v="Thomas Axerr"/>
    <s v="123 3rd Street"/>
    <x v="4"/>
    <s v="CA"/>
    <n v="99999"/>
    <s v="USA"/>
    <s v="Cash"/>
    <x v="8"/>
    <x v="4"/>
    <n v="9.65"/>
    <n v="96"/>
    <x v="280"/>
    <n v="94.492800000000017"/>
  </r>
  <r>
    <n v="1379"/>
    <x v="140"/>
    <n v="6"/>
    <x v="6"/>
    <s v="123 6th Street"/>
    <x v="5"/>
    <x v="5"/>
    <n v="99999"/>
    <s v="USA"/>
    <x v="4"/>
    <x v="2"/>
    <n v="41981"/>
    <s v="Shipping Company B"/>
    <s v="Francisco Pérez-Olaeta"/>
    <s v="123 6th Street"/>
    <x v="5"/>
    <s v="WI"/>
    <n v="99999"/>
    <s v="USA"/>
    <s v="Credit Card"/>
    <x v="9"/>
    <x v="5"/>
    <n v="40"/>
    <n v="32"/>
    <x v="11"/>
    <n v="134.4"/>
  </r>
  <r>
    <n v="1380"/>
    <x v="141"/>
    <n v="28"/>
    <x v="7"/>
    <s v="789 28th Street"/>
    <x v="6"/>
    <x v="6"/>
    <n v="99999"/>
    <s v="USA"/>
    <x v="5"/>
    <x v="3"/>
    <d v="2014-12-30T00:00:00"/>
    <s v="Shipping Company C"/>
    <s v="Amritansh Raghav"/>
    <s v="789 28th Street"/>
    <x v="6"/>
    <s v="TN"/>
    <n v="99999"/>
    <s v="USA"/>
    <s v="Check"/>
    <x v="5"/>
    <x v="0"/>
    <n v="46"/>
    <n v="16"/>
    <x v="129"/>
    <n v="73.600000000000009"/>
  </r>
  <r>
    <n v="1381"/>
    <x v="137"/>
    <n v="8"/>
    <x v="3"/>
    <s v="123 8th Street"/>
    <x v="2"/>
    <x v="2"/>
    <n v="99999"/>
    <s v="USA"/>
    <x v="2"/>
    <x v="2"/>
    <d v="2014-12-10T00:00:00"/>
    <s v="Shipping Company C"/>
    <s v="Elizabeth Andersen"/>
    <s v="123 8th Street"/>
    <x v="2"/>
    <s v="OR"/>
    <n v="99999"/>
    <s v="USA"/>
    <s v="Check"/>
    <x v="7"/>
    <x v="3"/>
    <n v="12.75"/>
    <n v="41"/>
    <x v="87"/>
    <n v="51.229500000000002"/>
  </r>
  <r>
    <n v="1382"/>
    <x v="142"/>
    <n v="10"/>
    <x v="8"/>
    <s v="123 10th Street"/>
    <x v="7"/>
    <x v="7"/>
    <n v="99999"/>
    <s v="USA"/>
    <x v="6"/>
    <x v="1"/>
    <d v="2014-12-12T00:00:00"/>
    <s v="Shipping Company B"/>
    <s v="Roland Wacker"/>
    <s v="123 10th Street"/>
    <x v="7"/>
    <s v="IL"/>
    <n v="99999"/>
    <s v="USA"/>
    <s v="Credit Card"/>
    <x v="10"/>
    <x v="0"/>
    <n v="2.99"/>
    <n v="41"/>
    <x v="281"/>
    <n v="12.871950000000002"/>
  </r>
  <r>
    <n v="1383"/>
    <x v="143"/>
    <n v="7"/>
    <x v="9"/>
    <s v="123 7th Street"/>
    <x v="8"/>
    <x v="8"/>
    <n v="99999"/>
    <s v="USA"/>
    <x v="2"/>
    <x v="2"/>
    <m/>
    <m/>
    <s v="Ming-Yang Xie"/>
    <s v="123 7th Street"/>
    <x v="8"/>
    <s v="ID"/>
    <n v="99999"/>
    <s v="USA"/>
    <m/>
    <x v="5"/>
    <x v="0"/>
    <n v="46"/>
    <n v="41"/>
    <x v="282"/>
    <n v="194.25800000000004"/>
  </r>
  <r>
    <n v="1384"/>
    <x v="142"/>
    <n v="10"/>
    <x v="8"/>
    <s v="123 10th Street"/>
    <x v="7"/>
    <x v="7"/>
    <n v="99999"/>
    <s v="USA"/>
    <x v="6"/>
    <x v="1"/>
    <d v="2014-12-12T00:00:00"/>
    <s v="Shipping Company A"/>
    <s v="Roland Wacker"/>
    <s v="123 10th Street"/>
    <x v="7"/>
    <s v="IL"/>
    <n v="99999"/>
    <s v="USA"/>
    <m/>
    <x v="11"/>
    <x v="6"/>
    <n v="25"/>
    <n v="94"/>
    <x v="283"/>
    <n v="235"/>
  </r>
  <r>
    <n v="1385"/>
    <x v="142"/>
    <n v="10"/>
    <x v="8"/>
    <s v="123 10th Street"/>
    <x v="7"/>
    <x v="7"/>
    <n v="99999"/>
    <s v="USA"/>
    <x v="6"/>
    <x v="1"/>
    <d v="2014-12-12T00:00:00"/>
    <s v="Shipping Company A"/>
    <s v="Roland Wacker"/>
    <s v="123 10th Street"/>
    <x v="7"/>
    <s v="IL"/>
    <n v="99999"/>
    <s v="USA"/>
    <m/>
    <x v="12"/>
    <x v="7"/>
    <n v="22"/>
    <n v="20"/>
    <x v="284"/>
    <n v="46.2"/>
  </r>
  <r>
    <n v="1386"/>
    <x v="142"/>
    <n v="10"/>
    <x v="8"/>
    <s v="123 10th Street"/>
    <x v="7"/>
    <x v="7"/>
    <n v="99999"/>
    <s v="USA"/>
    <x v="6"/>
    <x v="1"/>
    <n v="41985"/>
    <s v="Shipping Company A"/>
    <s v="Roland Wacker"/>
    <s v="123 10th Street"/>
    <x v="7"/>
    <s v="IL"/>
    <n v="99999"/>
    <s v="USA"/>
    <m/>
    <x v="6"/>
    <x v="2"/>
    <n v="9.1999999999999993"/>
    <n v="13"/>
    <x v="285"/>
    <n v="12.438400000000001"/>
  </r>
  <r>
    <n v="1387"/>
    <x v="144"/>
    <n v="11"/>
    <x v="10"/>
    <s v="123 11th Street"/>
    <x v="9"/>
    <x v="9"/>
    <n v="99999"/>
    <s v="USA"/>
    <x v="5"/>
    <x v="3"/>
    <m/>
    <s v="Shipping Company C"/>
    <s v="Peter Krschne"/>
    <s v="123 11th Street"/>
    <x v="9"/>
    <s v="FL"/>
    <n v="99999"/>
    <s v="USA"/>
    <m/>
    <x v="1"/>
    <x v="1"/>
    <n v="3.5"/>
    <n v="74"/>
    <x v="58"/>
    <n v="26.936000000000003"/>
  </r>
  <r>
    <n v="1388"/>
    <x v="144"/>
    <n v="11"/>
    <x v="10"/>
    <s v="123 11th Street"/>
    <x v="9"/>
    <x v="9"/>
    <n v="99999"/>
    <s v="USA"/>
    <x v="5"/>
    <x v="3"/>
    <m/>
    <s v="Shipping Company C"/>
    <s v="Peter Krschne"/>
    <s v="123 11th Street"/>
    <x v="9"/>
    <s v="FL"/>
    <n v="99999"/>
    <s v="USA"/>
    <m/>
    <x v="10"/>
    <x v="0"/>
    <n v="2.99"/>
    <n v="53"/>
    <x v="286"/>
    <n v="16.005470000000003"/>
  </r>
  <r>
    <n v="1389"/>
    <x v="145"/>
    <n v="1"/>
    <x v="11"/>
    <s v="123 1st Street"/>
    <x v="10"/>
    <x v="10"/>
    <n v="99999"/>
    <s v="USA"/>
    <x v="2"/>
    <x v="2"/>
    <m/>
    <m/>
    <s v="Anna Bedecs"/>
    <s v="123 1st Street"/>
    <x v="10"/>
    <s v="WA"/>
    <n v="99999"/>
    <s v="USA"/>
    <m/>
    <x v="4"/>
    <x v="0"/>
    <n v="18"/>
    <n v="99"/>
    <x v="287"/>
    <n v="174.63600000000002"/>
  </r>
  <r>
    <n v="1390"/>
    <x v="145"/>
    <n v="1"/>
    <x v="11"/>
    <s v="123 1st Street"/>
    <x v="10"/>
    <x v="10"/>
    <n v="99999"/>
    <s v="USA"/>
    <x v="2"/>
    <x v="2"/>
    <m/>
    <m/>
    <s v="Anna Bedecs"/>
    <s v="123 1st Street"/>
    <x v="10"/>
    <s v="WA"/>
    <n v="99999"/>
    <s v="USA"/>
    <m/>
    <x v="5"/>
    <x v="0"/>
    <n v="46"/>
    <n v="89"/>
    <x v="288"/>
    <n v="388.93"/>
  </r>
  <r>
    <n v="1391"/>
    <x v="145"/>
    <n v="1"/>
    <x v="11"/>
    <s v="123 1st Street"/>
    <x v="10"/>
    <x v="10"/>
    <n v="99999"/>
    <s v="USA"/>
    <x v="2"/>
    <x v="2"/>
    <m/>
    <m/>
    <s v="Anna Bedecs"/>
    <s v="123 1st Street"/>
    <x v="10"/>
    <s v="WA"/>
    <n v="99999"/>
    <s v="USA"/>
    <m/>
    <x v="10"/>
    <x v="0"/>
    <n v="2.99"/>
    <n v="64"/>
    <x v="200"/>
    <n v="19.518720000000002"/>
  </r>
  <r>
    <n v="1392"/>
    <x v="141"/>
    <n v="28"/>
    <x v="7"/>
    <s v="789 28th Street"/>
    <x v="6"/>
    <x v="6"/>
    <n v="99999"/>
    <s v="USA"/>
    <x v="5"/>
    <x v="3"/>
    <d v="2014-12-30T00:00:00"/>
    <s v="Shipping Company C"/>
    <s v="Amritansh Raghav"/>
    <s v="789 28th Street"/>
    <x v="6"/>
    <s v="TN"/>
    <n v="99999"/>
    <s v="USA"/>
    <s v="Credit Card"/>
    <x v="8"/>
    <x v="4"/>
    <n v="9.65"/>
    <n v="98"/>
    <x v="289"/>
    <n v="96.461400000000012"/>
  </r>
  <r>
    <n v="1393"/>
    <x v="141"/>
    <n v="28"/>
    <x v="7"/>
    <s v="789 28th Street"/>
    <x v="6"/>
    <x v="6"/>
    <n v="99999"/>
    <s v="USA"/>
    <x v="5"/>
    <x v="3"/>
    <d v="2014-12-30T00:00:00"/>
    <s v="Shipping Company C"/>
    <s v="Amritansh Raghav"/>
    <s v="789 28th Street"/>
    <x v="6"/>
    <s v="TN"/>
    <n v="99999"/>
    <s v="USA"/>
    <s v="Credit Card"/>
    <x v="13"/>
    <x v="8"/>
    <n v="18.399999999999999"/>
    <n v="86"/>
    <x v="290"/>
    <n v="155.0752"/>
  </r>
  <r>
    <n v="1394"/>
    <x v="146"/>
    <n v="9"/>
    <x v="12"/>
    <s v="123 9th Street"/>
    <x v="11"/>
    <x v="11"/>
    <n v="99999"/>
    <s v="USA"/>
    <x v="7"/>
    <x v="0"/>
    <d v="2014-12-11T00:00:00"/>
    <s v="Shipping Company A"/>
    <s v="Sven Mortensen"/>
    <s v="123 9th Street"/>
    <x v="11"/>
    <s v="UT"/>
    <n v="99999"/>
    <s v="USA"/>
    <s v="Check"/>
    <x v="14"/>
    <x v="9"/>
    <n v="19.5"/>
    <n v="20"/>
    <x v="291"/>
    <n v="40.950000000000003"/>
  </r>
  <r>
    <n v="1395"/>
    <x v="146"/>
    <n v="9"/>
    <x v="12"/>
    <s v="123 9th Street"/>
    <x v="11"/>
    <x v="11"/>
    <n v="99999"/>
    <s v="USA"/>
    <x v="7"/>
    <x v="0"/>
    <d v="2014-12-11T00:00:00"/>
    <s v="Shipping Company A"/>
    <s v="Sven Mortensen"/>
    <s v="123 9th Street"/>
    <x v="11"/>
    <s v="UT"/>
    <n v="99999"/>
    <s v="USA"/>
    <s v="Check"/>
    <x v="15"/>
    <x v="10"/>
    <n v="34.799999999999997"/>
    <n v="69"/>
    <x v="292"/>
    <n v="240.12"/>
  </r>
  <r>
    <n v="1396"/>
    <x v="140"/>
    <n v="6"/>
    <x v="6"/>
    <s v="123 6th Street"/>
    <x v="5"/>
    <x v="5"/>
    <n v="99999"/>
    <s v="USA"/>
    <x v="4"/>
    <x v="2"/>
    <d v="2014-12-08T00:00:00"/>
    <s v="Shipping Company B"/>
    <s v="Francisco Pérez-Olaeta"/>
    <s v="123 6th Street"/>
    <x v="5"/>
    <s v="WI"/>
    <n v="99999"/>
    <s v="USA"/>
    <s v="Credit Card"/>
    <x v="0"/>
    <x v="0"/>
    <n v="14"/>
    <n v="68"/>
    <x v="293"/>
    <n v="91.391999999999996"/>
  </r>
  <r>
    <n v="1397"/>
    <x v="137"/>
    <n v="8"/>
    <x v="3"/>
    <s v="123 8th Street"/>
    <x v="2"/>
    <x v="2"/>
    <n v="99999"/>
    <s v="USA"/>
    <x v="2"/>
    <x v="2"/>
    <d v="2014-12-10T00:00:00"/>
    <s v="Shipping Company B"/>
    <s v="Elizabeth Andersen"/>
    <s v="123 8th Street"/>
    <x v="2"/>
    <s v="OR"/>
    <n v="99999"/>
    <s v="USA"/>
    <s v="Check"/>
    <x v="9"/>
    <x v="5"/>
    <n v="40"/>
    <n v="52"/>
    <x v="294"/>
    <n v="203.84"/>
  </r>
  <r>
    <n v="1398"/>
    <x v="137"/>
    <n v="8"/>
    <x v="3"/>
    <s v="123 8th Street"/>
    <x v="2"/>
    <x v="2"/>
    <n v="99999"/>
    <s v="USA"/>
    <x v="2"/>
    <x v="2"/>
    <d v="2014-12-10T00:00:00"/>
    <s v="Shipping Company B"/>
    <s v="Elizabeth Andersen"/>
    <s v="123 8th Street"/>
    <x v="2"/>
    <s v="OR"/>
    <n v="99999"/>
    <s v="USA"/>
    <s v="Check"/>
    <x v="6"/>
    <x v="2"/>
    <n v="9.1999999999999993"/>
    <n v="40"/>
    <x v="295"/>
    <n v="38.640000000000008"/>
  </r>
  <r>
    <n v="1399"/>
    <x v="147"/>
    <n v="25"/>
    <x v="13"/>
    <s v="789 25th Street"/>
    <x v="7"/>
    <x v="7"/>
    <n v="99999"/>
    <s v="USA"/>
    <x v="6"/>
    <x v="1"/>
    <d v="2014-12-27T00:00:00"/>
    <s v="Shipping Company A"/>
    <s v="John Rodman"/>
    <s v="789 25th Street"/>
    <x v="7"/>
    <s v="IL"/>
    <n v="99999"/>
    <s v="USA"/>
    <s v="Cash"/>
    <x v="21"/>
    <x v="2"/>
    <n v="10"/>
    <n v="100"/>
    <x v="116"/>
    <n v="98"/>
  </r>
  <r>
    <n v="1400"/>
    <x v="148"/>
    <n v="26"/>
    <x v="14"/>
    <s v="789 26th Street"/>
    <x v="9"/>
    <x v="9"/>
    <n v="99999"/>
    <s v="USA"/>
    <x v="5"/>
    <x v="3"/>
    <d v="2014-12-28T00:00:00"/>
    <s v="Shipping Company C"/>
    <s v="Run Liu"/>
    <s v="789 26th Street"/>
    <x v="9"/>
    <s v="FL"/>
    <n v="99999"/>
    <s v="USA"/>
    <s v="Credit Card"/>
    <x v="22"/>
    <x v="13"/>
    <n v="21.35"/>
    <n v="88"/>
    <x v="296"/>
    <n v="184.12240000000003"/>
  </r>
  <r>
    <n v="1401"/>
    <x v="148"/>
    <n v="26"/>
    <x v="14"/>
    <s v="789 26th Street"/>
    <x v="9"/>
    <x v="9"/>
    <n v="99999"/>
    <s v="USA"/>
    <x v="5"/>
    <x v="3"/>
    <d v="2014-12-28T00:00:00"/>
    <s v="Shipping Company C"/>
    <s v="Run Liu"/>
    <s v="789 26th Street"/>
    <x v="9"/>
    <s v="FL"/>
    <n v="99999"/>
    <s v="USA"/>
    <s v="Credit Card"/>
    <x v="8"/>
    <x v="4"/>
    <n v="9.65"/>
    <n v="46"/>
    <x v="256"/>
    <n v="42.614400000000003"/>
  </r>
  <r>
    <n v="1402"/>
    <x v="148"/>
    <n v="26"/>
    <x v="14"/>
    <s v="789 26th Street"/>
    <x v="9"/>
    <x v="9"/>
    <n v="99999"/>
    <s v="USA"/>
    <x v="5"/>
    <x v="3"/>
    <d v="2014-12-28T00:00:00"/>
    <s v="Shipping Company C"/>
    <s v="Run Liu"/>
    <s v="789 26th Street"/>
    <x v="9"/>
    <s v="FL"/>
    <n v="99999"/>
    <s v="USA"/>
    <s v="Credit Card"/>
    <x v="13"/>
    <x v="8"/>
    <n v="18.399999999999999"/>
    <n v="93"/>
    <x v="297"/>
    <n v="167.69759999999999"/>
  </r>
  <r>
    <n v="1403"/>
    <x v="138"/>
    <n v="29"/>
    <x v="4"/>
    <s v="789 29th Street"/>
    <x v="3"/>
    <x v="3"/>
    <n v="99999"/>
    <s v="USA"/>
    <x v="3"/>
    <x v="0"/>
    <d v="2014-12-31T00:00:00"/>
    <s v="Shipping Company B"/>
    <s v="Soo Jung Lee"/>
    <s v="789 29th Street"/>
    <x v="3"/>
    <s v="CO"/>
    <n v="99999"/>
    <s v="USA"/>
    <s v="Check"/>
    <x v="0"/>
    <x v="0"/>
    <n v="14"/>
    <n v="96"/>
    <x v="298"/>
    <n v="141.12"/>
  </r>
  <r>
    <n v="1404"/>
    <x v="140"/>
    <n v="6"/>
    <x v="6"/>
    <s v="123 6th Street"/>
    <x v="5"/>
    <x v="5"/>
    <n v="99999"/>
    <s v="USA"/>
    <x v="4"/>
    <x v="2"/>
    <d v="2014-12-08T00:00:00"/>
    <s v="Shipping Company C"/>
    <s v="Francisco Pérez-Olaeta"/>
    <s v="123 6th Street"/>
    <x v="5"/>
    <s v="WI"/>
    <n v="99999"/>
    <s v="USA"/>
    <s v="Check"/>
    <x v="7"/>
    <x v="3"/>
    <n v="12.75"/>
    <n v="12"/>
    <x v="299"/>
    <n v="16.065000000000001"/>
  </r>
  <r>
    <n v="1406"/>
    <x v="135"/>
    <n v="4"/>
    <x v="1"/>
    <s v="123 4th Street"/>
    <x v="1"/>
    <x v="1"/>
    <n v="99999"/>
    <s v="USA"/>
    <x v="1"/>
    <x v="1"/>
    <d v="2014-12-06T00:00:00"/>
    <s v="Shipping Company A"/>
    <s v="Christina Lee"/>
    <s v="123 4th Street"/>
    <x v="1"/>
    <s v="NY"/>
    <n v="99999"/>
    <s v="USA"/>
    <s v="Credit Card"/>
    <x v="23"/>
    <x v="6"/>
    <n v="81"/>
    <n v="38"/>
    <x v="300"/>
    <n v="292.41000000000003"/>
  </r>
  <r>
    <n v="1407"/>
    <x v="135"/>
    <n v="4"/>
    <x v="1"/>
    <s v="123 4th Street"/>
    <x v="1"/>
    <x v="1"/>
    <n v="99999"/>
    <s v="USA"/>
    <x v="1"/>
    <x v="1"/>
    <d v="2014-12-06T00:00:00"/>
    <s v="Shipping Company A"/>
    <s v="Christina Lee"/>
    <s v="123 4th Street"/>
    <x v="1"/>
    <s v="NY"/>
    <n v="99999"/>
    <s v="USA"/>
    <s v="Credit Card"/>
    <x v="24"/>
    <x v="14"/>
    <n v="7"/>
    <n v="42"/>
    <x v="108"/>
    <n v="29.106000000000002"/>
  </r>
  <r>
    <n v="1409"/>
    <x v="137"/>
    <n v="8"/>
    <x v="3"/>
    <s v="123 8th Street"/>
    <x v="2"/>
    <x v="2"/>
    <n v="99999"/>
    <s v="USA"/>
    <x v="2"/>
    <x v="2"/>
    <d v="2014-12-10T00:00:00"/>
    <s v="Shipping Company C"/>
    <s v="Elizabeth Andersen"/>
    <s v="123 8th Street"/>
    <x v="2"/>
    <s v="OR"/>
    <n v="99999"/>
    <s v="USA"/>
    <s v="Credit Card"/>
    <x v="15"/>
    <x v="10"/>
    <n v="34.799999999999997"/>
    <n v="100"/>
    <x v="301"/>
    <n v="344.52"/>
  </r>
  <r>
    <n v="1412"/>
    <x v="139"/>
    <n v="3"/>
    <x v="5"/>
    <s v="123 3rd Street"/>
    <x v="4"/>
    <x v="4"/>
    <n v="99999"/>
    <s v="USA"/>
    <x v="0"/>
    <x v="0"/>
    <d v="2014-12-05T00:00:00"/>
    <s v="Shipping Company B"/>
    <s v="Thomas Axerr"/>
    <s v="123 3rd Street"/>
    <x v="4"/>
    <s v="CA"/>
    <n v="99999"/>
    <s v="USA"/>
    <s v="Cash"/>
    <x v="16"/>
    <x v="7"/>
    <n v="10"/>
    <n v="89"/>
    <x v="302"/>
    <n v="87.22"/>
  </r>
  <r>
    <n v="1413"/>
    <x v="139"/>
    <n v="3"/>
    <x v="5"/>
    <s v="123 3rd Street"/>
    <x v="4"/>
    <x v="4"/>
    <n v="99999"/>
    <s v="USA"/>
    <x v="0"/>
    <x v="0"/>
    <d v="2014-12-05T00:00:00"/>
    <s v="Shipping Company B"/>
    <s v="Thomas Axerr"/>
    <s v="123 3rd Street"/>
    <x v="4"/>
    <s v="CA"/>
    <n v="99999"/>
    <s v="USA"/>
    <s v="Cash"/>
    <x v="9"/>
    <x v="5"/>
    <n v="40"/>
    <n v="12"/>
    <x v="60"/>
    <n v="46.56"/>
  </r>
  <r>
    <n v="1417"/>
    <x v="142"/>
    <n v="10"/>
    <x v="8"/>
    <s v="123 10th Street"/>
    <x v="7"/>
    <x v="7"/>
    <n v="99999"/>
    <s v="USA"/>
    <x v="6"/>
    <x v="1"/>
    <d v="2014-12-12T00:00:00"/>
    <s v="Shipping Company B"/>
    <s v="Roland Wacker"/>
    <s v="123 10th Street"/>
    <x v="7"/>
    <s v="IL"/>
    <n v="99999"/>
    <s v="USA"/>
    <s v="Credit Card"/>
    <x v="18"/>
    <x v="1"/>
    <n v="10"/>
    <n v="97"/>
    <x v="303"/>
    <n v="100.88000000000001"/>
  </r>
  <r>
    <n v="1419"/>
    <x v="142"/>
    <n v="10"/>
    <x v="8"/>
    <s v="123 10th Street"/>
    <x v="7"/>
    <x v="7"/>
    <n v="99999"/>
    <s v="USA"/>
    <x v="6"/>
    <x v="1"/>
    <m/>
    <s v="Shipping Company A"/>
    <s v="Roland Wacker"/>
    <s v="123 10th Street"/>
    <x v="7"/>
    <s v="IL"/>
    <n v="99999"/>
    <s v="USA"/>
    <m/>
    <x v="1"/>
    <x v="1"/>
    <n v="3.5"/>
    <n v="53"/>
    <x v="304"/>
    <n v="17.622499999999999"/>
  </r>
  <r>
    <n v="1420"/>
    <x v="144"/>
    <n v="11"/>
    <x v="10"/>
    <s v="123 11th Street"/>
    <x v="9"/>
    <x v="9"/>
    <n v="99999"/>
    <s v="USA"/>
    <x v="5"/>
    <x v="3"/>
    <m/>
    <s v="Shipping Company C"/>
    <s v="Peter Krschne"/>
    <s v="123 11th Street"/>
    <x v="9"/>
    <s v="FL"/>
    <n v="99999"/>
    <s v="USA"/>
    <m/>
    <x v="9"/>
    <x v="5"/>
    <n v="40"/>
    <n v="61"/>
    <x v="305"/>
    <n v="248.88"/>
  </r>
  <r>
    <n v="1421"/>
    <x v="145"/>
    <n v="1"/>
    <x v="11"/>
    <s v="123 1st Street"/>
    <x v="10"/>
    <x v="10"/>
    <n v="99999"/>
    <s v="USA"/>
    <x v="2"/>
    <x v="2"/>
    <m/>
    <s v="Shipping Company C"/>
    <s v="Anna Bedecs"/>
    <s v="123 1st Street"/>
    <x v="10"/>
    <s v="WA"/>
    <n v="99999"/>
    <s v="USA"/>
    <m/>
    <x v="13"/>
    <x v="8"/>
    <n v="18.399999999999999"/>
    <n v="45"/>
    <x v="306"/>
    <n v="81.143999999999991"/>
  </r>
  <r>
    <n v="1422"/>
    <x v="141"/>
    <n v="28"/>
    <x v="7"/>
    <s v="789 28th Street"/>
    <x v="6"/>
    <x v="6"/>
    <n v="99999"/>
    <s v="USA"/>
    <x v="5"/>
    <x v="3"/>
    <d v="2014-12-30T00:00:00"/>
    <s v="Shipping Company C"/>
    <s v="Amritansh Raghav"/>
    <s v="789 28th Street"/>
    <x v="6"/>
    <s v="TN"/>
    <n v="99999"/>
    <s v="USA"/>
    <s v="Credit Card"/>
    <x v="5"/>
    <x v="0"/>
    <n v="46"/>
    <n v="43"/>
    <x v="307"/>
    <n v="197.8"/>
  </r>
  <r>
    <n v="1423"/>
    <x v="146"/>
    <n v="9"/>
    <x v="12"/>
    <s v="123 9th Street"/>
    <x v="11"/>
    <x v="11"/>
    <n v="99999"/>
    <s v="USA"/>
    <x v="7"/>
    <x v="0"/>
    <d v="2014-12-11T00:00:00"/>
    <s v="Shipping Company A"/>
    <s v="Sven Mortensen"/>
    <s v="123 9th Street"/>
    <x v="11"/>
    <s v="UT"/>
    <n v="99999"/>
    <s v="USA"/>
    <s v="Check"/>
    <x v="8"/>
    <x v="4"/>
    <n v="9.65"/>
    <n v="18"/>
    <x v="308"/>
    <n v="16.5015"/>
  </r>
  <r>
    <n v="1424"/>
    <x v="140"/>
    <n v="6"/>
    <x v="6"/>
    <s v="123 6th Street"/>
    <x v="5"/>
    <x v="5"/>
    <n v="99999"/>
    <s v="USA"/>
    <x v="4"/>
    <x v="2"/>
    <d v="2014-12-08T00:00:00"/>
    <s v="Shipping Company B"/>
    <s v="Francisco Pérez-Olaeta"/>
    <s v="123 6th Street"/>
    <x v="5"/>
    <s v="WI"/>
    <n v="99999"/>
    <s v="USA"/>
    <s v="Credit Card"/>
    <x v="7"/>
    <x v="3"/>
    <n v="12.75"/>
    <n v="41"/>
    <x v="87"/>
    <n v="50.706750000000007"/>
  </r>
  <r>
    <n v="1425"/>
    <x v="137"/>
    <n v="8"/>
    <x v="3"/>
    <s v="123 8th Street"/>
    <x v="2"/>
    <x v="2"/>
    <n v="99999"/>
    <s v="USA"/>
    <x v="2"/>
    <x v="2"/>
    <n v="41983"/>
    <s v="Shipping Company B"/>
    <s v="Elizabeth Andersen"/>
    <s v="123 8th Street"/>
    <x v="2"/>
    <s v="OR"/>
    <n v="99999"/>
    <s v="USA"/>
    <s v="Check"/>
    <x v="7"/>
    <x v="3"/>
    <n v="12.75"/>
    <n v="19"/>
    <x v="109"/>
    <n v="23.982750000000003"/>
  </r>
  <r>
    <n v="1426"/>
    <x v="147"/>
    <n v="25"/>
    <x v="13"/>
    <s v="789 25th Street"/>
    <x v="7"/>
    <x v="7"/>
    <n v="99999"/>
    <s v="USA"/>
    <x v="6"/>
    <x v="1"/>
    <n v="42000"/>
    <s v="Shipping Company A"/>
    <s v="John Rodman"/>
    <s v="789 25th Street"/>
    <x v="7"/>
    <s v="IL"/>
    <n v="99999"/>
    <s v="USA"/>
    <s v="Cash"/>
    <x v="12"/>
    <x v="7"/>
    <n v="22"/>
    <n v="65"/>
    <x v="309"/>
    <n v="138.71"/>
  </r>
  <r>
    <n v="1427"/>
    <x v="148"/>
    <n v="26"/>
    <x v="14"/>
    <s v="789 26th Street"/>
    <x v="9"/>
    <x v="9"/>
    <n v="99999"/>
    <s v="USA"/>
    <x v="5"/>
    <x v="3"/>
    <n v="42001"/>
    <s v="Shipping Company C"/>
    <s v="Run Liu"/>
    <s v="789 26th Street"/>
    <x v="9"/>
    <s v="FL"/>
    <n v="99999"/>
    <s v="USA"/>
    <s v="Credit Card"/>
    <x v="11"/>
    <x v="6"/>
    <n v="25"/>
    <n v="13"/>
    <x v="310"/>
    <n v="32.174999999999997"/>
  </r>
  <r>
    <n v="1428"/>
    <x v="138"/>
    <n v="29"/>
    <x v="4"/>
    <s v="789 29th Street"/>
    <x v="3"/>
    <x v="3"/>
    <n v="99999"/>
    <s v="USA"/>
    <x v="3"/>
    <x v="0"/>
    <n v="42004"/>
    <s v="Shipping Company B"/>
    <s v="Soo Jung Lee"/>
    <s v="789 29th Street"/>
    <x v="3"/>
    <s v="CO"/>
    <n v="99999"/>
    <s v="USA"/>
    <s v="Check"/>
    <x v="19"/>
    <x v="12"/>
    <n v="39"/>
    <n v="54"/>
    <x v="311"/>
    <n v="214.81200000000004"/>
  </r>
  <r>
    <n v="1429"/>
    <x v="140"/>
    <n v="6"/>
    <x v="6"/>
    <s v="123 6th Street"/>
    <x v="5"/>
    <x v="5"/>
    <n v="99999"/>
    <s v="USA"/>
    <x v="4"/>
    <x v="2"/>
    <d v="2014-12-08T00:00:00"/>
    <s v="Shipping Company C"/>
    <s v="Francisco Pérez-Olaeta"/>
    <s v="123 6th Street"/>
    <x v="5"/>
    <s v="WI"/>
    <n v="99999"/>
    <s v="USA"/>
    <s v="Check"/>
    <x v="2"/>
    <x v="1"/>
    <n v="30"/>
    <n v="33"/>
    <x v="82"/>
    <n v="95.039999999999992"/>
  </r>
  <r>
    <n v="1430"/>
    <x v="140"/>
    <n v="6"/>
    <x v="6"/>
    <s v="123 6th Street"/>
    <x v="5"/>
    <x v="5"/>
    <n v="99999"/>
    <s v="USA"/>
    <x v="4"/>
    <x v="2"/>
    <d v="2014-12-08T00:00:00"/>
    <s v="Shipping Company C"/>
    <s v="Francisco Pérez-Olaeta"/>
    <s v="123 6th Street"/>
    <x v="5"/>
    <s v="WI"/>
    <n v="99999"/>
    <s v="USA"/>
    <s v="Check"/>
    <x v="3"/>
    <x v="1"/>
    <n v="53"/>
    <n v="34"/>
    <x v="312"/>
    <n v="185.60600000000002"/>
  </r>
  <r>
    <n v="1431"/>
    <x v="135"/>
    <n v="4"/>
    <x v="1"/>
    <s v="123 4th Street"/>
    <x v="1"/>
    <x v="1"/>
    <n v="99999"/>
    <s v="USA"/>
    <x v="1"/>
    <x v="1"/>
    <m/>
    <m/>
    <s v="Christina Lee"/>
    <s v="123 4th Street"/>
    <x v="1"/>
    <s v="NY"/>
    <n v="99999"/>
    <s v="USA"/>
    <m/>
    <x v="20"/>
    <x v="9"/>
    <n v="38"/>
    <n v="59"/>
    <x v="313"/>
    <n v="226.44200000000001"/>
  </r>
  <r>
    <n v="1432"/>
    <x v="139"/>
    <n v="3"/>
    <x v="5"/>
    <s v="123 3rd Street"/>
    <x v="4"/>
    <x v="4"/>
    <n v="99999"/>
    <s v="USA"/>
    <x v="0"/>
    <x v="0"/>
    <m/>
    <m/>
    <s v="Thomas Axerr"/>
    <s v="123 3rd Street"/>
    <x v="4"/>
    <s v="CA"/>
    <n v="99999"/>
    <s v="USA"/>
    <m/>
    <x v="10"/>
    <x v="0"/>
    <n v="2.99"/>
    <n v="24"/>
    <x v="314"/>
    <n v="7.10424000000000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882487-6530-4B8F-B389-AB5681C9070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A3:B11" firstHeaderRow="1" firstDataRow="1" firstDataCol="1"/>
  <pivotFields count="27">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pivotField showAll="0"/>
    <pivotField showAll="0"/>
    <pivotField showAll="0"/>
    <pivotField showAll="0"/>
    <pivotField showAll="0"/>
    <pivotField showAll="0">
      <items count="9">
        <item x="1"/>
        <item x="5"/>
        <item x="3"/>
        <item x="6"/>
        <item x="0"/>
        <item x="4"/>
        <item x="2"/>
        <item x="7"/>
        <item t="default"/>
      </items>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showAll="0" sortType="ascending">
      <items count="16">
        <item x="2"/>
        <item x="0"/>
        <item x="3"/>
        <item x="8"/>
        <item x="7"/>
        <item x="10"/>
        <item x="1"/>
        <item x="12"/>
        <item x="14"/>
        <item x="6"/>
        <item x="13"/>
        <item x="9"/>
        <item x="5"/>
        <item x="11"/>
        <item x="4"/>
        <item t="default"/>
      </items>
      <autoSortScope>
        <pivotArea dataOnly="0" outline="0" fieldPosition="0">
          <references count="1">
            <reference field="4294967294" count="1" selected="0">
              <x v="0"/>
            </reference>
          </references>
        </pivotArea>
      </autoSortScope>
    </pivotField>
    <pivotField showAll="0"/>
    <pivotField showAll="0"/>
    <pivotField axis="axisRow" dataField="1" numFmtId="165" showAll="0">
      <items count="10">
        <item x="0"/>
        <item x="1"/>
        <item x="2"/>
        <item x="3"/>
        <item x="4"/>
        <item x="5"/>
        <item x="6"/>
        <item x="7"/>
        <item x="8"/>
        <item t="default"/>
      </items>
    </pivotField>
    <pivotField numFmtId="165"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4"/>
  </rowFields>
  <rowItems count="8">
    <i>
      <x/>
    </i>
    <i>
      <x v="1"/>
    </i>
    <i>
      <x v="2"/>
    </i>
    <i>
      <x v="3"/>
    </i>
    <i>
      <x v="4"/>
    </i>
    <i>
      <x v="6"/>
    </i>
    <i>
      <x v="7"/>
    </i>
    <i t="grand">
      <x/>
    </i>
  </rowItems>
  <colItems count="1">
    <i/>
  </colItems>
  <dataFields count="1">
    <dataField name="Count of Revenue" fld="24" subtotal="count" baseField="0" baseItem="0"/>
  </dataFields>
  <chartFormats count="16">
    <chartFormat chart="25" format="1" series="1">
      <pivotArea type="data" outline="0" fieldPosition="0">
        <references count="1">
          <reference field="4294967294" count="1" selected="0">
            <x v="0"/>
          </reference>
        </references>
      </pivotArea>
    </chartFormat>
    <chartFormat chart="27" format="15" series="1">
      <pivotArea type="data" outline="0" fieldPosition="0">
        <references count="1">
          <reference field="4294967294" count="1" selected="0">
            <x v="0"/>
          </reference>
        </references>
      </pivotArea>
    </chartFormat>
    <chartFormat chart="27" format="22">
      <pivotArea type="data" outline="0" fieldPosition="0">
        <references count="2">
          <reference field="4294967294" count="1" selected="0">
            <x v="0"/>
          </reference>
          <reference field="24" count="1" selected="0">
            <x v="1"/>
          </reference>
        </references>
      </pivotArea>
    </chartFormat>
    <chartFormat chart="27" format="23">
      <pivotArea type="data" outline="0" fieldPosition="0">
        <references count="2">
          <reference field="4294967294" count="1" selected="0">
            <x v="0"/>
          </reference>
          <reference field="24" count="1" selected="0">
            <x v="2"/>
          </reference>
        </references>
      </pivotArea>
    </chartFormat>
    <chartFormat chart="27" format="24">
      <pivotArea type="data" outline="0" fieldPosition="0">
        <references count="2">
          <reference field="4294967294" count="1" selected="0">
            <x v="0"/>
          </reference>
          <reference field="24" count="1" selected="0">
            <x v="3"/>
          </reference>
        </references>
      </pivotArea>
    </chartFormat>
    <chartFormat chart="27" format="25">
      <pivotArea type="data" outline="0" fieldPosition="0">
        <references count="2">
          <reference field="4294967294" count="1" selected="0">
            <x v="0"/>
          </reference>
          <reference field="24" count="1" selected="0">
            <x v="4"/>
          </reference>
        </references>
      </pivotArea>
    </chartFormat>
    <chartFormat chart="30" format="26" series="1">
      <pivotArea type="data" outline="0" fieldPosition="0">
        <references count="1">
          <reference field="4294967294" count="1" selected="0">
            <x v="0"/>
          </reference>
        </references>
      </pivotArea>
    </chartFormat>
    <chartFormat chart="30" format="27">
      <pivotArea type="data" outline="0" fieldPosition="0">
        <references count="2">
          <reference field="4294967294" count="1" selected="0">
            <x v="0"/>
          </reference>
          <reference field="24" count="1" selected="0">
            <x v="1"/>
          </reference>
        </references>
      </pivotArea>
    </chartFormat>
    <chartFormat chart="30" format="28">
      <pivotArea type="data" outline="0" fieldPosition="0">
        <references count="2">
          <reference field="4294967294" count="1" selected="0">
            <x v="0"/>
          </reference>
          <reference field="24" count="1" selected="0">
            <x v="2"/>
          </reference>
        </references>
      </pivotArea>
    </chartFormat>
    <chartFormat chart="30" format="29">
      <pivotArea type="data" outline="0" fieldPosition="0">
        <references count="2">
          <reference field="4294967294" count="1" selected="0">
            <x v="0"/>
          </reference>
          <reference field="24" count="1" selected="0">
            <x v="3"/>
          </reference>
        </references>
      </pivotArea>
    </chartFormat>
    <chartFormat chart="30" format="30">
      <pivotArea type="data" outline="0" fieldPosition="0">
        <references count="2">
          <reference field="4294967294" count="1" selected="0">
            <x v="0"/>
          </reference>
          <reference field="24" count="1" selected="0">
            <x v="4"/>
          </reference>
        </references>
      </pivotArea>
    </chartFormat>
    <chartFormat chart="38" format="51" series="1">
      <pivotArea type="data" outline="0" fieldPosition="0">
        <references count="1">
          <reference field="4294967294" count="1" selected="0">
            <x v="0"/>
          </reference>
        </references>
      </pivotArea>
    </chartFormat>
    <chartFormat chart="38" format="52">
      <pivotArea type="data" outline="0" fieldPosition="0">
        <references count="2">
          <reference field="4294967294" count="1" selected="0">
            <x v="0"/>
          </reference>
          <reference field="24" count="1" selected="0">
            <x v="1"/>
          </reference>
        </references>
      </pivotArea>
    </chartFormat>
    <chartFormat chart="38" format="53">
      <pivotArea type="data" outline="0" fieldPosition="0">
        <references count="2">
          <reference field="4294967294" count="1" selected="0">
            <x v="0"/>
          </reference>
          <reference field="24" count="1" selected="0">
            <x v="2"/>
          </reference>
        </references>
      </pivotArea>
    </chartFormat>
    <chartFormat chart="38" format="54">
      <pivotArea type="data" outline="0" fieldPosition="0">
        <references count="2">
          <reference field="4294967294" count="1" selected="0">
            <x v="0"/>
          </reference>
          <reference field="24" count="1" selected="0">
            <x v="3"/>
          </reference>
        </references>
      </pivotArea>
    </chartFormat>
    <chartFormat chart="38" format="55">
      <pivotArea type="data" outline="0" fieldPosition="0">
        <references count="2">
          <reference field="4294967294" count="1" selected="0">
            <x v="0"/>
          </reference>
          <reference field="2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A815E0B-5B96-4F94-80F7-007AB6DA912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A3:B16" firstHeaderRow="1" firstDataRow="1" firstDataCol="1"/>
  <pivotFields count="27">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pivotField showAll="0"/>
    <pivotField showAll="0"/>
    <pivotField axis="axisRow" showAll="0">
      <items count="13">
        <item x="4"/>
        <item x="3"/>
        <item x="9"/>
        <item x="8"/>
        <item x="7"/>
        <item x="0"/>
        <item x="1"/>
        <item x="2"/>
        <item x="6"/>
        <item x="11"/>
        <item x="10"/>
        <item x="5"/>
        <item t="default"/>
      </items>
    </pivotField>
    <pivotField showAll="0"/>
    <pivotField showAll="0"/>
    <pivotField showAll="0">
      <items count="9">
        <item x="1"/>
        <item x="5"/>
        <item x="3"/>
        <item x="6"/>
        <item x="0"/>
        <item x="4"/>
        <item x="2"/>
        <item x="7"/>
        <item t="default"/>
      </items>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showAll="0" measureFilter="1" sortType="ascending">
      <autoSortScope>
        <pivotArea dataOnly="0" outline="0" fieldPosition="0">
          <references count="1">
            <reference field="4294967294" count="1" selected="0">
              <x v="0"/>
            </reference>
          </references>
        </pivotArea>
      </autoSortScope>
    </pivotField>
    <pivotField showAll="0"/>
    <pivotField showAll="0"/>
    <pivotField dataField="1" numFmtId="165" showAll="0">
      <items count="10">
        <item x="0"/>
        <item x="1"/>
        <item x="2"/>
        <item x="3"/>
        <item x="4"/>
        <item x="5"/>
        <item x="6"/>
        <item x="7"/>
        <item x="8"/>
        <item t="default"/>
      </items>
    </pivotField>
    <pivotField numFmtId="165"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13">
    <i>
      <x/>
    </i>
    <i>
      <x v="1"/>
    </i>
    <i>
      <x v="2"/>
    </i>
    <i>
      <x v="3"/>
    </i>
    <i>
      <x v="4"/>
    </i>
    <i>
      <x v="5"/>
    </i>
    <i>
      <x v="6"/>
    </i>
    <i>
      <x v="7"/>
    </i>
    <i>
      <x v="8"/>
    </i>
    <i>
      <x v="9"/>
    </i>
    <i>
      <x v="10"/>
    </i>
    <i>
      <x v="11"/>
    </i>
    <i t="grand">
      <x/>
    </i>
  </rowItems>
  <colItems count="1">
    <i/>
  </colItems>
  <dataFields count="1">
    <dataField name="Sum of Revenue" fld="24" baseField="0" baseItem="0"/>
  </dataFields>
  <formats count="1">
    <format dxfId="0">
      <pivotArea collapsedLevelsAreSubtotals="1" fieldPosition="0">
        <references count="1">
          <reference field="6" count="0"/>
        </references>
      </pivotArea>
    </format>
  </formats>
  <chartFormats count="4">
    <chartFormat chart="25" format="1" series="1">
      <pivotArea type="data" outline="0" fieldPosition="0">
        <references count="1">
          <reference field="4294967294" count="1" selected="0">
            <x v="0"/>
          </reference>
        </references>
      </pivotArea>
    </chartFormat>
    <chartFormat chart="27" format="15" series="1">
      <pivotArea type="data" outline="0" fieldPosition="0">
        <references count="1">
          <reference field="4294967294" count="1" selected="0">
            <x v="0"/>
          </reference>
        </references>
      </pivotArea>
    </chartFormat>
    <chartFormat chart="30" format="26" series="1">
      <pivotArea type="data" outline="0" fieldPosition="0">
        <references count="1">
          <reference field="4294967294" count="1" selected="0">
            <x v="0"/>
          </reference>
        </references>
      </pivotArea>
    </chartFormat>
    <chartFormat chart="34" format="3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1" type="count" evalOrder="-1" id="1"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F0B3C17-9EF6-4AA0-BBDF-3668A3BD904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3:B10" firstHeaderRow="1" firstDataRow="1" firstDataCol="1"/>
  <pivotFields count="27">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pivotField showAll="0"/>
    <pivotField showAll="0"/>
    <pivotField showAll="0"/>
    <pivotField showAll="0"/>
    <pivotField showAll="0"/>
    <pivotField showAll="0"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items count="5">
        <item x="1"/>
        <item x="2"/>
        <item x="3"/>
        <item x="0"/>
        <item t="default"/>
      </items>
    </pivotField>
    <pivotField showAll="0"/>
    <pivotField showAll="0"/>
    <pivotField showAll="0"/>
    <pivotField showAll="0"/>
    <pivotField axis="axisRow" showAll="0" measureFilter="1" sortType="descending">
      <items count="13">
        <item x="8"/>
        <item x="7"/>
        <item x="3"/>
        <item x="0"/>
        <item x="4"/>
        <item x="6"/>
        <item x="9"/>
        <item x="5"/>
        <item x="1"/>
        <item x="2"/>
        <item x="11"/>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numFmtId="165" showAll="0"/>
    <pivotField numFmtId="165" showAll="0"/>
    <pivotField showAll="0">
      <items count="15">
        <item x="0"/>
        <item x="1"/>
        <item x="2"/>
        <item x="3"/>
        <item x="4"/>
        <item x="5"/>
        <item x="6"/>
        <item x="7"/>
        <item x="8"/>
        <item x="9"/>
        <item x="10"/>
        <item x="11"/>
        <item x="12"/>
        <item x="13"/>
        <item t="default"/>
      </items>
    </pivotField>
  </pivotFields>
  <rowFields count="1">
    <field x="15"/>
  </rowFields>
  <rowItems count="7">
    <i>
      <x v="8"/>
    </i>
    <i>
      <x v="9"/>
    </i>
    <i>
      <x v="6"/>
    </i>
    <i>
      <x v="5"/>
    </i>
    <i>
      <x v="1"/>
    </i>
    <i>
      <x v="7"/>
    </i>
    <i t="grand">
      <x/>
    </i>
  </rowItems>
  <colItems count="1">
    <i/>
  </colItems>
  <dataFields count="1">
    <dataField name="Sum of Revenue" fld="24" baseField="0" baseItem="0" numFmtId="165"/>
  </dataFields>
  <chartFormats count="15">
    <chartFormat chart="0" format="0"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0"/>
          </reference>
        </references>
      </pivotArea>
    </chartFormat>
    <chartFormat chart="6" format="27" series="1">
      <pivotArea type="data" outline="0" fieldPosition="0">
        <references count="1">
          <reference field="4294967294" count="1" selected="0">
            <x v="0"/>
          </reference>
        </references>
      </pivotArea>
    </chartFormat>
    <chartFormat chart="16" format="30" series="1">
      <pivotArea type="data" outline="0" fieldPosition="0">
        <references count="1">
          <reference field="4294967294" count="1" selected="0">
            <x v="0"/>
          </reference>
        </references>
      </pivotArea>
    </chartFormat>
    <chartFormat chart="16" format="39">
      <pivotArea type="data" outline="0" fieldPosition="0">
        <references count="2">
          <reference field="4294967294" count="1" selected="0">
            <x v="0"/>
          </reference>
          <reference field="15" count="1" selected="0">
            <x v="7"/>
          </reference>
        </references>
      </pivotArea>
    </chartFormat>
    <chartFormat chart="16" format="39">
      <pivotArea type="data" outline="0" fieldPosition="0">
        <references count="2">
          <reference field="4294967294" count="1" selected="0">
            <x v="0"/>
          </reference>
          <reference field="15" count="1" selected="0">
            <x v="8"/>
          </reference>
        </references>
      </pivotArea>
    </chartFormat>
    <chartFormat chart="16" format="40">
      <pivotArea type="data" outline="0" fieldPosition="0">
        <references count="2">
          <reference field="4294967294" count="1" selected="0">
            <x v="0"/>
          </reference>
          <reference field="15" count="1" selected="0">
            <x v="9"/>
          </reference>
        </references>
      </pivotArea>
    </chartFormat>
    <chartFormat chart="16" format="41">
      <pivotArea type="data" outline="0" fieldPosition="0">
        <references count="2">
          <reference field="4294967294" count="1" selected="0">
            <x v="0"/>
          </reference>
          <reference field="15" count="1" selected="0">
            <x v="6"/>
          </reference>
        </references>
      </pivotArea>
    </chartFormat>
    <chartFormat chart="16" format="42">
      <pivotArea type="data" outline="0" fieldPosition="0">
        <references count="2">
          <reference field="4294967294" count="1" selected="0">
            <x v="0"/>
          </reference>
          <reference field="15" count="1" selected="0">
            <x v="5"/>
          </reference>
        </references>
      </pivotArea>
    </chartFormat>
    <chartFormat chart="16" format="43">
      <pivotArea type="data" outline="0" fieldPosition="0">
        <references count="2">
          <reference field="4294967294" count="1" selected="0">
            <x v="0"/>
          </reference>
          <reference field="15" count="1" selected="0">
            <x v="1"/>
          </reference>
        </references>
      </pivotArea>
    </chartFormat>
    <chartFormat chart="28" format="69" series="1">
      <pivotArea type="data" outline="0" fieldPosition="0">
        <references count="1">
          <reference field="4294967294" count="1" selected="0">
            <x v="0"/>
          </reference>
        </references>
      </pivotArea>
    </chartFormat>
    <chartFormat chart="28" format="70">
      <pivotArea type="data" outline="0" fieldPosition="0">
        <references count="2">
          <reference field="4294967294" count="1" selected="0">
            <x v="0"/>
          </reference>
          <reference field="15" count="1" selected="0">
            <x v="9"/>
          </reference>
        </references>
      </pivotArea>
    </chartFormat>
    <chartFormat chart="28" format="71">
      <pivotArea type="data" outline="0" fieldPosition="0">
        <references count="2">
          <reference field="4294967294" count="1" selected="0">
            <x v="0"/>
          </reference>
          <reference field="15" count="1" selected="0">
            <x v="6"/>
          </reference>
        </references>
      </pivotArea>
    </chartFormat>
    <chartFormat chart="28" format="72">
      <pivotArea type="data" outline="0" fieldPosition="0">
        <references count="2">
          <reference field="4294967294" count="1" selected="0">
            <x v="0"/>
          </reference>
          <reference field="15" count="1" selected="0">
            <x v="5"/>
          </reference>
        </references>
      </pivotArea>
    </chartFormat>
    <chartFormat chart="28" format="73">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76F082F-DABB-46FE-B2EB-2BB58F4B162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A3:B10" firstHeaderRow="1" firstDataRow="1" firstDataCol="1"/>
  <pivotFields count="27">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pivotField showAll="0"/>
    <pivotField showAll="0"/>
    <pivotField showAll="0"/>
    <pivotField showAll="0"/>
    <pivotField showAll="0"/>
    <pivotField showAll="0">
      <items count="9">
        <item x="1"/>
        <item x="5"/>
        <item x="3"/>
        <item x="6"/>
        <item x="0"/>
        <item x="4"/>
        <item x="2"/>
        <item x="7"/>
        <item t="default"/>
      </items>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axis="axisRow" showAll="0" measureFilter="1" sortType="ascending">
      <items count="16">
        <item x="2"/>
        <item x="0"/>
        <item x="3"/>
        <item x="8"/>
        <item x="7"/>
        <item x="10"/>
        <item x="1"/>
        <item x="12"/>
        <item x="14"/>
        <item x="6"/>
        <item x="13"/>
        <item x="9"/>
        <item x="5"/>
        <item x="11"/>
        <item x="4"/>
        <item t="default"/>
      </items>
      <autoSortScope>
        <pivotArea dataOnly="0" outline="0" fieldPosition="0">
          <references count="1">
            <reference field="4294967294" count="1" selected="0">
              <x v="0"/>
            </reference>
          </references>
        </pivotArea>
      </autoSortScope>
    </pivotField>
    <pivotField showAll="0"/>
    <pivotField showAll="0"/>
    <pivotField dataField="1" numFmtId="165" showAll="0"/>
    <pivotField numFmtId="165"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1"/>
  </rowFields>
  <rowItems count="7">
    <i>
      <x v="3"/>
    </i>
    <i>
      <x v="6"/>
    </i>
    <i>
      <x v="5"/>
    </i>
    <i>
      <x v="9"/>
    </i>
    <i>
      <x v="12"/>
    </i>
    <i>
      <x v="1"/>
    </i>
    <i t="grand">
      <x/>
    </i>
  </rowItems>
  <colItems count="1">
    <i/>
  </colItems>
  <dataFields count="1">
    <dataField name="Sum of Revenue" fld="24" baseField="0" baseItem="0" numFmtId="165"/>
  </dataFields>
  <chartFormats count="9">
    <chartFormat chart="25" format="1"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21" count="1" selected="0">
            <x v="1"/>
          </reference>
        </references>
      </pivotArea>
    </chartFormat>
    <chartFormat chart="25" format="10">
      <pivotArea type="data" outline="0" fieldPosition="0">
        <references count="2">
          <reference field="4294967294" count="1" selected="0">
            <x v="0"/>
          </reference>
          <reference field="21" count="1" selected="0">
            <x v="12"/>
          </reference>
        </references>
      </pivotArea>
    </chartFormat>
    <chartFormat chart="25" format="11">
      <pivotArea type="data" outline="0" fieldPosition="0">
        <references count="2">
          <reference field="4294967294" count="1" selected="0">
            <x v="0"/>
          </reference>
          <reference field="21" count="1" selected="0">
            <x v="9"/>
          </reference>
        </references>
      </pivotArea>
    </chartFormat>
    <chartFormat chart="25" format="12">
      <pivotArea type="data" outline="0" fieldPosition="0">
        <references count="2">
          <reference field="4294967294" count="1" selected="0">
            <x v="0"/>
          </reference>
          <reference field="21" count="1" selected="0">
            <x v="5"/>
          </reference>
        </references>
      </pivotArea>
    </chartFormat>
    <chartFormat chart="25" format="13">
      <pivotArea type="data" outline="0" fieldPosition="0">
        <references count="2">
          <reference field="4294967294" count="1" selected="0">
            <x v="0"/>
          </reference>
          <reference field="21" count="1" selected="0">
            <x v="6"/>
          </reference>
        </references>
      </pivotArea>
    </chartFormat>
    <chartFormat chart="25" format="14">
      <pivotArea type="data" outline="0" fieldPosition="0">
        <references count="2">
          <reference field="4294967294" count="1" selected="0">
            <x v="0"/>
          </reference>
          <reference field="21" count="1" selected="0">
            <x v="3"/>
          </reference>
        </references>
      </pivotArea>
    </chartFormat>
    <chartFormat chart="25" format="15">
      <pivotArea type="data" outline="0" fieldPosition="0">
        <references count="2">
          <reference field="4294967294" count="1" selected="0">
            <x v="0"/>
          </reference>
          <reference field="21" count="1" selected="0">
            <x v="14"/>
          </reference>
        </references>
      </pivotArea>
    </chartFormat>
    <chartFormat chart="25" format="16">
      <pivotArea type="data" outline="0" fieldPosition="0">
        <references count="2">
          <reference field="4294967294" count="1" selected="0">
            <x v="0"/>
          </reference>
          <reference field="21" count="1" selected="0">
            <x v="10"/>
          </reference>
        </references>
      </pivotArea>
    </chartFormat>
  </chartFormats>
  <pivotTableStyleInfo name="PivotStyleLight16" showRowHeaders="1" showColHeaders="1" showRowStripes="0" showColStripes="0" showLastColumn="1"/>
  <filters count="1">
    <filter fld="21" type="count" evalOrder="-1" id="1"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F3A4CF7-9980-431A-9D6E-756A9BD48CC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location ref="A3:B7" firstHeaderRow="1" firstDataRow="1" firstDataCol="1"/>
  <pivotFields count="27">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pivotField showAll="0"/>
    <pivotField axis="axisRow" showAll="0" measureFilter="1" sortType="ascending">
      <items count="13">
        <item x="8"/>
        <item x="7"/>
        <item x="3"/>
        <item x="0"/>
        <item x="4"/>
        <item x="6"/>
        <item x="9"/>
        <item x="5"/>
        <item x="1"/>
        <item x="2"/>
        <item x="11"/>
        <item x="10"/>
        <item t="default"/>
      </items>
    </pivotField>
    <pivotField showAll="0"/>
    <pivotField showAll="0"/>
    <pivotField showAll="0"/>
    <pivotField showAll="0">
      <items count="9">
        <item x="1"/>
        <item x="5"/>
        <item x="3"/>
        <item x="6"/>
        <item x="0"/>
        <item x="4"/>
        <item x="2"/>
        <item x="7"/>
        <item t="default"/>
      </items>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showAll="0" measureFilter="1" sortType="ascending">
      <autoSortScope>
        <pivotArea dataOnly="0" outline="0" fieldPosition="0">
          <references count="1">
            <reference field="4294967294" count="1" selected="0">
              <x v="0"/>
            </reference>
          </references>
        </pivotArea>
      </autoSortScope>
    </pivotField>
    <pivotField showAll="0"/>
    <pivotField showAll="0"/>
    <pivotField dataField="1" numFmtId="165" showAll="0"/>
    <pivotField numFmtId="165"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4">
    <i>
      <x v="6"/>
    </i>
    <i>
      <x v="8"/>
    </i>
    <i>
      <x v="9"/>
    </i>
    <i t="grand">
      <x/>
    </i>
  </rowItems>
  <colItems count="1">
    <i/>
  </colItems>
  <dataFields count="1">
    <dataField name="Sum of Revenue" fld="24" showDataAs="percentOfTotal" baseField="0" baseItem="0" numFmtId="10"/>
  </dataFields>
  <chartFormats count="17">
    <chartFormat chart="25" format="1" series="1">
      <pivotArea type="data" outline="0" fieldPosition="0">
        <references count="1">
          <reference field="4294967294" count="1" selected="0">
            <x v="0"/>
          </reference>
        </references>
      </pivotArea>
    </chartFormat>
    <chartFormat chart="27" format="15" series="1">
      <pivotArea type="data" outline="0" fieldPosition="0">
        <references count="1">
          <reference field="4294967294" count="1" selected="0">
            <x v="0"/>
          </reference>
        </references>
      </pivotArea>
    </chartFormat>
    <chartFormat chart="27" format="22">
      <pivotArea type="data" outline="0" fieldPosition="0">
        <references count="2">
          <reference field="4294967294" count="1" selected="0">
            <x v="0"/>
          </reference>
          <reference field="5" count="1" selected="0">
            <x v="9"/>
          </reference>
        </references>
      </pivotArea>
    </chartFormat>
    <chartFormat chart="27" format="23">
      <pivotArea type="data" outline="0" fieldPosition="0">
        <references count="2">
          <reference field="4294967294" count="1" selected="0">
            <x v="0"/>
          </reference>
          <reference field="5" count="1" selected="0">
            <x v="6"/>
          </reference>
        </references>
      </pivotArea>
    </chartFormat>
    <chartFormat chart="27" format="24">
      <pivotArea type="data" outline="0" fieldPosition="0">
        <references count="2">
          <reference field="4294967294" count="1" selected="0">
            <x v="0"/>
          </reference>
          <reference field="5" count="1" selected="0">
            <x v="5"/>
          </reference>
        </references>
      </pivotArea>
    </chartFormat>
    <chartFormat chart="27" format="25">
      <pivotArea type="data" outline="0" fieldPosition="0">
        <references count="2">
          <reference field="4294967294" count="1" selected="0">
            <x v="0"/>
          </reference>
          <reference field="5" count="1" selected="0">
            <x v="1"/>
          </reference>
        </references>
      </pivotArea>
    </chartFormat>
    <chartFormat chart="27" format="26">
      <pivotArea type="data" outline="0" fieldPosition="0">
        <references count="2">
          <reference field="4294967294" count="1" selected="0">
            <x v="0"/>
          </reference>
          <reference field="5" count="1" selected="0">
            <x v="8"/>
          </reference>
        </references>
      </pivotArea>
    </chartFormat>
    <chartFormat chart="27" format="27">
      <pivotArea type="data" outline="0" fieldPosition="0">
        <references count="2">
          <reference field="4294967294" count="1" selected="0">
            <x v="0"/>
          </reference>
          <reference field="5" count="1" selected="0">
            <x v="3"/>
          </reference>
        </references>
      </pivotArea>
    </chartFormat>
    <chartFormat chart="27" format="28">
      <pivotArea type="data" outline="0" fieldPosition="0">
        <references count="2">
          <reference field="4294967294" count="1" selected="0">
            <x v="0"/>
          </reference>
          <reference field="5" count="1" selected="0">
            <x v="4"/>
          </reference>
        </references>
      </pivotArea>
    </chartFormat>
    <chartFormat chart="45" format="33" series="1">
      <pivotArea type="data" outline="0" fieldPosition="0">
        <references count="1">
          <reference field="4294967294" count="1" selected="0">
            <x v="0"/>
          </reference>
        </references>
      </pivotArea>
    </chartFormat>
    <chartFormat chart="45" format="34">
      <pivotArea type="data" outline="0" fieldPosition="0">
        <references count="2">
          <reference field="4294967294" count="1" selected="0">
            <x v="0"/>
          </reference>
          <reference field="5" count="1" selected="0">
            <x v="6"/>
          </reference>
        </references>
      </pivotArea>
    </chartFormat>
    <chartFormat chart="45" format="35">
      <pivotArea type="data" outline="0" fieldPosition="0">
        <references count="2">
          <reference field="4294967294" count="1" selected="0">
            <x v="0"/>
          </reference>
          <reference field="5" count="1" selected="0">
            <x v="8"/>
          </reference>
        </references>
      </pivotArea>
    </chartFormat>
    <chartFormat chart="45" format="36">
      <pivotArea type="data" outline="0" fieldPosition="0">
        <references count="2">
          <reference field="4294967294" count="1" selected="0">
            <x v="0"/>
          </reference>
          <reference field="5" count="1" selected="0">
            <x v="9"/>
          </reference>
        </references>
      </pivotArea>
    </chartFormat>
    <chartFormat chart="46" format="37" series="1">
      <pivotArea type="data" outline="0" fieldPosition="0">
        <references count="1">
          <reference field="4294967294" count="1" selected="0">
            <x v="0"/>
          </reference>
        </references>
      </pivotArea>
    </chartFormat>
    <chartFormat chart="46" format="38">
      <pivotArea type="data" outline="0" fieldPosition="0">
        <references count="2">
          <reference field="4294967294" count="1" selected="0">
            <x v="0"/>
          </reference>
          <reference field="5" count="1" selected="0">
            <x v="6"/>
          </reference>
        </references>
      </pivotArea>
    </chartFormat>
    <chartFormat chart="46" format="39">
      <pivotArea type="data" outline="0" fieldPosition="0">
        <references count="2">
          <reference field="4294967294" count="1" selected="0">
            <x v="0"/>
          </reference>
          <reference field="5" count="1" selected="0">
            <x v="8"/>
          </reference>
        </references>
      </pivotArea>
    </chartFormat>
    <chartFormat chart="46" format="40">
      <pivotArea type="data" outline="0" fieldPosition="0">
        <references count="2">
          <reference field="4294967294" count="1" selected="0">
            <x v="0"/>
          </reference>
          <reference field="5" count="1" selected="0">
            <x v="9"/>
          </reference>
        </references>
      </pivotArea>
    </chartFormat>
  </chartFormats>
  <pivotTableStyleInfo name="PivotStyleLight16" showRowHeaders="1" showColHeaders="1" showRowStripes="0" showColStripes="0" showLastColumn="1"/>
  <filters count="2">
    <filter fld="5" type="count" evalOrder="-1" id="3" iMeasureFld="0">
      <autoFilter ref="A1">
        <filterColumn colId="0">
          <top10 val="3" filterVal="3"/>
        </filterColumn>
      </autoFilter>
    </filter>
    <filter fld="21" type="count" evalOrder="-1" id="1"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489E8D0-8511-4250-8535-17807CA931E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3">
  <location ref="A3:B8" firstHeaderRow="1" firstDataRow="1" firstDataCol="1"/>
  <pivotFields count="27">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pivotField showAll="0"/>
    <pivotField showAll="0" measureFilter="1" sortType="ascending">
      <items count="13">
        <item x="8"/>
        <item x="7"/>
        <item x="3"/>
        <item x="0"/>
        <item x="4"/>
        <item x="6"/>
        <item x="9"/>
        <item x="5"/>
        <item x="1"/>
        <item x="2"/>
        <item x="11"/>
        <item x="10"/>
        <item t="default"/>
      </items>
    </pivotField>
    <pivotField showAll="0"/>
    <pivotField showAll="0"/>
    <pivotField showAll="0"/>
    <pivotField showAll="0">
      <items count="9">
        <item x="1"/>
        <item x="5"/>
        <item x="3"/>
        <item x="6"/>
        <item x="0"/>
        <item x="4"/>
        <item x="2"/>
        <item x="7"/>
        <item t="default"/>
      </items>
    </pivotField>
    <pivotField axis="axisRow"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measureFilter="1" sortType="ascending">
      <autoSortScope>
        <pivotArea dataOnly="0" outline="0" fieldPosition="0">
          <references count="1">
            <reference field="4294967294" count="1" selected="0">
              <x v="0"/>
            </reference>
          </references>
        </pivotArea>
      </autoSortScope>
    </pivotField>
    <pivotField showAll="0"/>
    <pivotField showAll="0"/>
    <pivotField dataField="1" numFmtId="165" showAll="0"/>
    <pivotField numFmtId="165"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5">
    <i>
      <x v="1"/>
    </i>
    <i>
      <x/>
    </i>
    <i>
      <x v="2"/>
    </i>
    <i>
      <x v="3"/>
    </i>
    <i t="grand">
      <x/>
    </i>
  </rowItems>
  <colItems count="1">
    <i/>
  </colItems>
  <dataFields count="1">
    <dataField name="Sum of Revenue" fld="24" baseField="0" baseItem="0" numFmtId="165"/>
  </dataFields>
  <chartFormats count="23">
    <chartFormat chart="25" format="1" series="1">
      <pivotArea type="data" outline="0" fieldPosition="0">
        <references count="1">
          <reference field="4294967294" count="1" selected="0">
            <x v="0"/>
          </reference>
        </references>
      </pivotArea>
    </chartFormat>
    <chartFormat chart="27" format="15" series="1">
      <pivotArea type="data" outline="0" fieldPosition="0">
        <references count="1">
          <reference field="4294967294" count="1" selected="0">
            <x v="0"/>
          </reference>
        </references>
      </pivotArea>
    </chartFormat>
    <chartFormat chart="32" format="32" series="1">
      <pivotArea type="data" outline="0" fieldPosition="0">
        <references count="1">
          <reference field="4294967294" count="1" selected="0">
            <x v="0"/>
          </reference>
        </references>
      </pivotArea>
    </chartFormat>
    <chartFormat chart="37" format="27" series="1">
      <pivotArea type="data" outline="0" fieldPosition="0">
        <references count="1">
          <reference field="4294967294" count="1" selected="0">
            <x v="0"/>
          </reference>
        </references>
      </pivotArea>
    </chartFormat>
    <chartFormat chart="37" format="33">
      <pivotArea type="data" outline="0" fieldPosition="0">
        <references count="2">
          <reference field="4294967294" count="1" selected="0">
            <x v="0"/>
          </reference>
          <reference field="10" count="1" selected="0">
            <x v="0"/>
          </reference>
        </references>
      </pivotArea>
    </chartFormat>
    <chartFormat chart="37" format="34">
      <pivotArea type="data" outline="0" fieldPosition="0">
        <references count="2">
          <reference field="4294967294" count="1" selected="0">
            <x v="0"/>
          </reference>
          <reference field="10" count="1" selected="0">
            <x v="1"/>
          </reference>
        </references>
      </pivotArea>
    </chartFormat>
    <chartFormat chart="37" format="35">
      <pivotArea type="data" outline="0" fieldPosition="0">
        <references count="2">
          <reference field="4294967294" count="1" selected="0">
            <x v="0"/>
          </reference>
          <reference field="10" count="1" selected="0">
            <x v="2"/>
          </reference>
        </references>
      </pivotArea>
    </chartFormat>
    <chartFormat chart="37" format="36">
      <pivotArea type="data" outline="0" fieldPosition="0">
        <references count="2">
          <reference field="4294967294" count="1" selected="0">
            <x v="0"/>
          </reference>
          <reference field="10" count="1" selected="0">
            <x v="3"/>
          </reference>
        </references>
      </pivotArea>
    </chartFormat>
    <chartFormat chart="47" format="37" series="1">
      <pivotArea type="data" outline="0" fieldPosition="0">
        <references count="1">
          <reference field="4294967294" count="1" selected="0">
            <x v="0"/>
          </reference>
        </references>
      </pivotArea>
    </chartFormat>
    <chartFormat chart="47" format="38">
      <pivotArea type="data" outline="0" fieldPosition="0">
        <references count="2">
          <reference field="4294967294" count="1" selected="0">
            <x v="0"/>
          </reference>
          <reference field="10" count="1" selected="0">
            <x v="1"/>
          </reference>
        </references>
      </pivotArea>
    </chartFormat>
    <chartFormat chart="47" format="39">
      <pivotArea type="data" outline="0" fieldPosition="0">
        <references count="2">
          <reference field="4294967294" count="1" selected="0">
            <x v="0"/>
          </reference>
          <reference field="10" count="1" selected="0">
            <x v="0"/>
          </reference>
        </references>
      </pivotArea>
    </chartFormat>
    <chartFormat chart="47" format="40">
      <pivotArea type="data" outline="0" fieldPosition="0">
        <references count="2">
          <reference field="4294967294" count="1" selected="0">
            <x v="0"/>
          </reference>
          <reference field="10" count="1" selected="0">
            <x v="2"/>
          </reference>
        </references>
      </pivotArea>
    </chartFormat>
    <chartFormat chart="47" format="41">
      <pivotArea type="data" outline="0" fieldPosition="0">
        <references count="2">
          <reference field="4294967294" count="1" selected="0">
            <x v="0"/>
          </reference>
          <reference field="10" count="1" selected="0">
            <x v="3"/>
          </reference>
        </references>
      </pivotArea>
    </chartFormat>
    <chartFormat chart="50" format="47" series="1">
      <pivotArea type="data" outline="0" fieldPosition="0">
        <references count="1">
          <reference field="4294967294" count="1" selected="0">
            <x v="0"/>
          </reference>
        </references>
      </pivotArea>
    </chartFormat>
    <chartFormat chart="50" format="48">
      <pivotArea type="data" outline="0" fieldPosition="0">
        <references count="2">
          <reference field="4294967294" count="1" selected="0">
            <x v="0"/>
          </reference>
          <reference field="10" count="1" selected="0">
            <x v="1"/>
          </reference>
        </references>
      </pivotArea>
    </chartFormat>
    <chartFormat chart="50" format="49">
      <pivotArea type="data" outline="0" fieldPosition="0">
        <references count="2">
          <reference field="4294967294" count="1" selected="0">
            <x v="0"/>
          </reference>
          <reference field="10" count="1" selected="0">
            <x v="0"/>
          </reference>
        </references>
      </pivotArea>
    </chartFormat>
    <chartFormat chart="50" format="50">
      <pivotArea type="data" outline="0" fieldPosition="0">
        <references count="2">
          <reference field="4294967294" count="1" selected="0">
            <x v="0"/>
          </reference>
          <reference field="10" count="1" selected="0">
            <x v="2"/>
          </reference>
        </references>
      </pivotArea>
    </chartFormat>
    <chartFormat chart="50" format="51">
      <pivotArea type="data" outline="0" fieldPosition="0">
        <references count="2">
          <reference field="4294967294" count="1" selected="0">
            <x v="0"/>
          </reference>
          <reference field="10" count="1" selected="0">
            <x v="3"/>
          </reference>
        </references>
      </pivotArea>
    </chartFormat>
    <chartFormat chart="52" format="62" series="1">
      <pivotArea type="data" outline="0" fieldPosition="0">
        <references count="1">
          <reference field="4294967294" count="1" selected="0">
            <x v="0"/>
          </reference>
        </references>
      </pivotArea>
    </chartFormat>
    <chartFormat chart="52" format="63">
      <pivotArea type="data" outline="0" fieldPosition="0">
        <references count="2">
          <reference field="4294967294" count="1" selected="0">
            <x v="0"/>
          </reference>
          <reference field="10" count="1" selected="0">
            <x v="1"/>
          </reference>
        </references>
      </pivotArea>
    </chartFormat>
    <chartFormat chart="52" format="64">
      <pivotArea type="data" outline="0" fieldPosition="0">
        <references count="2">
          <reference field="4294967294" count="1" selected="0">
            <x v="0"/>
          </reference>
          <reference field="10" count="1" selected="0">
            <x v="0"/>
          </reference>
        </references>
      </pivotArea>
    </chartFormat>
    <chartFormat chart="52" format="65">
      <pivotArea type="data" outline="0" fieldPosition="0">
        <references count="2">
          <reference field="4294967294" count="1" selected="0">
            <x v="0"/>
          </reference>
          <reference field="10" count="1" selected="0">
            <x v="2"/>
          </reference>
        </references>
      </pivotArea>
    </chartFormat>
    <chartFormat chart="52" format="66">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filters count="2">
    <filter fld="21" type="count" evalOrder="-1" id="1" iMeasureFld="0">
      <autoFilter ref="A1">
        <filterColumn colId="0">
          <top10 val="6" filterVal="6"/>
        </filterColumn>
      </autoFilter>
    </filter>
    <filter fld="5"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19FCF52-3398-422F-AEE5-E6A1B4C60D8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A3:B15" firstHeaderRow="1" firstDataRow="1" firstDataCol="1"/>
  <pivotFields count="27">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items count="16">
        <item x="11"/>
        <item x="0"/>
        <item x="7"/>
        <item x="5"/>
        <item x="4"/>
        <item x="1"/>
        <item x="6"/>
        <item x="9"/>
        <item x="3"/>
        <item x="12"/>
        <item x="8"/>
        <item x="10"/>
        <item x="2"/>
        <item x="13"/>
        <item x="14"/>
        <item t="default"/>
      </items>
    </pivotField>
    <pivotField showAll="0"/>
    <pivotField showAll="0">
      <items count="13">
        <item x="8"/>
        <item x="7"/>
        <item x="3"/>
        <item x="0"/>
        <item x="4"/>
        <item x="6"/>
        <item x="9"/>
        <item x="5"/>
        <item x="1"/>
        <item x="2"/>
        <item x="11"/>
        <item x="10"/>
        <item t="default"/>
      </items>
    </pivotField>
    <pivotField showAll="0"/>
    <pivotField showAll="0"/>
    <pivotField showAll="0"/>
    <pivotField showAll="0"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7"/>
        <item x="16"/>
        <item t="default"/>
      </items>
    </pivotField>
    <pivotField showAll="0">
      <items count="16">
        <item x="2"/>
        <item h="1" x="0"/>
        <item h="1" x="3"/>
        <item h="1" x="8"/>
        <item h="1" x="7"/>
        <item h="1" x="10"/>
        <item h="1" x="1"/>
        <item h="1" x="12"/>
        <item h="1" x="14"/>
        <item h="1" x="6"/>
        <item h="1" x="13"/>
        <item h="1" x="9"/>
        <item h="1" x="5"/>
        <item h="1" x="11"/>
        <item h="1" x="4"/>
        <item t="default"/>
      </items>
    </pivotField>
    <pivotField showAll="0"/>
    <pivotField showAll="0"/>
    <pivotField dataField="1" numFmtId="165" showAll="0"/>
    <pivotField numFmtId="165" showAll="0"/>
    <pivotField axis="axisRow" showAll="0">
      <items count="15">
        <item x="0"/>
        <item x="1"/>
        <item x="2"/>
        <item x="3"/>
        <item x="4"/>
        <item x="5"/>
        <item x="6"/>
        <item x="7"/>
        <item x="8"/>
        <item x="9"/>
        <item x="10"/>
        <item x="11"/>
        <item x="12"/>
        <item x="13"/>
        <item t="default"/>
      </items>
    </pivotField>
  </pivotFields>
  <rowFields count="1">
    <field x="26"/>
  </rowFields>
  <rowItems count="12">
    <i>
      <x v="1"/>
    </i>
    <i>
      <x v="3"/>
    </i>
    <i>
      <x v="4"/>
    </i>
    <i>
      <x v="5"/>
    </i>
    <i>
      <x v="6"/>
    </i>
    <i>
      <x v="7"/>
    </i>
    <i>
      <x v="8"/>
    </i>
    <i>
      <x v="9"/>
    </i>
    <i>
      <x v="10"/>
    </i>
    <i>
      <x v="11"/>
    </i>
    <i>
      <x v="12"/>
    </i>
    <i t="grand">
      <x/>
    </i>
  </rowItems>
  <colItems count="1">
    <i/>
  </colItems>
  <dataFields count="1">
    <dataField name="Sum of Revenue" fld="24" baseField="0" baseItem="0" numFmtId="165"/>
  </dataFields>
  <chartFormats count="36">
    <chartFormat chart="0" format="0"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0"/>
          </reference>
        </references>
      </pivotArea>
    </chartFormat>
    <chartFormat chart="6" format="27" series="1">
      <pivotArea type="data" outline="0" fieldPosition="0">
        <references count="1">
          <reference field="4294967294" count="1" selected="0">
            <x v="0"/>
          </reference>
        </references>
      </pivotArea>
    </chartFormat>
    <chartFormat chart="5" format="22">
      <pivotArea type="data" outline="0" fieldPosition="0">
        <references count="2">
          <reference field="4294967294" count="1" selected="0">
            <x v="0"/>
          </reference>
          <reference field="26" count="1" selected="0">
            <x v="6"/>
          </reference>
        </references>
      </pivotArea>
    </chartFormat>
    <chartFormat chart="5" format="23">
      <pivotArea type="data" outline="0" fieldPosition="0">
        <references count="2">
          <reference field="4294967294" count="1" selected="0">
            <x v="0"/>
          </reference>
          <reference field="26" count="1" selected="0">
            <x v="1"/>
          </reference>
        </references>
      </pivotArea>
    </chartFormat>
    <chartFormat chart="5" format="24">
      <pivotArea type="data" outline="0" fieldPosition="0">
        <references count="2">
          <reference field="4294967294" count="1" selected="0">
            <x v="0"/>
          </reference>
          <reference field="26" count="1" selected="0">
            <x v="2"/>
          </reference>
        </references>
      </pivotArea>
    </chartFormat>
    <chartFormat chart="5" format="25">
      <pivotArea type="data" outline="0" fieldPosition="0">
        <references count="2">
          <reference field="4294967294" count="1" selected="0">
            <x v="0"/>
          </reference>
          <reference field="26" count="1" selected="0">
            <x v="3"/>
          </reference>
        </references>
      </pivotArea>
    </chartFormat>
    <chartFormat chart="5" format="26">
      <pivotArea type="data" outline="0" fieldPosition="0">
        <references count="2">
          <reference field="4294967294" count="1" selected="0">
            <x v="0"/>
          </reference>
          <reference field="26" count="1" selected="0">
            <x v="4"/>
          </reference>
        </references>
      </pivotArea>
    </chartFormat>
    <chartFormat chart="5" format="27">
      <pivotArea type="data" outline="0" fieldPosition="0">
        <references count="2">
          <reference field="4294967294" count="1" selected="0">
            <x v="0"/>
          </reference>
          <reference field="26" count="1" selected="0">
            <x v="5"/>
          </reference>
        </references>
      </pivotArea>
    </chartFormat>
    <chartFormat chart="5" format="28">
      <pivotArea type="data" outline="0" fieldPosition="0">
        <references count="2">
          <reference field="4294967294" count="1" selected="0">
            <x v="0"/>
          </reference>
          <reference field="26" count="1" selected="0">
            <x v="7"/>
          </reference>
        </references>
      </pivotArea>
    </chartFormat>
    <chartFormat chart="5" format="29">
      <pivotArea type="data" outline="0" fieldPosition="0">
        <references count="2">
          <reference field="4294967294" count="1" selected="0">
            <x v="0"/>
          </reference>
          <reference field="26" count="1" selected="0">
            <x v="8"/>
          </reference>
        </references>
      </pivotArea>
    </chartFormat>
    <chartFormat chart="5" format="30">
      <pivotArea type="data" outline="0" fieldPosition="0">
        <references count="1">
          <reference field="4294967294" count="1" selected="0">
            <x v="0"/>
          </reference>
        </references>
      </pivotArea>
    </chartFormat>
    <chartFormat chart="29" format="40" series="1">
      <pivotArea type="data" outline="0" fieldPosition="0">
        <references count="1">
          <reference field="4294967294" count="1" selected="0">
            <x v="0"/>
          </reference>
        </references>
      </pivotArea>
    </chartFormat>
    <chartFormat chart="29" format="41">
      <pivotArea type="data" outline="0" fieldPosition="0">
        <references count="2">
          <reference field="4294967294" count="1" selected="0">
            <x v="0"/>
          </reference>
          <reference field="26" count="1" selected="0">
            <x v="1"/>
          </reference>
        </references>
      </pivotArea>
    </chartFormat>
    <chartFormat chart="29" format="42">
      <pivotArea type="data" outline="0" fieldPosition="0">
        <references count="2">
          <reference field="4294967294" count="1" selected="0">
            <x v="0"/>
          </reference>
          <reference field="26" count="1" selected="0">
            <x v="3"/>
          </reference>
        </references>
      </pivotArea>
    </chartFormat>
    <chartFormat chart="29" format="43">
      <pivotArea type="data" outline="0" fieldPosition="0">
        <references count="2">
          <reference field="4294967294" count="1" selected="0">
            <x v="0"/>
          </reference>
          <reference field="26" count="1" selected="0">
            <x v="4"/>
          </reference>
        </references>
      </pivotArea>
    </chartFormat>
    <chartFormat chart="29" format="44">
      <pivotArea type="data" outline="0" fieldPosition="0">
        <references count="2">
          <reference field="4294967294" count="1" selected="0">
            <x v="0"/>
          </reference>
          <reference field="26" count="1" selected="0">
            <x v="5"/>
          </reference>
        </references>
      </pivotArea>
    </chartFormat>
    <chartFormat chart="29" format="45">
      <pivotArea type="data" outline="0" fieldPosition="0">
        <references count="2">
          <reference field="4294967294" count="1" selected="0">
            <x v="0"/>
          </reference>
          <reference field="26" count="1" selected="0">
            <x v="6"/>
          </reference>
        </references>
      </pivotArea>
    </chartFormat>
    <chartFormat chart="29" format="46">
      <pivotArea type="data" outline="0" fieldPosition="0">
        <references count="2">
          <reference field="4294967294" count="1" selected="0">
            <x v="0"/>
          </reference>
          <reference field="26" count="1" selected="0">
            <x v="7"/>
          </reference>
        </references>
      </pivotArea>
    </chartFormat>
    <chartFormat chart="29" format="47">
      <pivotArea type="data" outline="0" fieldPosition="0">
        <references count="2">
          <reference field="4294967294" count="1" selected="0">
            <x v="0"/>
          </reference>
          <reference field="26" count="1" selected="0">
            <x v="8"/>
          </reference>
        </references>
      </pivotArea>
    </chartFormat>
    <chartFormat chart="29" format="48">
      <pivotArea type="data" outline="0" fieldPosition="0">
        <references count="2">
          <reference field="4294967294" count="1" selected="0">
            <x v="0"/>
          </reference>
          <reference field="26" count="1" selected="0">
            <x v="9"/>
          </reference>
        </references>
      </pivotArea>
    </chartFormat>
    <chartFormat chart="5" format="31">
      <pivotArea type="data" outline="0" fieldPosition="0">
        <references count="2">
          <reference field="4294967294" count="1" selected="0">
            <x v="0"/>
          </reference>
          <reference field="26" count="1" selected="0">
            <x v="9"/>
          </reference>
        </references>
      </pivotArea>
    </chartFormat>
    <chartFormat chart="5" format="32">
      <pivotArea type="data" outline="0" fieldPosition="0">
        <references count="2">
          <reference field="4294967294" count="1" selected="0">
            <x v="0"/>
          </reference>
          <reference field="26" count="1" selected="0">
            <x v="10"/>
          </reference>
        </references>
      </pivotArea>
    </chartFormat>
    <chartFormat chart="5" format="33">
      <pivotArea type="data" outline="0" fieldPosition="0">
        <references count="2">
          <reference field="4294967294" count="1" selected="0">
            <x v="0"/>
          </reference>
          <reference field="26" count="1" selected="0">
            <x v="11"/>
          </reference>
        </references>
      </pivotArea>
    </chartFormat>
    <chartFormat chart="5" format="34">
      <pivotArea type="data" outline="0" fieldPosition="0">
        <references count="2">
          <reference field="4294967294" count="1" selected="0">
            <x v="0"/>
          </reference>
          <reference field="26" count="1" selected="0">
            <x v="12"/>
          </reference>
        </references>
      </pivotArea>
    </chartFormat>
    <chartFormat chart="42" format="45" series="1">
      <pivotArea type="data" outline="0" fieldPosition="0">
        <references count="1">
          <reference field="4294967294" count="1" selected="0">
            <x v="0"/>
          </reference>
        </references>
      </pivotArea>
    </chartFormat>
    <chartFormat chart="42" format="46">
      <pivotArea type="data" outline="0" fieldPosition="0">
        <references count="2">
          <reference field="4294967294" count="1" selected="0">
            <x v="0"/>
          </reference>
          <reference field="26" count="1" selected="0">
            <x v="1"/>
          </reference>
        </references>
      </pivotArea>
    </chartFormat>
    <chartFormat chart="42" format="47">
      <pivotArea type="data" outline="0" fieldPosition="0">
        <references count="2">
          <reference field="4294967294" count="1" selected="0">
            <x v="0"/>
          </reference>
          <reference field="26" count="1" selected="0">
            <x v="3"/>
          </reference>
        </references>
      </pivotArea>
    </chartFormat>
    <chartFormat chart="42" format="48">
      <pivotArea type="data" outline="0" fieldPosition="0">
        <references count="2">
          <reference field="4294967294" count="1" selected="0">
            <x v="0"/>
          </reference>
          <reference field="26" count="1" selected="0">
            <x v="4"/>
          </reference>
        </references>
      </pivotArea>
    </chartFormat>
    <chartFormat chart="42" format="49">
      <pivotArea type="data" outline="0" fieldPosition="0">
        <references count="2">
          <reference field="4294967294" count="1" selected="0">
            <x v="0"/>
          </reference>
          <reference field="26" count="1" selected="0">
            <x v="5"/>
          </reference>
        </references>
      </pivotArea>
    </chartFormat>
    <chartFormat chart="42" format="50">
      <pivotArea type="data" outline="0" fieldPosition="0">
        <references count="2">
          <reference field="4294967294" count="1" selected="0">
            <x v="0"/>
          </reference>
          <reference field="26" count="1" selected="0">
            <x v="6"/>
          </reference>
        </references>
      </pivotArea>
    </chartFormat>
    <chartFormat chart="42" format="51">
      <pivotArea type="data" outline="0" fieldPosition="0">
        <references count="2">
          <reference field="4294967294" count="1" selected="0">
            <x v="0"/>
          </reference>
          <reference field="26" count="1" selected="0">
            <x v="7"/>
          </reference>
        </references>
      </pivotArea>
    </chartFormat>
    <chartFormat chart="42" format="52">
      <pivotArea type="data" outline="0" fieldPosition="0">
        <references count="2">
          <reference field="4294967294" count="1" selected="0">
            <x v="0"/>
          </reference>
          <reference field="26" count="1" selected="0">
            <x v="8"/>
          </reference>
        </references>
      </pivotArea>
    </chartFormat>
    <chartFormat chart="42" format="53">
      <pivotArea type="data" outline="0" fieldPosition="0">
        <references count="2">
          <reference field="4294967294" count="1" selected="0">
            <x v="0"/>
          </reference>
          <reference field="26" count="1" selected="0">
            <x v="9"/>
          </reference>
        </references>
      </pivotArea>
    </chartFormat>
    <chartFormat chart="42" format="54">
      <pivotArea type="data" outline="0" fieldPosition="0">
        <references count="2">
          <reference field="4294967294" count="1" selected="0">
            <x v="0"/>
          </reference>
          <reference field="26" count="1" selected="0">
            <x v="12"/>
          </reference>
        </references>
      </pivotArea>
    </chartFormat>
    <chartFormat chart="29" format="49">
      <pivotArea type="data" outline="0" fieldPosition="0">
        <references count="2">
          <reference field="4294967294" count="1" selected="0">
            <x v="0"/>
          </reference>
          <reference field="26"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525DF4C-BA5C-4DE9-A482-696223BFD27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7" firstHeaderRow="1" firstDataRow="1" firstDataCol="1"/>
  <pivotFields count="27">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pivotField showAll="0"/>
    <pivotField showAll="0"/>
    <pivotField showAll="0"/>
    <pivotField showAll="0"/>
    <pivotField showAll="0"/>
    <pivotField axis="axisRow" showAll="0" measureFilter="1"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5" showAll="0"/>
    <pivotField numFmtId="165" showAll="0"/>
    <pivotField showAll="0">
      <items count="15">
        <item x="0"/>
        <item x="1"/>
        <item x="2"/>
        <item x="3"/>
        <item x="4"/>
        <item x="5"/>
        <item x="6"/>
        <item x="7"/>
        <item x="8"/>
        <item x="9"/>
        <item x="10"/>
        <item x="11"/>
        <item x="12"/>
        <item x="13"/>
        <item t="default"/>
      </items>
    </pivotField>
  </pivotFields>
  <rowFields count="1">
    <field x="9"/>
  </rowFields>
  <rowItems count="4">
    <i>
      <x v="6"/>
    </i>
    <i>
      <x v="1"/>
    </i>
    <i>
      <x/>
    </i>
    <i t="grand">
      <x/>
    </i>
  </rowItems>
  <colItems count="1">
    <i/>
  </colItems>
  <dataFields count="1">
    <dataField name="Sum of Revenue" fld="24" showDataAs="percentOfTotal" baseField="0" baseItem="0" numFmtId="10"/>
  </dataFields>
  <chartFormats count="1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6"/>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0"/>
          </reference>
        </references>
      </pivotArea>
    </chartFormat>
    <chartFormat chart="0" format="4">
      <pivotArea type="data" outline="0" fieldPosition="0">
        <references count="2">
          <reference field="4294967294" count="1" selected="0">
            <x v="0"/>
          </reference>
          <reference field="9" count="1" selected="0">
            <x v="4"/>
          </reference>
        </references>
      </pivotArea>
    </chartFormat>
    <chartFormat chart="0" format="5">
      <pivotArea type="data" outline="0" fieldPosition="0">
        <references count="2">
          <reference field="4294967294" count="1" selected="0">
            <x v="0"/>
          </reference>
          <reference field="9" count="1" selected="0">
            <x v="3"/>
          </reference>
        </references>
      </pivotArea>
    </chartFormat>
    <chartFormat chart="0" format="6">
      <pivotArea type="data" outline="0" fieldPosition="0">
        <references count="2">
          <reference field="4294967294" count="1" selected="0">
            <x v="0"/>
          </reference>
          <reference field="9" count="1" selected="0">
            <x v="5"/>
          </reference>
        </references>
      </pivotArea>
    </chartFormat>
    <chartFormat chart="0" format="7">
      <pivotArea type="data" outline="0" fieldPosition="0">
        <references count="2">
          <reference field="4294967294" count="1" selected="0">
            <x v="0"/>
          </reference>
          <reference field="9" count="1" selected="0">
            <x v="7"/>
          </reference>
        </references>
      </pivotArea>
    </chartFormat>
    <chartFormat chart="0" format="8">
      <pivotArea type="data" outline="0" fieldPosition="0">
        <references count="2">
          <reference field="4294967294" count="1" selected="0">
            <x v="0"/>
          </reference>
          <reference field="9" count="1" selected="0">
            <x v="2"/>
          </reference>
        </references>
      </pivotArea>
    </chartFormat>
    <chartFormat chart="12" format="13" series="1">
      <pivotArea type="data" outline="0" fieldPosition="0">
        <references count="1">
          <reference field="4294967294" count="1" selected="0">
            <x v="0"/>
          </reference>
        </references>
      </pivotArea>
    </chartFormat>
    <chartFormat chart="12" format="14">
      <pivotArea type="data" outline="0" fieldPosition="0">
        <references count="2">
          <reference field="4294967294" count="1" selected="0">
            <x v="0"/>
          </reference>
          <reference field="9" count="1" selected="0">
            <x v="6"/>
          </reference>
        </references>
      </pivotArea>
    </chartFormat>
    <chartFormat chart="12" format="15">
      <pivotArea type="data" outline="0" fieldPosition="0">
        <references count="2">
          <reference field="4294967294" count="1" selected="0">
            <x v="0"/>
          </reference>
          <reference field="9" count="1" selected="0">
            <x v="1"/>
          </reference>
        </references>
      </pivotArea>
    </chartFormat>
    <chartFormat chart="12" format="16">
      <pivotArea type="data" outline="0" fieldPosition="0">
        <references count="2">
          <reference field="4294967294" count="1" selected="0">
            <x v="0"/>
          </reference>
          <reference field="9" count="1" selected="0">
            <x v="0"/>
          </reference>
        </references>
      </pivotArea>
    </chartFormat>
    <chartFormat chart="15" format="49" series="1">
      <pivotArea type="data" outline="0" fieldPosition="0">
        <references count="1">
          <reference field="4294967294" count="1" selected="0">
            <x v="0"/>
          </reference>
        </references>
      </pivotArea>
    </chartFormat>
    <chartFormat chart="15" format="50">
      <pivotArea type="data" outline="0" fieldPosition="0">
        <references count="2">
          <reference field="4294967294" count="1" selected="0">
            <x v="0"/>
          </reference>
          <reference field="9" count="1" selected="0">
            <x v="6"/>
          </reference>
        </references>
      </pivotArea>
    </chartFormat>
    <chartFormat chart="15" format="51">
      <pivotArea type="data" outline="0" fieldPosition="0">
        <references count="2">
          <reference field="4294967294" count="1" selected="0">
            <x v="0"/>
          </reference>
          <reference field="9" count="1" selected="0">
            <x v="1"/>
          </reference>
        </references>
      </pivotArea>
    </chartFormat>
    <chartFormat chart="15" format="52">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FD41AAB-D59B-41D8-B397-0E21E998BA1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3:B7" firstHeaderRow="1" firstDataRow="1" firstDataCol="1"/>
  <pivotFields count="27">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axis="axisRow" showAll="0" measureFilter="1" sortType="descending">
      <items count="16">
        <item x="11"/>
        <item x="0"/>
        <item x="7"/>
        <item x="5"/>
        <item x="4"/>
        <item x="1"/>
        <item x="6"/>
        <item x="9"/>
        <item x="3"/>
        <item x="12"/>
        <item x="8"/>
        <item x="10"/>
        <item x="2"/>
        <item x="13"/>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9">
        <item x="1"/>
        <item x="5"/>
        <item x="3"/>
        <item x="6"/>
        <item x="0"/>
        <item x="4"/>
        <item x="2"/>
        <item x="7"/>
        <item t="default"/>
      </items>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5" showAll="0"/>
    <pivotField numFmtId="165" showAll="0"/>
    <pivotField showAll="0">
      <items count="15">
        <item x="0"/>
        <item x="1"/>
        <item x="2"/>
        <item x="3"/>
        <item x="4"/>
        <item x="5"/>
        <item x="6"/>
        <item x="7"/>
        <item x="8"/>
        <item x="9"/>
        <item x="10"/>
        <item x="11"/>
        <item x="12"/>
        <item x="13"/>
        <item t="default"/>
      </items>
    </pivotField>
  </pivotFields>
  <rowFields count="1">
    <field x="3"/>
  </rowFields>
  <rowItems count="4">
    <i>
      <x v="5"/>
    </i>
    <i>
      <x v="8"/>
    </i>
    <i>
      <x v="2"/>
    </i>
    <i t="grand">
      <x/>
    </i>
  </rowItems>
  <colItems count="1">
    <i/>
  </colItems>
  <dataFields count="1">
    <dataField name="Sum of Revenue" fld="24" showDataAs="percentOfTotal" baseField="0" baseItem="0" numFmtId="10"/>
  </dataFields>
  <chartFormats count="19">
    <chartFormat chart="14" format="27" series="1">
      <pivotArea type="data" outline="0" fieldPosition="0">
        <references count="1">
          <reference field="4294967294" count="1" selected="0">
            <x v="0"/>
          </reference>
        </references>
      </pivotArea>
    </chartFormat>
    <chartFormat chart="14" format="28">
      <pivotArea type="data" outline="0" fieldPosition="0">
        <references count="2">
          <reference field="4294967294" count="1" selected="0">
            <x v="0"/>
          </reference>
          <reference field="3" count="1" selected="0">
            <x v="5"/>
          </reference>
        </references>
      </pivotArea>
    </chartFormat>
    <chartFormat chart="14" format="29">
      <pivotArea type="data" outline="0" fieldPosition="0">
        <references count="2">
          <reference field="4294967294" count="1" selected="0">
            <x v="0"/>
          </reference>
          <reference field="3" count="1" selected="0">
            <x v="8"/>
          </reference>
        </references>
      </pivotArea>
    </chartFormat>
    <chartFormat chart="14" format="30">
      <pivotArea type="data" outline="0" fieldPosition="0">
        <references count="2">
          <reference field="4294967294" count="1" selected="0">
            <x v="0"/>
          </reference>
          <reference field="3" count="1" selected="0">
            <x v="2"/>
          </reference>
        </references>
      </pivotArea>
    </chartFormat>
    <chartFormat chart="14" format="31">
      <pivotArea type="data" outline="0" fieldPosition="0">
        <references count="2">
          <reference field="4294967294" count="1" selected="0">
            <x v="0"/>
          </reference>
          <reference field="3" count="1" selected="0">
            <x v="6"/>
          </reference>
        </references>
      </pivotArea>
    </chartFormat>
    <chartFormat chart="14" format="32">
      <pivotArea type="data" outline="0" fieldPosition="0">
        <references count="2">
          <reference field="4294967294" count="1" selected="0">
            <x v="0"/>
          </reference>
          <reference field="3" count="1" selected="0">
            <x v="0"/>
          </reference>
        </references>
      </pivotArea>
    </chartFormat>
    <chartFormat chart="14" format="33">
      <pivotArea type="data" outline="0" fieldPosition="0">
        <references count="2">
          <reference field="4294967294" count="1" selected="0">
            <x v="0"/>
          </reference>
          <reference field="3" count="1" selected="0">
            <x v="9"/>
          </reference>
        </references>
      </pivotArea>
    </chartFormat>
    <chartFormat chart="14" format="34">
      <pivotArea type="data" outline="0" fieldPosition="0">
        <references count="2">
          <reference field="4294967294" count="1" selected="0">
            <x v="0"/>
          </reference>
          <reference field="3" count="1" selected="0">
            <x v="10"/>
          </reference>
        </references>
      </pivotArea>
    </chartFormat>
    <chartFormat chart="14" format="35">
      <pivotArea type="data" outline="0" fieldPosition="0">
        <references count="2">
          <reference field="4294967294" count="1" selected="0">
            <x v="0"/>
          </reference>
          <reference field="3" count="1" selected="0">
            <x v="14"/>
          </reference>
        </references>
      </pivotArea>
    </chartFormat>
    <chartFormat chart="14" format="36">
      <pivotArea type="data" outline="0" fieldPosition="0">
        <references count="2">
          <reference field="4294967294" count="1" selected="0">
            <x v="0"/>
          </reference>
          <reference field="3" count="1" selected="0">
            <x v="3"/>
          </reference>
        </references>
      </pivotArea>
    </chartFormat>
    <chartFormat chart="14" format="37">
      <pivotArea type="data" outline="0" fieldPosition="0">
        <references count="2">
          <reference field="4294967294" count="1" selected="0">
            <x v="0"/>
          </reference>
          <reference field="3" count="1" selected="0">
            <x v="11"/>
          </reference>
        </references>
      </pivotArea>
    </chartFormat>
    <chartFormat chart="29" format="42" series="1">
      <pivotArea type="data" outline="0" fieldPosition="0">
        <references count="1">
          <reference field="4294967294" count="1" selected="0">
            <x v="0"/>
          </reference>
        </references>
      </pivotArea>
    </chartFormat>
    <chartFormat chart="29" format="43">
      <pivotArea type="data" outline="0" fieldPosition="0">
        <references count="2">
          <reference field="4294967294" count="1" selected="0">
            <x v="0"/>
          </reference>
          <reference field="3" count="1" selected="0">
            <x v="5"/>
          </reference>
        </references>
      </pivotArea>
    </chartFormat>
    <chartFormat chart="29" format="44">
      <pivotArea type="data" outline="0" fieldPosition="0">
        <references count="2">
          <reference field="4294967294" count="1" selected="0">
            <x v="0"/>
          </reference>
          <reference field="3" count="1" selected="0">
            <x v="8"/>
          </reference>
        </references>
      </pivotArea>
    </chartFormat>
    <chartFormat chart="29" format="45">
      <pivotArea type="data" outline="0" fieldPosition="0">
        <references count="2">
          <reference field="4294967294" count="1" selected="0">
            <x v="0"/>
          </reference>
          <reference field="3" count="1" selected="0">
            <x v="2"/>
          </reference>
        </references>
      </pivotArea>
    </chartFormat>
    <chartFormat chart="33" format="86" series="1">
      <pivotArea type="data" outline="0" fieldPosition="0">
        <references count="1">
          <reference field="4294967294" count="1" selected="0">
            <x v="0"/>
          </reference>
        </references>
      </pivotArea>
    </chartFormat>
    <chartFormat chart="33" format="87">
      <pivotArea type="data" outline="0" fieldPosition="0">
        <references count="2">
          <reference field="4294967294" count="1" selected="0">
            <x v="0"/>
          </reference>
          <reference field="3" count="1" selected="0">
            <x v="5"/>
          </reference>
        </references>
      </pivotArea>
    </chartFormat>
    <chartFormat chart="33" format="88">
      <pivotArea type="data" outline="0" fieldPosition="0">
        <references count="2">
          <reference field="4294967294" count="1" selected="0">
            <x v="0"/>
          </reference>
          <reference field="3" count="1" selected="0">
            <x v="8"/>
          </reference>
        </references>
      </pivotArea>
    </chartFormat>
    <chartFormat chart="33" format="89">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E08C9098-50C9-4EBE-A60C-73D4AF1D8357}" sourceName="Salesperson">
  <pivotTables>
    <pivotTable tabId="25" name="PivotTable2"/>
    <pivotTable tabId="42" name="PivotTable2"/>
    <pivotTable tabId="30" name="PivotTable2"/>
    <pivotTable tabId="39" name="PivotTable2"/>
    <pivotTable tabId="24" name="PivotTable2"/>
    <pivotTable tabId="26" name="PivotTable2"/>
    <pivotTable tabId="35" name="PivotTable2"/>
    <pivotTable tabId="36" name="PivotTable2"/>
    <pivotTable tabId="32" name="PivotTable2"/>
  </pivotTables>
  <data>
    <tabular pivotCacheId="485658419">
      <items count="8">
        <i x="1" s="1"/>
        <i x="5" s="1"/>
        <i x="3" s="1"/>
        <i x="6" s="1"/>
        <i x="0" s="1"/>
        <i x="4" s="1"/>
        <i x="2"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2BD0E43-C229-48F3-BE85-DD03E66512D8}" sourceName="Region">
  <pivotTables>
    <pivotTable tabId="39" name="PivotTable2"/>
    <pivotTable tabId="42" name="PivotTable2"/>
    <pivotTable tabId="30" name="PivotTable2"/>
    <pivotTable tabId="24" name="PivotTable2"/>
    <pivotTable tabId="25" name="PivotTable2"/>
    <pivotTable tabId="26" name="PivotTable2"/>
    <pivotTable tabId="35" name="PivotTable2"/>
    <pivotTable tabId="36" name="PivotTable2"/>
    <pivotTable tabId="32" name="PivotTable2"/>
  </pivotTables>
  <data>
    <tabular pivotCacheId="485658419">
      <items count="4">
        <i x="1" s="1"/>
        <i x="2"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0C6B35B9-52FC-439A-B3E1-4437A5E38806}" sourceName="Product Name">
  <pivotTables>
    <pivotTable tabId="25" name="PivotTable2"/>
  </pivotTables>
  <data>
    <tabular pivotCacheId="485658419">
      <items count="25">
        <i x="6" s="1"/>
        <i x="21" s="1"/>
        <i x="18" s="1" nd="1"/>
        <i x="0" s="1" nd="1"/>
        <i x="11" s="1" nd="1"/>
        <i x="12" s="1" nd="1"/>
        <i x="4" s="1" nd="1"/>
        <i x="7" s="1" nd="1"/>
        <i x="8" s="1" nd="1"/>
        <i x="5" s="1" nd="1"/>
        <i x="13" s="1" nd="1"/>
        <i x="9" s="1" nd="1"/>
        <i x="3" s="1" nd="1"/>
        <i x="2" s="1" nd="1"/>
        <i x="1" s="1" nd="1"/>
        <i x="19" s="1" nd="1"/>
        <i x="20" s="1" nd="1"/>
        <i x="10" s="1" nd="1"/>
        <i x="24" s="1" nd="1"/>
        <i x="23" s="1" nd="1"/>
        <i x="15" s="1" nd="1"/>
        <i x="22" s="1" nd="1"/>
        <i x="14" s="1" nd="1"/>
        <i x="17" s="1" nd="1"/>
        <i x="16"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D822278B-FC61-4FCD-A280-3936142EC6D3}" sourceName="Customer Name">
  <pivotTables>
    <pivotTable tabId="25" name="PivotTable2"/>
  </pivotTables>
  <data>
    <tabular pivotCacheId="485658419">
      <items count="15">
        <i x="1" s="1"/>
        <i x="3" s="1"/>
        <i x="8" s="1"/>
        <i x="13" s="1"/>
        <i x="11" s="1" nd="1"/>
        <i x="0" s="1" nd="1"/>
        <i x="7" s="1" nd="1"/>
        <i x="5" s="1" nd="1"/>
        <i x="4" s="1" nd="1"/>
        <i x="6" s="1" nd="1"/>
        <i x="9" s="1" nd="1"/>
        <i x="12" s="1" nd="1"/>
        <i x="10" s="1" nd="1"/>
        <i x="2" s="1" nd="1"/>
        <i x="14"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76D016B-8CB9-493F-9B4F-B6E7BFB541DE}" sourceName="Category">
  <pivotTables>
    <pivotTable tabId="25" name="PivotTable2"/>
  </pivotTables>
  <data>
    <tabular pivotCacheId="485658419">
      <items count="15">
        <i x="2" s="1"/>
        <i x="0"/>
        <i x="3"/>
        <i x="8"/>
        <i x="7"/>
        <i x="10"/>
        <i x="1"/>
        <i x="12"/>
        <i x="14"/>
        <i x="6"/>
        <i x="13"/>
        <i x="9"/>
        <i x="5"/>
        <i x="11"/>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2" xr10:uid="{E036D001-0D2A-4333-B030-478EE9AAEED8}" cache="Slicer_Salesperson" caption="Salesperson" style="SlicerStyleDark5" rowHeight="241300"/>
  <slicer name="Region 3" xr10:uid="{7978414A-BE9A-46A4-9CCA-1D505986C0FF}" cache="Slicer_Region" caption="Region" startItem="2" showCaption="0" style="SlicerStyleDark5" rowHeight="241300"/>
  <slicer name="Product Name 2" xr10:uid="{5BF2AF18-EE3C-4C57-A38B-BA360B667C51}" cache="Slicer_Product_Name" caption="Product Name" style="SlicerStyleDark5" rowHeight="241300"/>
  <slicer name="Customer Name 2" xr10:uid="{AE32B3E3-6F63-46D4-B0FD-11080FAD8725}" cache="Slicer_Customer_Name" caption="Customer Name" startItem="1" style="SlicerStyleDark5" rowHeight="241300"/>
  <slicer name="Category 1" xr10:uid="{093E7725-9C5D-49B9-99D4-880A647A611F}" cache="Slicer_Category" caption="Category" startItem="2" style="SlicerStyleDark5"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D38B9623-0401-487F-8B00-F2EB7B616053}" cache="Slicer_Region" caption="Region" showCaption="0" style="Slicer Style 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http://www.excelcampus.com/pivot-tables/pivot-tables-work/"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9.xml"/></Relationships>
</file>

<file path=xl/worksheets/_rels/sheet1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61FB6-D025-415A-A7B9-C746D2BAC75E}">
  <dimension ref="A2:A11"/>
  <sheetViews>
    <sheetView workbookViewId="0">
      <selection activeCell="C3" sqref="C3"/>
    </sheetView>
  </sheetViews>
  <sheetFormatPr defaultRowHeight="15" x14ac:dyDescent="0.25"/>
  <cols>
    <col min="1" max="1" width="66.42578125" customWidth="1"/>
    <col min="3" max="3" width="9.140625" customWidth="1"/>
  </cols>
  <sheetData>
    <row r="2" spans="1:1" ht="21" x14ac:dyDescent="0.35">
      <c r="A2" s="7" t="s">
        <v>161</v>
      </c>
    </row>
    <row r="3" spans="1:1" ht="68.25" customHeight="1" x14ac:dyDescent="0.25">
      <c r="A3" s="9" t="s">
        <v>162</v>
      </c>
    </row>
    <row r="4" spans="1:1" ht="21" x14ac:dyDescent="0.35">
      <c r="A4" s="8" t="s">
        <v>156</v>
      </c>
    </row>
    <row r="5" spans="1:1" ht="21" x14ac:dyDescent="0.35">
      <c r="A5" s="8" t="s">
        <v>157</v>
      </c>
    </row>
    <row r="6" spans="1:1" ht="21" x14ac:dyDescent="0.35">
      <c r="A6" s="8" t="s">
        <v>158</v>
      </c>
    </row>
    <row r="7" spans="1:1" ht="21" x14ac:dyDescent="0.35">
      <c r="A7" s="8" t="s">
        <v>159</v>
      </c>
    </row>
    <row r="8" spans="1:1" ht="21" x14ac:dyDescent="0.35">
      <c r="A8" s="8" t="s">
        <v>160</v>
      </c>
    </row>
    <row r="9" spans="1:1" ht="21" x14ac:dyDescent="0.35">
      <c r="A9" s="8" t="s">
        <v>164</v>
      </c>
    </row>
    <row r="10" spans="1:1" ht="21" x14ac:dyDescent="0.35">
      <c r="A10" s="8" t="s">
        <v>165</v>
      </c>
    </row>
    <row r="11" spans="1:1" ht="21" x14ac:dyDescent="0.35">
      <c r="A11" s="8" t="s">
        <v>166</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FC9F2-3CE2-41B3-9651-40F3636B85BA}">
  <sheetPr>
    <tabColor theme="1" tint="0.249977111117893"/>
  </sheetPr>
  <dimension ref="A1:Z370"/>
  <sheetViews>
    <sheetView topLeftCell="P1" zoomScaleNormal="100" workbookViewId="0">
      <pane ySplit="1" topLeftCell="A62" activePane="bottomLeft" state="frozen"/>
      <selection pane="bottomLeft"/>
    </sheetView>
  </sheetViews>
  <sheetFormatPr defaultRowHeight="15" x14ac:dyDescent="0.25"/>
  <cols>
    <col min="1" max="1" width="10.7109375" bestFit="1" customWidth="1"/>
    <col min="2" max="2" width="13" bestFit="1" customWidth="1"/>
    <col min="3" max="3" width="14.140625" bestFit="1" customWidth="1"/>
    <col min="4" max="4" width="17.7109375" bestFit="1" customWidth="1"/>
    <col min="5" max="5" width="14.28515625" bestFit="1" customWidth="1"/>
    <col min="6" max="6" width="12.5703125" bestFit="1" customWidth="1"/>
    <col min="7" max="7" width="7.85546875" bestFit="1" customWidth="1"/>
    <col min="8" max="9" width="17.42578125" bestFit="1" customWidth="1"/>
    <col min="10" max="10" width="16.42578125" bestFit="1" customWidth="1"/>
    <col min="11" max="11" width="9.42578125" bestFit="1" customWidth="1"/>
    <col min="12" max="12" width="15.140625" bestFit="1" customWidth="1"/>
    <col min="13" max="13" width="19.42578125" bestFit="1" customWidth="1"/>
    <col min="14" max="14" width="21.5703125" bestFit="1" customWidth="1"/>
    <col min="15" max="15" width="14.7109375" bestFit="1" customWidth="1"/>
    <col min="16" max="16" width="12.5703125" bestFit="1" customWidth="1"/>
    <col min="17" max="17" width="12.140625" bestFit="1" customWidth="1"/>
    <col min="18" max="19" width="21.85546875" bestFit="1" customWidth="1"/>
    <col min="20" max="20" width="16" bestFit="1" customWidth="1"/>
    <col min="21" max="21" width="21" bestFit="1" customWidth="1"/>
    <col min="22" max="22" width="20.28515625" bestFit="1" customWidth="1"/>
    <col min="23" max="23" width="12" bestFit="1" customWidth="1"/>
    <col min="24" max="24" width="11" bestFit="1" customWidth="1"/>
    <col min="25" max="25" width="11.140625" bestFit="1" customWidth="1"/>
    <col min="26" max="26" width="14.7109375" bestFit="1" customWidth="1"/>
  </cols>
  <sheetData>
    <row r="1" spans="1:2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25">
      <c r="A2">
        <v>1001</v>
      </c>
      <c r="B2" s="2">
        <v>41666</v>
      </c>
      <c r="C2">
        <v>27</v>
      </c>
      <c r="D2" t="s">
        <v>26</v>
      </c>
      <c r="E2" t="s">
        <v>27</v>
      </c>
      <c r="F2" t="s">
        <v>28</v>
      </c>
      <c r="G2" t="s">
        <v>29</v>
      </c>
      <c r="H2">
        <v>99999</v>
      </c>
      <c r="I2" t="s">
        <v>30</v>
      </c>
      <c r="J2" t="s">
        <v>31</v>
      </c>
      <c r="K2" t="s">
        <v>32</v>
      </c>
      <c r="L2" s="2">
        <v>41668</v>
      </c>
      <c r="M2" t="s">
        <v>33</v>
      </c>
      <c r="N2" t="s">
        <v>34</v>
      </c>
      <c r="O2" t="s">
        <v>27</v>
      </c>
      <c r="P2" t="s">
        <v>28</v>
      </c>
      <c r="Q2" t="s">
        <v>29</v>
      </c>
      <c r="R2">
        <v>99999</v>
      </c>
      <c r="S2" t="s">
        <v>30</v>
      </c>
      <c r="T2" t="s">
        <v>35</v>
      </c>
      <c r="U2" t="s">
        <v>36</v>
      </c>
      <c r="V2" t="s">
        <v>37</v>
      </c>
      <c r="W2" s="3">
        <v>14</v>
      </c>
      <c r="X2">
        <v>49</v>
      </c>
      <c r="Y2" s="4">
        <v>686</v>
      </c>
      <c r="Z2" s="3">
        <v>66.542000000000002</v>
      </c>
    </row>
    <row r="3" spans="1:26" x14ac:dyDescent="0.25">
      <c r="A3">
        <v>1002</v>
      </c>
      <c r="B3" s="2">
        <v>41666</v>
      </c>
      <c r="C3">
        <v>27</v>
      </c>
      <c r="D3" t="s">
        <v>26</v>
      </c>
      <c r="E3" t="s">
        <v>27</v>
      </c>
      <c r="F3" t="s">
        <v>28</v>
      </c>
      <c r="G3" t="s">
        <v>29</v>
      </c>
      <c r="H3">
        <v>99999</v>
      </c>
      <c r="I3" t="s">
        <v>30</v>
      </c>
      <c r="J3" t="s">
        <v>31</v>
      </c>
      <c r="K3" t="s">
        <v>32</v>
      </c>
      <c r="L3" s="2">
        <v>41668</v>
      </c>
      <c r="M3" t="s">
        <v>33</v>
      </c>
      <c r="N3" t="s">
        <v>34</v>
      </c>
      <c r="O3" t="s">
        <v>27</v>
      </c>
      <c r="P3" t="s">
        <v>28</v>
      </c>
      <c r="Q3" t="s">
        <v>29</v>
      </c>
      <c r="R3">
        <v>99999</v>
      </c>
      <c r="S3" t="s">
        <v>30</v>
      </c>
      <c r="T3" t="s">
        <v>35</v>
      </c>
      <c r="U3" t="s">
        <v>38</v>
      </c>
      <c r="V3" t="s">
        <v>39</v>
      </c>
      <c r="W3" s="3">
        <v>3.5</v>
      </c>
      <c r="X3">
        <v>47</v>
      </c>
      <c r="Y3" s="4">
        <v>164.5</v>
      </c>
      <c r="Z3" s="3">
        <v>16.6145</v>
      </c>
    </row>
    <row r="4" spans="1:26" x14ac:dyDescent="0.25">
      <c r="A4">
        <v>1003</v>
      </c>
      <c r="B4" s="2">
        <v>41643</v>
      </c>
      <c r="C4">
        <v>4</v>
      </c>
      <c r="D4" t="s">
        <v>40</v>
      </c>
      <c r="E4" t="s">
        <v>41</v>
      </c>
      <c r="F4" t="s">
        <v>42</v>
      </c>
      <c r="G4" t="s">
        <v>43</v>
      </c>
      <c r="H4">
        <v>99999</v>
      </c>
      <c r="I4" t="s">
        <v>30</v>
      </c>
      <c r="J4" t="s">
        <v>44</v>
      </c>
      <c r="K4" t="s">
        <v>45</v>
      </c>
      <c r="L4" s="2">
        <v>41645</v>
      </c>
      <c r="M4" t="s">
        <v>46</v>
      </c>
      <c r="N4" t="s">
        <v>47</v>
      </c>
      <c r="O4" t="s">
        <v>41</v>
      </c>
      <c r="P4" t="s">
        <v>42</v>
      </c>
      <c r="Q4" t="s">
        <v>43</v>
      </c>
      <c r="R4">
        <v>99999</v>
      </c>
      <c r="S4" t="s">
        <v>30</v>
      </c>
      <c r="T4" t="s">
        <v>48</v>
      </c>
      <c r="U4" t="s">
        <v>49</v>
      </c>
      <c r="V4" t="s">
        <v>39</v>
      </c>
      <c r="W4" s="3">
        <v>30</v>
      </c>
      <c r="X4">
        <v>69</v>
      </c>
      <c r="Y4" s="4">
        <v>2070</v>
      </c>
      <c r="Z4" s="3">
        <v>198.72</v>
      </c>
    </row>
    <row r="5" spans="1:26" x14ac:dyDescent="0.25">
      <c r="A5">
        <v>1004</v>
      </c>
      <c r="B5" s="2">
        <v>41643</v>
      </c>
      <c r="C5">
        <v>4</v>
      </c>
      <c r="D5" t="s">
        <v>40</v>
      </c>
      <c r="E5" t="s">
        <v>41</v>
      </c>
      <c r="F5" t="s">
        <v>42</v>
      </c>
      <c r="G5" t="s">
        <v>43</v>
      </c>
      <c r="H5">
        <v>99999</v>
      </c>
      <c r="I5" t="s">
        <v>30</v>
      </c>
      <c r="J5" t="s">
        <v>44</v>
      </c>
      <c r="K5" t="s">
        <v>45</v>
      </c>
      <c r="L5" s="2">
        <v>41645</v>
      </c>
      <c r="M5" t="s">
        <v>46</v>
      </c>
      <c r="N5" t="s">
        <v>47</v>
      </c>
      <c r="O5" t="s">
        <v>41</v>
      </c>
      <c r="P5" t="s">
        <v>42</v>
      </c>
      <c r="Q5" t="s">
        <v>43</v>
      </c>
      <c r="R5">
        <v>99999</v>
      </c>
      <c r="S5" t="s">
        <v>30</v>
      </c>
      <c r="T5" t="s">
        <v>48</v>
      </c>
      <c r="U5" t="s">
        <v>50</v>
      </c>
      <c r="V5" t="s">
        <v>39</v>
      </c>
      <c r="W5" s="3">
        <v>53</v>
      </c>
      <c r="X5">
        <v>89</v>
      </c>
      <c r="Y5" s="4">
        <v>4717</v>
      </c>
      <c r="Z5" s="3">
        <v>448.11500000000001</v>
      </c>
    </row>
    <row r="6" spans="1:26" x14ac:dyDescent="0.25">
      <c r="A6">
        <v>1005</v>
      </c>
      <c r="B6" s="2">
        <v>41643</v>
      </c>
      <c r="C6">
        <v>4</v>
      </c>
      <c r="D6" t="s">
        <v>40</v>
      </c>
      <c r="E6" t="s">
        <v>41</v>
      </c>
      <c r="F6" t="s">
        <v>42</v>
      </c>
      <c r="G6" t="s">
        <v>43</v>
      </c>
      <c r="H6">
        <v>99999</v>
      </c>
      <c r="I6" t="s">
        <v>30</v>
      </c>
      <c r="J6" t="s">
        <v>44</v>
      </c>
      <c r="K6" t="s">
        <v>45</v>
      </c>
      <c r="L6" s="2">
        <v>41645</v>
      </c>
      <c r="M6" t="s">
        <v>46</v>
      </c>
      <c r="N6" t="s">
        <v>47</v>
      </c>
      <c r="O6" t="s">
        <v>41</v>
      </c>
      <c r="P6" t="s">
        <v>42</v>
      </c>
      <c r="Q6" t="s">
        <v>43</v>
      </c>
      <c r="R6">
        <v>99999</v>
      </c>
      <c r="S6" t="s">
        <v>30</v>
      </c>
      <c r="T6" t="s">
        <v>48</v>
      </c>
      <c r="U6" t="s">
        <v>38</v>
      </c>
      <c r="V6" t="s">
        <v>39</v>
      </c>
      <c r="W6" s="3">
        <v>3.5</v>
      </c>
      <c r="X6">
        <v>11</v>
      </c>
      <c r="Y6" s="4">
        <v>38.5</v>
      </c>
      <c r="Z6" s="3">
        <v>3.7345000000000002</v>
      </c>
    </row>
    <row r="7" spans="1:26" x14ac:dyDescent="0.25">
      <c r="A7">
        <v>1006</v>
      </c>
      <c r="B7" s="2">
        <v>41651</v>
      </c>
      <c r="C7">
        <v>12</v>
      </c>
      <c r="D7" t="s">
        <v>51</v>
      </c>
      <c r="E7" t="s">
        <v>52</v>
      </c>
      <c r="F7" t="s">
        <v>28</v>
      </c>
      <c r="G7" t="s">
        <v>29</v>
      </c>
      <c r="H7">
        <v>99999</v>
      </c>
      <c r="I7" t="s">
        <v>30</v>
      </c>
      <c r="J7" t="s">
        <v>31</v>
      </c>
      <c r="K7" t="s">
        <v>32</v>
      </c>
      <c r="L7" s="2">
        <v>41653</v>
      </c>
      <c r="M7" t="s">
        <v>33</v>
      </c>
      <c r="N7" t="s">
        <v>53</v>
      </c>
      <c r="O7" t="s">
        <v>52</v>
      </c>
      <c r="P7" t="s">
        <v>28</v>
      </c>
      <c r="Q7" t="s">
        <v>29</v>
      </c>
      <c r="R7">
        <v>99999</v>
      </c>
      <c r="S7" t="s">
        <v>30</v>
      </c>
      <c r="T7" t="s">
        <v>48</v>
      </c>
      <c r="U7" t="s">
        <v>54</v>
      </c>
      <c r="V7" t="s">
        <v>37</v>
      </c>
      <c r="W7" s="3">
        <v>18</v>
      </c>
      <c r="X7">
        <v>81</v>
      </c>
      <c r="Y7" s="4">
        <v>1458</v>
      </c>
      <c r="Z7" s="3">
        <v>141.42600000000002</v>
      </c>
    </row>
    <row r="8" spans="1:26" x14ac:dyDescent="0.25">
      <c r="A8">
        <v>1007</v>
      </c>
      <c r="B8" s="2">
        <v>41651</v>
      </c>
      <c r="C8">
        <v>12</v>
      </c>
      <c r="D8" t="s">
        <v>51</v>
      </c>
      <c r="E8" t="s">
        <v>52</v>
      </c>
      <c r="F8" t="s">
        <v>28</v>
      </c>
      <c r="G8" t="s">
        <v>29</v>
      </c>
      <c r="H8">
        <v>99999</v>
      </c>
      <c r="I8" t="s">
        <v>30</v>
      </c>
      <c r="J8" t="s">
        <v>31</v>
      </c>
      <c r="K8" t="s">
        <v>32</v>
      </c>
      <c r="L8" s="2">
        <v>41653</v>
      </c>
      <c r="M8" t="s">
        <v>33</v>
      </c>
      <c r="N8" t="s">
        <v>53</v>
      </c>
      <c r="O8" t="s">
        <v>52</v>
      </c>
      <c r="P8" t="s">
        <v>28</v>
      </c>
      <c r="Q8" t="s">
        <v>29</v>
      </c>
      <c r="R8">
        <v>99999</v>
      </c>
      <c r="S8" t="s">
        <v>30</v>
      </c>
      <c r="T8" t="s">
        <v>48</v>
      </c>
      <c r="U8" t="s">
        <v>55</v>
      </c>
      <c r="V8" t="s">
        <v>37</v>
      </c>
      <c r="W8" s="3">
        <v>46</v>
      </c>
      <c r="X8">
        <v>44</v>
      </c>
      <c r="Y8" s="4">
        <v>2024</v>
      </c>
      <c r="Z8" s="3">
        <v>198.352</v>
      </c>
    </row>
    <row r="9" spans="1:26" x14ac:dyDescent="0.25">
      <c r="A9">
        <v>1008</v>
      </c>
      <c r="B9" s="2">
        <v>41647</v>
      </c>
      <c r="C9">
        <v>8</v>
      </c>
      <c r="D9" t="s">
        <v>56</v>
      </c>
      <c r="E9" t="s">
        <v>57</v>
      </c>
      <c r="F9" t="s">
        <v>58</v>
      </c>
      <c r="G9" t="s">
        <v>59</v>
      </c>
      <c r="H9">
        <v>99999</v>
      </c>
      <c r="I9" t="s">
        <v>30</v>
      </c>
      <c r="J9" t="s">
        <v>60</v>
      </c>
      <c r="K9" t="s">
        <v>61</v>
      </c>
      <c r="L9" s="2">
        <v>41649</v>
      </c>
      <c r="M9" t="s">
        <v>62</v>
      </c>
      <c r="N9" t="s">
        <v>63</v>
      </c>
      <c r="O9" t="s">
        <v>57</v>
      </c>
      <c r="P9" t="s">
        <v>58</v>
      </c>
      <c r="Q9" t="s">
        <v>59</v>
      </c>
      <c r="R9">
        <v>99999</v>
      </c>
      <c r="S9" t="s">
        <v>30</v>
      </c>
      <c r="T9" t="s">
        <v>48</v>
      </c>
      <c r="U9" t="s">
        <v>64</v>
      </c>
      <c r="V9" t="s">
        <v>65</v>
      </c>
      <c r="W9" s="3">
        <v>9.1999999999999993</v>
      </c>
      <c r="X9">
        <v>38</v>
      </c>
      <c r="Y9" s="4">
        <v>349.59999999999997</v>
      </c>
      <c r="Z9" s="3">
        <v>36.008800000000001</v>
      </c>
    </row>
    <row r="10" spans="1:26" x14ac:dyDescent="0.25">
      <c r="A10">
        <v>1009</v>
      </c>
      <c r="B10" s="2">
        <v>41643</v>
      </c>
      <c r="C10">
        <v>4</v>
      </c>
      <c r="D10" t="s">
        <v>40</v>
      </c>
      <c r="E10" t="s">
        <v>41</v>
      </c>
      <c r="F10" t="s">
        <v>42</v>
      </c>
      <c r="G10" t="s">
        <v>43</v>
      </c>
      <c r="H10">
        <v>99999</v>
      </c>
      <c r="I10" t="s">
        <v>30</v>
      </c>
      <c r="J10" t="s">
        <v>44</v>
      </c>
      <c r="K10" t="s">
        <v>45</v>
      </c>
      <c r="L10" s="2">
        <v>41645</v>
      </c>
      <c r="M10" t="s">
        <v>62</v>
      </c>
      <c r="N10" t="s">
        <v>47</v>
      </c>
      <c r="O10" t="s">
        <v>41</v>
      </c>
      <c r="P10" t="s">
        <v>42</v>
      </c>
      <c r="Q10" t="s">
        <v>43</v>
      </c>
      <c r="R10">
        <v>99999</v>
      </c>
      <c r="S10" t="s">
        <v>30</v>
      </c>
      <c r="T10" t="s">
        <v>35</v>
      </c>
      <c r="U10" t="s">
        <v>64</v>
      </c>
      <c r="V10" t="s">
        <v>65</v>
      </c>
      <c r="W10" s="3">
        <v>9.1999999999999993</v>
      </c>
      <c r="X10">
        <v>88</v>
      </c>
      <c r="Y10" s="4">
        <v>809.59999999999991</v>
      </c>
      <c r="Z10" s="3">
        <v>79.340799999999987</v>
      </c>
    </row>
    <row r="11" spans="1:26" x14ac:dyDescent="0.25">
      <c r="A11">
        <v>1010</v>
      </c>
      <c r="B11" s="2">
        <v>41668</v>
      </c>
      <c r="C11">
        <v>29</v>
      </c>
      <c r="D11" t="s">
        <v>66</v>
      </c>
      <c r="E11" t="s">
        <v>67</v>
      </c>
      <c r="F11" t="s">
        <v>68</v>
      </c>
      <c r="G11" t="s">
        <v>69</v>
      </c>
      <c r="H11">
        <v>99999</v>
      </c>
      <c r="I11" t="s">
        <v>30</v>
      </c>
      <c r="J11" t="s">
        <v>70</v>
      </c>
      <c r="K11" t="s">
        <v>32</v>
      </c>
      <c r="L11" s="2">
        <v>41670</v>
      </c>
      <c r="M11" t="s">
        <v>33</v>
      </c>
      <c r="N11" t="s">
        <v>71</v>
      </c>
      <c r="O11" t="s">
        <v>67</v>
      </c>
      <c r="P11" t="s">
        <v>68</v>
      </c>
      <c r="Q11" t="s">
        <v>69</v>
      </c>
      <c r="R11">
        <v>99999</v>
      </c>
      <c r="S11" t="s">
        <v>30</v>
      </c>
      <c r="T11" t="s">
        <v>35</v>
      </c>
      <c r="U11" t="s">
        <v>72</v>
      </c>
      <c r="V11" t="s">
        <v>73</v>
      </c>
      <c r="W11" s="3">
        <v>12.75</v>
      </c>
      <c r="X11">
        <v>94</v>
      </c>
      <c r="Y11" s="4">
        <v>1198.5</v>
      </c>
      <c r="Z11" s="3">
        <v>122.24700000000001</v>
      </c>
    </row>
    <row r="12" spans="1:26" x14ac:dyDescent="0.25">
      <c r="A12">
        <v>1011</v>
      </c>
      <c r="B12" s="2">
        <v>41642</v>
      </c>
      <c r="C12">
        <v>3</v>
      </c>
      <c r="D12" t="s">
        <v>74</v>
      </c>
      <c r="E12" t="s">
        <v>75</v>
      </c>
      <c r="F12" t="s">
        <v>76</v>
      </c>
      <c r="G12" t="s">
        <v>77</v>
      </c>
      <c r="H12">
        <v>99999</v>
      </c>
      <c r="I12" t="s">
        <v>30</v>
      </c>
      <c r="J12" t="s">
        <v>31</v>
      </c>
      <c r="K12" t="s">
        <v>32</v>
      </c>
      <c r="L12" s="2">
        <v>41644</v>
      </c>
      <c r="M12" t="s">
        <v>33</v>
      </c>
      <c r="N12" t="s">
        <v>78</v>
      </c>
      <c r="O12" t="s">
        <v>75</v>
      </c>
      <c r="P12" t="s">
        <v>76</v>
      </c>
      <c r="Q12" t="s">
        <v>77</v>
      </c>
      <c r="R12">
        <v>99999</v>
      </c>
      <c r="S12" t="s">
        <v>30</v>
      </c>
      <c r="T12" t="s">
        <v>79</v>
      </c>
      <c r="U12" t="s">
        <v>80</v>
      </c>
      <c r="V12" t="s">
        <v>81</v>
      </c>
      <c r="W12" s="3">
        <v>9.65</v>
      </c>
      <c r="X12">
        <v>91</v>
      </c>
      <c r="Y12" s="4">
        <v>878.15</v>
      </c>
      <c r="Z12" s="3">
        <v>92.205749999999995</v>
      </c>
    </row>
    <row r="13" spans="1:26" x14ac:dyDescent="0.25">
      <c r="A13">
        <v>1012</v>
      </c>
      <c r="B13" s="2">
        <v>41645</v>
      </c>
      <c r="C13">
        <v>6</v>
      </c>
      <c r="D13" t="s">
        <v>82</v>
      </c>
      <c r="E13" t="s">
        <v>83</v>
      </c>
      <c r="F13" t="s">
        <v>84</v>
      </c>
      <c r="G13" t="s">
        <v>85</v>
      </c>
      <c r="H13">
        <v>99999</v>
      </c>
      <c r="I13" t="s">
        <v>30</v>
      </c>
      <c r="J13" t="s">
        <v>86</v>
      </c>
      <c r="K13" t="s">
        <v>61</v>
      </c>
      <c r="L13" s="2">
        <v>41647</v>
      </c>
      <c r="M13" t="s">
        <v>33</v>
      </c>
      <c r="N13" t="s">
        <v>87</v>
      </c>
      <c r="O13" t="s">
        <v>83</v>
      </c>
      <c r="P13" t="s">
        <v>84</v>
      </c>
      <c r="Q13" t="s">
        <v>85</v>
      </c>
      <c r="R13">
        <v>99999</v>
      </c>
      <c r="S13" t="s">
        <v>30</v>
      </c>
      <c r="T13" t="s">
        <v>48</v>
      </c>
      <c r="U13" t="s">
        <v>88</v>
      </c>
      <c r="V13" t="s">
        <v>89</v>
      </c>
      <c r="W13" s="3">
        <v>40</v>
      </c>
      <c r="X13">
        <v>32</v>
      </c>
      <c r="Y13" s="4">
        <v>1280</v>
      </c>
      <c r="Z13" s="3">
        <v>133.12</v>
      </c>
    </row>
    <row r="14" spans="1:26" x14ac:dyDescent="0.25">
      <c r="A14">
        <v>1013</v>
      </c>
      <c r="B14" s="2">
        <v>41667</v>
      </c>
      <c r="C14">
        <v>28</v>
      </c>
      <c r="D14" t="s">
        <v>90</v>
      </c>
      <c r="E14" t="s">
        <v>91</v>
      </c>
      <c r="F14" t="s">
        <v>92</v>
      </c>
      <c r="G14" t="s">
        <v>93</v>
      </c>
      <c r="H14">
        <v>99999</v>
      </c>
      <c r="I14" t="s">
        <v>30</v>
      </c>
      <c r="J14" t="s">
        <v>94</v>
      </c>
      <c r="K14" t="s">
        <v>95</v>
      </c>
      <c r="L14" s="2">
        <v>41669</v>
      </c>
      <c r="M14" t="s">
        <v>62</v>
      </c>
      <c r="N14" t="s">
        <v>96</v>
      </c>
      <c r="O14" t="s">
        <v>91</v>
      </c>
      <c r="P14" t="s">
        <v>92</v>
      </c>
      <c r="Q14" t="s">
        <v>93</v>
      </c>
      <c r="R14">
        <v>99999</v>
      </c>
      <c r="S14" t="s">
        <v>30</v>
      </c>
      <c r="T14" t="s">
        <v>35</v>
      </c>
      <c r="U14" t="s">
        <v>55</v>
      </c>
      <c r="V14" t="s">
        <v>37</v>
      </c>
      <c r="W14" s="3">
        <v>46</v>
      </c>
      <c r="X14">
        <v>55</v>
      </c>
      <c r="Y14" s="4">
        <v>2530</v>
      </c>
      <c r="Z14" s="3">
        <v>253</v>
      </c>
    </row>
    <row r="15" spans="1:26" x14ac:dyDescent="0.25">
      <c r="A15">
        <v>1014</v>
      </c>
      <c r="B15" s="2">
        <v>41647</v>
      </c>
      <c r="C15">
        <v>8</v>
      </c>
      <c r="D15" t="s">
        <v>56</v>
      </c>
      <c r="E15" t="s">
        <v>57</v>
      </c>
      <c r="F15" t="s">
        <v>58</v>
      </c>
      <c r="G15" t="s">
        <v>59</v>
      </c>
      <c r="H15">
        <v>99999</v>
      </c>
      <c r="I15" t="s">
        <v>30</v>
      </c>
      <c r="J15" t="s">
        <v>60</v>
      </c>
      <c r="K15" t="s">
        <v>61</v>
      </c>
      <c r="L15" s="2">
        <v>41649</v>
      </c>
      <c r="M15" t="s">
        <v>62</v>
      </c>
      <c r="N15" t="s">
        <v>63</v>
      </c>
      <c r="O15" t="s">
        <v>57</v>
      </c>
      <c r="P15" t="s">
        <v>58</v>
      </c>
      <c r="Q15" t="s">
        <v>59</v>
      </c>
      <c r="R15">
        <v>99999</v>
      </c>
      <c r="S15" t="s">
        <v>30</v>
      </c>
      <c r="T15" t="s">
        <v>35</v>
      </c>
      <c r="U15" t="s">
        <v>72</v>
      </c>
      <c r="V15" t="s">
        <v>73</v>
      </c>
      <c r="W15" s="3">
        <v>12.75</v>
      </c>
      <c r="X15">
        <v>47</v>
      </c>
      <c r="Y15" s="4">
        <v>599.25</v>
      </c>
      <c r="Z15" s="3">
        <v>61.722750000000005</v>
      </c>
    </row>
    <row r="16" spans="1:26" x14ac:dyDescent="0.25">
      <c r="A16">
        <v>1015</v>
      </c>
      <c r="B16" s="2">
        <v>41649</v>
      </c>
      <c r="C16">
        <v>10</v>
      </c>
      <c r="D16" t="s">
        <v>97</v>
      </c>
      <c r="E16" t="s">
        <v>98</v>
      </c>
      <c r="F16" t="s">
        <v>99</v>
      </c>
      <c r="G16" t="s">
        <v>100</v>
      </c>
      <c r="H16">
        <v>99999</v>
      </c>
      <c r="I16" t="s">
        <v>30</v>
      </c>
      <c r="J16" t="s">
        <v>101</v>
      </c>
      <c r="K16" t="s">
        <v>45</v>
      </c>
      <c r="L16" s="2">
        <v>41651</v>
      </c>
      <c r="M16" t="s">
        <v>33</v>
      </c>
      <c r="N16" t="s">
        <v>102</v>
      </c>
      <c r="O16" t="s">
        <v>98</v>
      </c>
      <c r="P16" t="s">
        <v>99</v>
      </c>
      <c r="Q16" t="s">
        <v>100</v>
      </c>
      <c r="R16">
        <v>99999</v>
      </c>
      <c r="S16" t="s">
        <v>30</v>
      </c>
      <c r="T16" t="s">
        <v>48</v>
      </c>
      <c r="U16" t="s">
        <v>103</v>
      </c>
      <c r="V16" t="s">
        <v>37</v>
      </c>
      <c r="W16" s="3">
        <v>2.99</v>
      </c>
      <c r="X16">
        <v>90</v>
      </c>
      <c r="Y16" s="4">
        <v>269.10000000000002</v>
      </c>
      <c r="Z16" s="3">
        <v>27.717300000000005</v>
      </c>
    </row>
    <row r="17" spans="1:26" x14ac:dyDescent="0.25">
      <c r="A17">
        <v>1016</v>
      </c>
      <c r="B17" s="2">
        <v>41646</v>
      </c>
      <c r="C17">
        <v>7</v>
      </c>
      <c r="D17" t="s">
        <v>104</v>
      </c>
      <c r="E17" t="s">
        <v>105</v>
      </c>
      <c r="F17" t="s">
        <v>106</v>
      </c>
      <c r="G17" t="s">
        <v>107</v>
      </c>
      <c r="H17">
        <v>99999</v>
      </c>
      <c r="I17" t="s">
        <v>30</v>
      </c>
      <c r="J17" t="s">
        <v>60</v>
      </c>
      <c r="K17" t="s">
        <v>61</v>
      </c>
      <c r="N17" t="s">
        <v>108</v>
      </c>
      <c r="O17" t="s">
        <v>105</v>
      </c>
      <c r="P17" t="s">
        <v>106</v>
      </c>
      <c r="Q17" t="s">
        <v>107</v>
      </c>
      <c r="R17">
        <v>99999</v>
      </c>
      <c r="S17" t="s">
        <v>30</v>
      </c>
      <c r="U17" t="s">
        <v>55</v>
      </c>
      <c r="V17" t="s">
        <v>37</v>
      </c>
      <c r="W17" s="3">
        <v>46</v>
      </c>
      <c r="X17">
        <v>24</v>
      </c>
      <c r="Y17" s="4">
        <v>1104</v>
      </c>
      <c r="Z17" s="3">
        <v>110.4</v>
      </c>
    </row>
    <row r="18" spans="1:26" x14ac:dyDescent="0.25">
      <c r="A18">
        <v>1017</v>
      </c>
      <c r="B18" s="2">
        <v>41649</v>
      </c>
      <c r="C18">
        <v>10</v>
      </c>
      <c r="D18" t="s">
        <v>97</v>
      </c>
      <c r="E18" t="s">
        <v>98</v>
      </c>
      <c r="F18" t="s">
        <v>99</v>
      </c>
      <c r="G18" t="s">
        <v>100</v>
      </c>
      <c r="H18">
        <v>99999</v>
      </c>
      <c r="I18" t="s">
        <v>30</v>
      </c>
      <c r="J18" t="s">
        <v>101</v>
      </c>
      <c r="K18" t="s">
        <v>45</v>
      </c>
      <c r="L18" s="2">
        <v>41651</v>
      </c>
      <c r="M18" t="s">
        <v>46</v>
      </c>
      <c r="N18" t="s">
        <v>102</v>
      </c>
      <c r="O18" t="s">
        <v>98</v>
      </c>
      <c r="P18" t="s">
        <v>99</v>
      </c>
      <c r="Q18" t="s">
        <v>100</v>
      </c>
      <c r="R18">
        <v>99999</v>
      </c>
      <c r="S18" t="s">
        <v>30</v>
      </c>
      <c r="U18" t="s">
        <v>109</v>
      </c>
      <c r="V18" t="s">
        <v>110</v>
      </c>
      <c r="W18" s="3">
        <v>25</v>
      </c>
      <c r="X18">
        <v>34</v>
      </c>
      <c r="Y18" s="4">
        <v>850</v>
      </c>
      <c r="Z18" s="3">
        <v>80.75</v>
      </c>
    </row>
    <row r="19" spans="1:26" x14ac:dyDescent="0.25">
      <c r="A19">
        <v>1018</v>
      </c>
      <c r="B19" s="2">
        <v>41649</v>
      </c>
      <c r="C19">
        <v>10</v>
      </c>
      <c r="D19" t="s">
        <v>97</v>
      </c>
      <c r="E19" t="s">
        <v>98</v>
      </c>
      <c r="F19" t="s">
        <v>99</v>
      </c>
      <c r="G19" t="s">
        <v>100</v>
      </c>
      <c r="H19">
        <v>99999</v>
      </c>
      <c r="I19" t="s">
        <v>30</v>
      </c>
      <c r="J19" t="s">
        <v>101</v>
      </c>
      <c r="K19" t="s">
        <v>45</v>
      </c>
      <c r="L19" s="2">
        <v>41651</v>
      </c>
      <c r="M19" t="s">
        <v>46</v>
      </c>
      <c r="N19" t="s">
        <v>102</v>
      </c>
      <c r="O19" t="s">
        <v>98</v>
      </c>
      <c r="P19" t="s">
        <v>99</v>
      </c>
      <c r="Q19" t="s">
        <v>100</v>
      </c>
      <c r="R19">
        <v>99999</v>
      </c>
      <c r="S19" t="s">
        <v>30</v>
      </c>
      <c r="U19" t="s">
        <v>111</v>
      </c>
      <c r="V19" t="s">
        <v>112</v>
      </c>
      <c r="W19" s="3">
        <v>22</v>
      </c>
      <c r="X19">
        <v>17</v>
      </c>
      <c r="Y19" s="4">
        <v>374</v>
      </c>
      <c r="Z19" s="3">
        <v>35.903999999999996</v>
      </c>
    </row>
    <row r="20" spans="1:26" x14ac:dyDescent="0.25">
      <c r="A20">
        <v>1019</v>
      </c>
      <c r="B20" s="2">
        <v>41649</v>
      </c>
      <c r="C20">
        <v>10</v>
      </c>
      <c r="D20" t="s">
        <v>97</v>
      </c>
      <c r="E20" t="s">
        <v>98</v>
      </c>
      <c r="F20" t="s">
        <v>99</v>
      </c>
      <c r="G20" t="s">
        <v>100</v>
      </c>
      <c r="H20">
        <v>99999</v>
      </c>
      <c r="I20" t="s">
        <v>30</v>
      </c>
      <c r="J20" t="s">
        <v>101</v>
      </c>
      <c r="K20" t="s">
        <v>45</v>
      </c>
      <c r="L20" s="2">
        <v>41651</v>
      </c>
      <c r="M20" t="s">
        <v>46</v>
      </c>
      <c r="N20" t="s">
        <v>102</v>
      </c>
      <c r="O20" t="s">
        <v>98</v>
      </c>
      <c r="P20" t="s">
        <v>99</v>
      </c>
      <c r="Q20" t="s">
        <v>100</v>
      </c>
      <c r="R20">
        <v>99999</v>
      </c>
      <c r="S20" t="s">
        <v>30</v>
      </c>
      <c r="U20" t="s">
        <v>64</v>
      </c>
      <c r="V20" t="s">
        <v>65</v>
      </c>
      <c r="W20" s="3">
        <v>9.1999999999999993</v>
      </c>
      <c r="X20">
        <v>44</v>
      </c>
      <c r="Y20" s="4">
        <v>404.79999999999995</v>
      </c>
      <c r="Z20" s="3">
        <v>42.099199999999996</v>
      </c>
    </row>
    <row r="21" spans="1:26" x14ac:dyDescent="0.25">
      <c r="A21">
        <v>1020</v>
      </c>
      <c r="B21" s="2">
        <v>41650</v>
      </c>
      <c r="C21">
        <v>11</v>
      </c>
      <c r="D21" t="s">
        <v>113</v>
      </c>
      <c r="E21" t="s">
        <v>114</v>
      </c>
      <c r="F21" t="s">
        <v>115</v>
      </c>
      <c r="G21" t="s">
        <v>116</v>
      </c>
      <c r="H21">
        <v>99999</v>
      </c>
      <c r="I21" t="s">
        <v>30</v>
      </c>
      <c r="J21" t="s">
        <v>94</v>
      </c>
      <c r="K21" t="s">
        <v>95</v>
      </c>
      <c r="M21" t="s">
        <v>62</v>
      </c>
      <c r="N21" t="s">
        <v>117</v>
      </c>
      <c r="O21" t="s">
        <v>114</v>
      </c>
      <c r="P21" t="s">
        <v>115</v>
      </c>
      <c r="Q21" t="s">
        <v>116</v>
      </c>
      <c r="R21">
        <v>99999</v>
      </c>
      <c r="S21" t="s">
        <v>30</v>
      </c>
      <c r="U21" t="s">
        <v>38</v>
      </c>
      <c r="V21" t="s">
        <v>39</v>
      </c>
      <c r="W21" s="3">
        <v>3.5</v>
      </c>
      <c r="X21">
        <v>81</v>
      </c>
      <c r="Y21" s="4">
        <v>283.5</v>
      </c>
      <c r="Z21" s="3">
        <v>27.499500000000001</v>
      </c>
    </row>
    <row r="22" spans="1:26" x14ac:dyDescent="0.25">
      <c r="A22">
        <v>1021</v>
      </c>
      <c r="B22" s="2">
        <v>41650</v>
      </c>
      <c r="C22">
        <v>11</v>
      </c>
      <c r="D22" t="s">
        <v>113</v>
      </c>
      <c r="E22" t="s">
        <v>114</v>
      </c>
      <c r="F22" t="s">
        <v>115</v>
      </c>
      <c r="G22" t="s">
        <v>116</v>
      </c>
      <c r="H22">
        <v>99999</v>
      </c>
      <c r="I22" t="s">
        <v>30</v>
      </c>
      <c r="J22" t="s">
        <v>94</v>
      </c>
      <c r="K22" t="s">
        <v>95</v>
      </c>
      <c r="M22" t="s">
        <v>62</v>
      </c>
      <c r="N22" t="s">
        <v>117</v>
      </c>
      <c r="O22" t="s">
        <v>114</v>
      </c>
      <c r="P22" t="s">
        <v>115</v>
      </c>
      <c r="Q22" t="s">
        <v>116</v>
      </c>
      <c r="R22">
        <v>99999</v>
      </c>
      <c r="S22" t="s">
        <v>30</v>
      </c>
      <c r="U22" t="s">
        <v>103</v>
      </c>
      <c r="V22" t="s">
        <v>37</v>
      </c>
      <c r="W22" s="3">
        <v>2.99</v>
      </c>
      <c r="X22">
        <v>49</v>
      </c>
      <c r="Y22" s="4">
        <v>146.51000000000002</v>
      </c>
      <c r="Z22" s="3">
        <v>15.090530000000005</v>
      </c>
    </row>
    <row r="23" spans="1:26" x14ac:dyDescent="0.25">
      <c r="A23">
        <v>1022</v>
      </c>
      <c r="B23" s="2">
        <v>41640</v>
      </c>
      <c r="C23">
        <v>1</v>
      </c>
      <c r="D23" t="s">
        <v>118</v>
      </c>
      <c r="E23" t="s">
        <v>119</v>
      </c>
      <c r="F23" t="s">
        <v>120</v>
      </c>
      <c r="G23" t="s">
        <v>121</v>
      </c>
      <c r="H23">
        <v>99999</v>
      </c>
      <c r="I23" t="s">
        <v>30</v>
      </c>
      <c r="J23" t="s">
        <v>60</v>
      </c>
      <c r="K23" t="s">
        <v>61</v>
      </c>
      <c r="N23" t="s">
        <v>122</v>
      </c>
      <c r="O23" t="s">
        <v>119</v>
      </c>
      <c r="P23" t="s">
        <v>120</v>
      </c>
      <c r="Q23" t="s">
        <v>121</v>
      </c>
      <c r="R23">
        <v>99999</v>
      </c>
      <c r="S23" t="s">
        <v>30</v>
      </c>
      <c r="U23" t="s">
        <v>54</v>
      </c>
      <c r="V23" t="s">
        <v>37</v>
      </c>
      <c r="W23" s="3">
        <v>18</v>
      </c>
      <c r="X23">
        <v>42</v>
      </c>
      <c r="Y23" s="4">
        <v>756</v>
      </c>
      <c r="Z23" s="3">
        <v>75.600000000000009</v>
      </c>
    </row>
    <row r="24" spans="1:26" x14ac:dyDescent="0.25">
      <c r="A24">
        <v>1023</v>
      </c>
      <c r="B24" s="2">
        <v>41640</v>
      </c>
      <c r="C24">
        <v>1</v>
      </c>
      <c r="D24" t="s">
        <v>118</v>
      </c>
      <c r="E24" t="s">
        <v>119</v>
      </c>
      <c r="F24" t="s">
        <v>120</v>
      </c>
      <c r="G24" t="s">
        <v>121</v>
      </c>
      <c r="H24">
        <v>99999</v>
      </c>
      <c r="I24" t="s">
        <v>30</v>
      </c>
      <c r="J24" t="s">
        <v>60</v>
      </c>
      <c r="K24" t="s">
        <v>61</v>
      </c>
      <c r="N24" t="s">
        <v>122</v>
      </c>
      <c r="O24" t="s">
        <v>119</v>
      </c>
      <c r="P24" t="s">
        <v>120</v>
      </c>
      <c r="Q24" t="s">
        <v>121</v>
      </c>
      <c r="R24">
        <v>99999</v>
      </c>
      <c r="S24" t="s">
        <v>30</v>
      </c>
      <c r="U24" t="s">
        <v>55</v>
      </c>
      <c r="V24" t="s">
        <v>37</v>
      </c>
      <c r="W24" s="3">
        <v>46</v>
      </c>
      <c r="X24">
        <v>58</v>
      </c>
      <c r="Y24" s="4">
        <v>2668</v>
      </c>
      <c r="Z24" s="3">
        <v>269.46800000000002</v>
      </c>
    </row>
    <row r="25" spans="1:26" x14ac:dyDescent="0.25">
      <c r="A25">
        <v>1024</v>
      </c>
      <c r="B25" s="2">
        <v>41640</v>
      </c>
      <c r="C25">
        <v>1</v>
      </c>
      <c r="D25" t="s">
        <v>118</v>
      </c>
      <c r="E25" t="s">
        <v>119</v>
      </c>
      <c r="F25" t="s">
        <v>120</v>
      </c>
      <c r="G25" t="s">
        <v>121</v>
      </c>
      <c r="H25">
        <v>99999</v>
      </c>
      <c r="I25" t="s">
        <v>30</v>
      </c>
      <c r="J25" t="s">
        <v>60</v>
      </c>
      <c r="K25" t="s">
        <v>61</v>
      </c>
      <c r="N25" t="s">
        <v>122</v>
      </c>
      <c r="O25" t="s">
        <v>119</v>
      </c>
      <c r="P25" t="s">
        <v>120</v>
      </c>
      <c r="Q25" t="s">
        <v>121</v>
      </c>
      <c r="R25">
        <v>99999</v>
      </c>
      <c r="S25" t="s">
        <v>30</v>
      </c>
      <c r="U25" t="s">
        <v>103</v>
      </c>
      <c r="V25" t="s">
        <v>37</v>
      </c>
      <c r="W25" s="3">
        <v>2.99</v>
      </c>
      <c r="X25">
        <v>67</v>
      </c>
      <c r="Y25" s="4">
        <v>200.33</v>
      </c>
      <c r="Z25" s="3">
        <v>20.033000000000001</v>
      </c>
    </row>
    <row r="26" spans="1:26" x14ac:dyDescent="0.25">
      <c r="A26">
        <v>1025</v>
      </c>
      <c r="B26" s="2">
        <v>41667</v>
      </c>
      <c r="C26">
        <v>28</v>
      </c>
      <c r="D26" t="s">
        <v>90</v>
      </c>
      <c r="E26" t="s">
        <v>91</v>
      </c>
      <c r="F26" t="s">
        <v>92</v>
      </c>
      <c r="G26" t="s">
        <v>93</v>
      </c>
      <c r="H26">
        <v>99999</v>
      </c>
      <c r="I26" t="s">
        <v>30</v>
      </c>
      <c r="J26" t="s">
        <v>94</v>
      </c>
      <c r="K26" t="s">
        <v>95</v>
      </c>
      <c r="L26" s="2">
        <v>41669</v>
      </c>
      <c r="M26" t="s">
        <v>62</v>
      </c>
      <c r="N26" t="s">
        <v>96</v>
      </c>
      <c r="O26" t="s">
        <v>91</v>
      </c>
      <c r="P26" t="s">
        <v>92</v>
      </c>
      <c r="Q26" t="s">
        <v>93</v>
      </c>
      <c r="R26">
        <v>99999</v>
      </c>
      <c r="S26" t="s">
        <v>30</v>
      </c>
      <c r="T26" t="s">
        <v>48</v>
      </c>
      <c r="U26" t="s">
        <v>80</v>
      </c>
      <c r="V26" t="s">
        <v>81</v>
      </c>
      <c r="W26" s="3">
        <v>9.65</v>
      </c>
      <c r="X26">
        <v>100</v>
      </c>
      <c r="Y26" s="4">
        <v>965</v>
      </c>
      <c r="Z26" s="3">
        <v>93.605000000000004</v>
      </c>
    </row>
    <row r="27" spans="1:26" x14ac:dyDescent="0.25">
      <c r="A27">
        <v>1026</v>
      </c>
      <c r="B27" s="2">
        <v>41667</v>
      </c>
      <c r="C27">
        <v>28</v>
      </c>
      <c r="D27" t="s">
        <v>90</v>
      </c>
      <c r="E27" t="s">
        <v>91</v>
      </c>
      <c r="F27" t="s">
        <v>92</v>
      </c>
      <c r="G27" t="s">
        <v>93</v>
      </c>
      <c r="H27">
        <v>99999</v>
      </c>
      <c r="I27" t="s">
        <v>30</v>
      </c>
      <c r="J27" t="s">
        <v>94</v>
      </c>
      <c r="K27" t="s">
        <v>95</v>
      </c>
      <c r="L27" s="2">
        <v>41669</v>
      </c>
      <c r="M27" t="s">
        <v>62</v>
      </c>
      <c r="N27" t="s">
        <v>96</v>
      </c>
      <c r="O27" t="s">
        <v>91</v>
      </c>
      <c r="P27" t="s">
        <v>92</v>
      </c>
      <c r="Q27" t="s">
        <v>93</v>
      </c>
      <c r="R27">
        <v>99999</v>
      </c>
      <c r="S27" t="s">
        <v>30</v>
      </c>
      <c r="T27" t="s">
        <v>48</v>
      </c>
      <c r="U27" t="s">
        <v>123</v>
      </c>
      <c r="V27" t="s">
        <v>124</v>
      </c>
      <c r="W27" s="3">
        <v>18.399999999999999</v>
      </c>
      <c r="X27">
        <v>63</v>
      </c>
      <c r="Y27" s="4">
        <v>1159.1999999999998</v>
      </c>
      <c r="Z27" s="3">
        <v>114.76079999999999</v>
      </c>
    </row>
    <row r="28" spans="1:26" x14ac:dyDescent="0.25">
      <c r="A28">
        <v>1027</v>
      </c>
      <c r="B28" s="2">
        <v>41648</v>
      </c>
      <c r="C28">
        <v>9</v>
      </c>
      <c r="D28" t="s">
        <v>125</v>
      </c>
      <c r="E28" t="s">
        <v>126</v>
      </c>
      <c r="F28" t="s">
        <v>127</v>
      </c>
      <c r="G28" t="s">
        <v>128</v>
      </c>
      <c r="H28">
        <v>99999</v>
      </c>
      <c r="I28" t="s">
        <v>30</v>
      </c>
      <c r="J28" t="s">
        <v>129</v>
      </c>
      <c r="K28" t="s">
        <v>32</v>
      </c>
      <c r="L28" s="2">
        <v>41650</v>
      </c>
      <c r="M28" t="s">
        <v>46</v>
      </c>
      <c r="N28" t="s">
        <v>130</v>
      </c>
      <c r="O28" t="s">
        <v>126</v>
      </c>
      <c r="P28" t="s">
        <v>127</v>
      </c>
      <c r="Q28" t="s">
        <v>128</v>
      </c>
      <c r="R28">
        <v>99999</v>
      </c>
      <c r="S28" t="s">
        <v>30</v>
      </c>
      <c r="T28" t="s">
        <v>35</v>
      </c>
      <c r="U28" t="s">
        <v>131</v>
      </c>
      <c r="V28" t="s">
        <v>132</v>
      </c>
      <c r="W28" s="3">
        <v>19.5</v>
      </c>
      <c r="X28">
        <v>57</v>
      </c>
      <c r="Y28" s="4">
        <v>1111.5</v>
      </c>
      <c r="Z28" s="3">
        <v>110.0385</v>
      </c>
    </row>
    <row r="29" spans="1:26" x14ac:dyDescent="0.25">
      <c r="A29">
        <v>1028</v>
      </c>
      <c r="B29" s="2">
        <v>41648</v>
      </c>
      <c r="C29">
        <v>9</v>
      </c>
      <c r="D29" t="s">
        <v>125</v>
      </c>
      <c r="E29" t="s">
        <v>126</v>
      </c>
      <c r="F29" t="s">
        <v>127</v>
      </c>
      <c r="G29" t="s">
        <v>128</v>
      </c>
      <c r="H29">
        <v>99999</v>
      </c>
      <c r="I29" t="s">
        <v>30</v>
      </c>
      <c r="J29" t="s">
        <v>129</v>
      </c>
      <c r="K29" t="s">
        <v>32</v>
      </c>
      <c r="L29" s="2">
        <v>41650</v>
      </c>
      <c r="M29" t="s">
        <v>46</v>
      </c>
      <c r="N29" t="s">
        <v>130</v>
      </c>
      <c r="O29" t="s">
        <v>126</v>
      </c>
      <c r="P29" t="s">
        <v>127</v>
      </c>
      <c r="Q29" t="s">
        <v>128</v>
      </c>
      <c r="R29">
        <v>99999</v>
      </c>
      <c r="S29" t="s">
        <v>30</v>
      </c>
      <c r="T29" t="s">
        <v>35</v>
      </c>
      <c r="U29" t="s">
        <v>133</v>
      </c>
      <c r="V29" t="s">
        <v>134</v>
      </c>
      <c r="W29" s="3">
        <v>34.799999999999997</v>
      </c>
      <c r="X29">
        <v>81</v>
      </c>
      <c r="Y29" s="4">
        <v>2818.7999999999997</v>
      </c>
      <c r="Z29" s="3">
        <v>295.97399999999999</v>
      </c>
    </row>
    <row r="30" spans="1:26" x14ac:dyDescent="0.25">
      <c r="A30">
        <v>1029</v>
      </c>
      <c r="B30" s="2">
        <v>41645</v>
      </c>
      <c r="C30">
        <v>6</v>
      </c>
      <c r="D30" t="s">
        <v>82</v>
      </c>
      <c r="E30" t="s">
        <v>83</v>
      </c>
      <c r="F30" t="s">
        <v>84</v>
      </c>
      <c r="G30" t="s">
        <v>85</v>
      </c>
      <c r="H30">
        <v>99999</v>
      </c>
      <c r="I30" t="s">
        <v>30</v>
      </c>
      <c r="J30" t="s">
        <v>86</v>
      </c>
      <c r="K30" t="s">
        <v>61</v>
      </c>
      <c r="L30" s="2">
        <v>41647</v>
      </c>
      <c r="M30" t="s">
        <v>33</v>
      </c>
      <c r="N30" t="s">
        <v>87</v>
      </c>
      <c r="O30" t="s">
        <v>83</v>
      </c>
      <c r="P30" t="s">
        <v>84</v>
      </c>
      <c r="Q30" t="s">
        <v>85</v>
      </c>
      <c r="R30">
        <v>99999</v>
      </c>
      <c r="S30" t="s">
        <v>30</v>
      </c>
      <c r="T30" t="s">
        <v>48</v>
      </c>
      <c r="U30" t="s">
        <v>36</v>
      </c>
      <c r="V30" t="s">
        <v>37</v>
      </c>
      <c r="W30" s="3">
        <v>14</v>
      </c>
      <c r="X30">
        <v>71</v>
      </c>
      <c r="Y30" s="4">
        <v>994</v>
      </c>
      <c r="Z30" s="3">
        <v>95.424000000000007</v>
      </c>
    </row>
    <row r="31" spans="1:26" x14ac:dyDescent="0.25">
      <c r="A31">
        <v>1030</v>
      </c>
      <c r="B31" s="2">
        <v>41678</v>
      </c>
      <c r="C31">
        <v>8</v>
      </c>
      <c r="D31" t="s">
        <v>56</v>
      </c>
      <c r="E31" t="s">
        <v>57</v>
      </c>
      <c r="F31" t="s">
        <v>58</v>
      </c>
      <c r="G31" t="s">
        <v>59</v>
      </c>
      <c r="H31">
        <v>99999</v>
      </c>
      <c r="I31" t="s">
        <v>30</v>
      </c>
      <c r="J31" t="s">
        <v>60</v>
      </c>
      <c r="K31" t="s">
        <v>61</v>
      </c>
      <c r="L31" s="2">
        <v>41680</v>
      </c>
      <c r="M31" t="s">
        <v>33</v>
      </c>
      <c r="N31" t="s">
        <v>63</v>
      </c>
      <c r="O31" t="s">
        <v>57</v>
      </c>
      <c r="P31" t="s">
        <v>58</v>
      </c>
      <c r="Q31" t="s">
        <v>59</v>
      </c>
      <c r="R31">
        <v>99999</v>
      </c>
      <c r="S31" t="s">
        <v>30</v>
      </c>
      <c r="T31" t="s">
        <v>35</v>
      </c>
      <c r="U31" t="s">
        <v>88</v>
      </c>
      <c r="V31" t="s">
        <v>89</v>
      </c>
      <c r="W31" s="3">
        <v>40</v>
      </c>
      <c r="X31">
        <v>32</v>
      </c>
      <c r="Y31" s="4">
        <v>1280</v>
      </c>
      <c r="Z31" s="3">
        <v>129.28</v>
      </c>
    </row>
    <row r="32" spans="1:26" x14ac:dyDescent="0.25">
      <c r="A32">
        <v>1031</v>
      </c>
      <c r="B32" s="2">
        <v>41673</v>
      </c>
      <c r="C32">
        <v>3</v>
      </c>
      <c r="D32" t="s">
        <v>74</v>
      </c>
      <c r="E32" t="s">
        <v>75</v>
      </c>
      <c r="F32" t="s">
        <v>76</v>
      </c>
      <c r="G32" t="s">
        <v>77</v>
      </c>
      <c r="H32">
        <v>99999</v>
      </c>
      <c r="I32" t="s">
        <v>30</v>
      </c>
      <c r="J32" t="s">
        <v>31</v>
      </c>
      <c r="K32" t="s">
        <v>32</v>
      </c>
      <c r="L32" s="2">
        <v>41675</v>
      </c>
      <c r="M32" t="s">
        <v>33</v>
      </c>
      <c r="N32" t="s">
        <v>78</v>
      </c>
      <c r="O32" t="s">
        <v>75</v>
      </c>
      <c r="P32" t="s">
        <v>76</v>
      </c>
      <c r="Q32" t="s">
        <v>77</v>
      </c>
      <c r="R32">
        <v>99999</v>
      </c>
      <c r="S32" t="s">
        <v>30</v>
      </c>
      <c r="T32" t="s">
        <v>79</v>
      </c>
      <c r="U32" t="s">
        <v>135</v>
      </c>
      <c r="V32" t="s">
        <v>112</v>
      </c>
      <c r="W32">
        <v>10</v>
      </c>
      <c r="X32">
        <v>63</v>
      </c>
      <c r="Y32" s="4">
        <v>630</v>
      </c>
      <c r="Z32" s="3">
        <v>65.52</v>
      </c>
    </row>
    <row r="33" spans="1:26" x14ac:dyDescent="0.25">
      <c r="A33">
        <v>1032</v>
      </c>
      <c r="B33" s="2">
        <v>41673</v>
      </c>
      <c r="C33">
        <v>3</v>
      </c>
      <c r="D33" t="s">
        <v>74</v>
      </c>
      <c r="E33" t="s">
        <v>75</v>
      </c>
      <c r="F33" t="s">
        <v>76</v>
      </c>
      <c r="G33" t="s">
        <v>77</v>
      </c>
      <c r="H33">
        <v>99999</v>
      </c>
      <c r="I33" t="s">
        <v>30</v>
      </c>
      <c r="J33" t="s">
        <v>31</v>
      </c>
      <c r="K33" t="s">
        <v>32</v>
      </c>
      <c r="L33" s="2">
        <v>41675</v>
      </c>
      <c r="M33" t="s">
        <v>33</v>
      </c>
      <c r="N33" t="s">
        <v>78</v>
      </c>
      <c r="O33" t="s">
        <v>75</v>
      </c>
      <c r="P33" t="s">
        <v>76</v>
      </c>
      <c r="Q33" t="s">
        <v>77</v>
      </c>
      <c r="R33">
        <v>99999</v>
      </c>
      <c r="S33" t="s">
        <v>30</v>
      </c>
      <c r="T33" t="s">
        <v>79</v>
      </c>
      <c r="U33" t="s">
        <v>88</v>
      </c>
      <c r="V33" t="s">
        <v>89</v>
      </c>
      <c r="W33">
        <v>40</v>
      </c>
      <c r="X33">
        <v>30</v>
      </c>
      <c r="Y33" s="4">
        <v>1200</v>
      </c>
      <c r="Z33" s="3">
        <v>120</v>
      </c>
    </row>
    <row r="34" spans="1:26" x14ac:dyDescent="0.25">
      <c r="A34">
        <v>1033</v>
      </c>
      <c r="B34" s="2">
        <v>41676</v>
      </c>
      <c r="C34">
        <v>6</v>
      </c>
      <c r="D34" t="s">
        <v>82</v>
      </c>
      <c r="E34" t="s">
        <v>83</v>
      </c>
      <c r="F34" t="s">
        <v>84</v>
      </c>
      <c r="G34" t="s">
        <v>85</v>
      </c>
      <c r="H34">
        <v>99999</v>
      </c>
      <c r="I34" t="s">
        <v>30</v>
      </c>
      <c r="J34" t="s">
        <v>86</v>
      </c>
      <c r="K34" t="s">
        <v>61</v>
      </c>
      <c r="L34" s="2">
        <v>41678</v>
      </c>
      <c r="M34" t="s">
        <v>33</v>
      </c>
      <c r="N34" t="s">
        <v>87</v>
      </c>
      <c r="O34" t="s">
        <v>83</v>
      </c>
      <c r="P34" t="s">
        <v>84</v>
      </c>
      <c r="Q34" t="s">
        <v>85</v>
      </c>
      <c r="R34">
        <v>99999</v>
      </c>
      <c r="S34" t="s">
        <v>30</v>
      </c>
      <c r="T34" t="s">
        <v>48</v>
      </c>
      <c r="U34" t="s">
        <v>171</v>
      </c>
      <c r="V34" t="s">
        <v>163</v>
      </c>
      <c r="Y34" s="4">
        <v>10</v>
      </c>
      <c r="Z34" s="3">
        <v>43</v>
      </c>
    </row>
    <row r="35" spans="1:26" x14ac:dyDescent="0.25">
      <c r="A35">
        <v>1034</v>
      </c>
      <c r="B35" s="2">
        <v>41698</v>
      </c>
      <c r="C35">
        <v>28</v>
      </c>
      <c r="D35" t="s">
        <v>90</v>
      </c>
      <c r="E35" t="s">
        <v>91</v>
      </c>
      <c r="F35" t="s">
        <v>92</v>
      </c>
      <c r="G35" t="s">
        <v>93</v>
      </c>
      <c r="H35">
        <v>99999</v>
      </c>
      <c r="I35" t="s">
        <v>30</v>
      </c>
      <c r="J35" t="s">
        <v>94</v>
      </c>
      <c r="K35" t="s">
        <v>95</v>
      </c>
      <c r="L35" s="2">
        <v>41700</v>
      </c>
      <c r="M35" t="s">
        <v>62</v>
      </c>
      <c r="N35" t="s">
        <v>96</v>
      </c>
      <c r="O35" t="s">
        <v>91</v>
      </c>
      <c r="P35" t="s">
        <v>92</v>
      </c>
      <c r="Q35" t="s">
        <v>93</v>
      </c>
      <c r="R35">
        <v>99999</v>
      </c>
      <c r="S35" t="s">
        <v>30</v>
      </c>
      <c r="T35" t="s">
        <v>35</v>
      </c>
      <c r="U35" t="s">
        <v>171</v>
      </c>
      <c r="V35" t="s">
        <v>163</v>
      </c>
      <c r="Y35" s="4">
        <v>10</v>
      </c>
      <c r="Z35" s="3">
        <v>31</v>
      </c>
    </row>
    <row r="36" spans="1:26" x14ac:dyDescent="0.25">
      <c r="A36">
        <v>1035</v>
      </c>
      <c r="B36" s="2">
        <v>41678</v>
      </c>
      <c r="C36">
        <v>8</v>
      </c>
      <c r="D36" t="s">
        <v>56</v>
      </c>
      <c r="E36" t="s">
        <v>57</v>
      </c>
      <c r="F36" t="s">
        <v>58</v>
      </c>
      <c r="G36" t="s">
        <v>59</v>
      </c>
      <c r="H36">
        <v>99999</v>
      </c>
      <c r="I36" t="s">
        <v>30</v>
      </c>
      <c r="J36" t="s">
        <v>60</v>
      </c>
      <c r="K36" t="s">
        <v>61</v>
      </c>
      <c r="L36" s="2">
        <v>41680</v>
      </c>
      <c r="M36" t="s">
        <v>62</v>
      </c>
      <c r="N36" t="s">
        <v>63</v>
      </c>
      <c r="O36" t="s">
        <v>57</v>
      </c>
      <c r="P36" t="s">
        <v>58</v>
      </c>
      <c r="Q36" t="s">
        <v>59</v>
      </c>
      <c r="R36">
        <v>99999</v>
      </c>
      <c r="S36" t="s">
        <v>30</v>
      </c>
      <c r="T36" t="s">
        <v>35</v>
      </c>
      <c r="U36" t="s">
        <v>171</v>
      </c>
      <c r="V36" t="s">
        <v>163</v>
      </c>
      <c r="Y36" s="4">
        <v>10</v>
      </c>
      <c r="Z36" s="3">
        <v>46</v>
      </c>
    </row>
    <row r="37" spans="1:26" x14ac:dyDescent="0.25">
      <c r="A37">
        <v>1036</v>
      </c>
      <c r="B37" s="2">
        <v>41680</v>
      </c>
      <c r="C37">
        <v>10</v>
      </c>
      <c r="D37" t="s">
        <v>97</v>
      </c>
      <c r="E37" t="s">
        <v>98</v>
      </c>
      <c r="F37" t="s">
        <v>99</v>
      </c>
      <c r="G37" t="s">
        <v>100</v>
      </c>
      <c r="H37">
        <v>99999</v>
      </c>
      <c r="I37" t="s">
        <v>30</v>
      </c>
      <c r="J37" t="s">
        <v>101</v>
      </c>
      <c r="K37" t="s">
        <v>45</v>
      </c>
      <c r="L37" s="2">
        <v>41682</v>
      </c>
      <c r="M37" t="s">
        <v>33</v>
      </c>
      <c r="N37" t="s">
        <v>102</v>
      </c>
      <c r="O37" t="s">
        <v>98</v>
      </c>
      <c r="P37" t="s">
        <v>99</v>
      </c>
      <c r="Q37" t="s">
        <v>100</v>
      </c>
      <c r="R37">
        <v>99999</v>
      </c>
      <c r="S37" t="s">
        <v>30</v>
      </c>
      <c r="T37" t="s">
        <v>48</v>
      </c>
      <c r="U37" t="s">
        <v>136</v>
      </c>
      <c r="V37" t="s">
        <v>39</v>
      </c>
      <c r="W37">
        <v>10</v>
      </c>
      <c r="X37">
        <v>47</v>
      </c>
      <c r="Y37" s="4">
        <v>470</v>
      </c>
      <c r="Z37" s="3">
        <v>48.88</v>
      </c>
    </row>
    <row r="38" spans="1:26" x14ac:dyDescent="0.25">
      <c r="A38">
        <v>1038</v>
      </c>
      <c r="B38" s="2">
        <v>41680</v>
      </c>
      <c r="C38">
        <v>10</v>
      </c>
      <c r="D38" t="s">
        <v>97</v>
      </c>
      <c r="E38" t="s">
        <v>98</v>
      </c>
      <c r="F38" t="s">
        <v>99</v>
      </c>
      <c r="G38" t="s">
        <v>100</v>
      </c>
      <c r="H38">
        <v>99999</v>
      </c>
      <c r="I38" t="s">
        <v>30</v>
      </c>
      <c r="J38" t="s">
        <v>101</v>
      </c>
      <c r="K38" t="s">
        <v>45</v>
      </c>
      <c r="M38" t="s">
        <v>46</v>
      </c>
      <c r="N38" t="s">
        <v>102</v>
      </c>
      <c r="O38" t="s">
        <v>98</v>
      </c>
      <c r="P38" t="s">
        <v>99</v>
      </c>
      <c r="Q38" t="s">
        <v>100</v>
      </c>
      <c r="R38">
        <v>99999</v>
      </c>
      <c r="S38" t="s">
        <v>30</v>
      </c>
      <c r="U38" t="s">
        <v>38</v>
      </c>
      <c r="V38" t="s">
        <v>39</v>
      </c>
      <c r="W38">
        <v>3.5</v>
      </c>
      <c r="X38">
        <v>49</v>
      </c>
      <c r="Y38" s="4">
        <v>171.5</v>
      </c>
      <c r="Z38" s="3">
        <v>16.464000000000002</v>
      </c>
    </row>
    <row r="39" spans="1:26" x14ac:dyDescent="0.25">
      <c r="A39">
        <v>1039</v>
      </c>
      <c r="B39" s="2">
        <v>41681</v>
      </c>
      <c r="C39">
        <v>11</v>
      </c>
      <c r="D39" t="s">
        <v>113</v>
      </c>
      <c r="E39" t="s">
        <v>114</v>
      </c>
      <c r="F39" t="s">
        <v>115</v>
      </c>
      <c r="G39" t="s">
        <v>116</v>
      </c>
      <c r="H39">
        <v>99999</v>
      </c>
      <c r="I39" t="s">
        <v>30</v>
      </c>
      <c r="J39" t="s">
        <v>94</v>
      </c>
      <c r="K39" t="s">
        <v>95</v>
      </c>
      <c r="M39" t="s">
        <v>62</v>
      </c>
      <c r="N39" t="s">
        <v>117</v>
      </c>
      <c r="O39" t="s">
        <v>114</v>
      </c>
      <c r="P39" t="s">
        <v>115</v>
      </c>
      <c r="Q39" t="s">
        <v>116</v>
      </c>
      <c r="R39">
        <v>99999</v>
      </c>
      <c r="S39" t="s">
        <v>30</v>
      </c>
      <c r="U39" t="s">
        <v>88</v>
      </c>
      <c r="V39" t="s">
        <v>89</v>
      </c>
      <c r="W39">
        <v>40</v>
      </c>
      <c r="X39">
        <v>72</v>
      </c>
      <c r="Y39" s="4">
        <v>2880</v>
      </c>
      <c r="Z39" s="3">
        <v>285.12</v>
      </c>
    </row>
    <row r="40" spans="1:26" x14ac:dyDescent="0.25">
      <c r="A40">
        <v>1040</v>
      </c>
      <c r="B40" s="2">
        <v>41671</v>
      </c>
      <c r="C40">
        <v>1</v>
      </c>
      <c r="D40" t="s">
        <v>118</v>
      </c>
      <c r="E40" t="s">
        <v>119</v>
      </c>
      <c r="F40" t="s">
        <v>120</v>
      </c>
      <c r="G40" t="s">
        <v>121</v>
      </c>
      <c r="H40">
        <v>99999</v>
      </c>
      <c r="I40" t="s">
        <v>30</v>
      </c>
      <c r="J40" t="s">
        <v>60</v>
      </c>
      <c r="K40" t="s">
        <v>61</v>
      </c>
      <c r="M40" t="s">
        <v>62</v>
      </c>
      <c r="N40" t="s">
        <v>122</v>
      </c>
      <c r="O40" t="s">
        <v>119</v>
      </c>
      <c r="P40" t="s">
        <v>120</v>
      </c>
      <c r="Q40" t="s">
        <v>121</v>
      </c>
      <c r="R40">
        <v>99999</v>
      </c>
      <c r="S40" t="s">
        <v>30</v>
      </c>
      <c r="U40" t="s">
        <v>123</v>
      </c>
      <c r="V40" t="s">
        <v>124</v>
      </c>
      <c r="W40">
        <v>18.399999999999999</v>
      </c>
      <c r="X40">
        <v>13</v>
      </c>
      <c r="Y40" s="4">
        <v>239.2</v>
      </c>
      <c r="Z40" s="3">
        <v>23.680800000000001</v>
      </c>
    </row>
    <row r="41" spans="1:26" x14ac:dyDescent="0.25">
      <c r="A41">
        <v>1041</v>
      </c>
      <c r="B41" s="2">
        <v>41698</v>
      </c>
      <c r="C41">
        <v>28</v>
      </c>
      <c r="D41" t="s">
        <v>90</v>
      </c>
      <c r="E41" t="s">
        <v>91</v>
      </c>
      <c r="F41" t="s">
        <v>92</v>
      </c>
      <c r="G41" t="s">
        <v>93</v>
      </c>
      <c r="H41">
        <v>99999</v>
      </c>
      <c r="I41" t="s">
        <v>30</v>
      </c>
      <c r="J41" t="s">
        <v>94</v>
      </c>
      <c r="K41" t="s">
        <v>95</v>
      </c>
      <c r="L41">
        <v>41700</v>
      </c>
      <c r="M41" t="s">
        <v>62</v>
      </c>
      <c r="N41" t="s">
        <v>96</v>
      </c>
      <c r="O41" t="s">
        <v>91</v>
      </c>
      <c r="P41" t="s">
        <v>92</v>
      </c>
      <c r="Q41" t="s">
        <v>93</v>
      </c>
      <c r="R41">
        <v>99999</v>
      </c>
      <c r="S41" t="s">
        <v>30</v>
      </c>
      <c r="T41" t="s">
        <v>48</v>
      </c>
      <c r="U41" t="s">
        <v>55</v>
      </c>
      <c r="V41" t="s">
        <v>37</v>
      </c>
      <c r="W41">
        <v>46</v>
      </c>
      <c r="X41">
        <v>32</v>
      </c>
      <c r="Y41" s="4">
        <v>1472</v>
      </c>
      <c r="Z41" s="3">
        <v>148.67200000000003</v>
      </c>
    </row>
    <row r="42" spans="1:26" x14ac:dyDescent="0.25">
      <c r="A42">
        <v>1042</v>
      </c>
      <c r="B42" s="2">
        <v>41679</v>
      </c>
      <c r="C42">
        <v>9</v>
      </c>
      <c r="D42" t="s">
        <v>125</v>
      </c>
      <c r="E42" t="s">
        <v>126</v>
      </c>
      <c r="F42" t="s">
        <v>127</v>
      </c>
      <c r="G42" t="s">
        <v>128</v>
      </c>
      <c r="H42">
        <v>99999</v>
      </c>
      <c r="I42" t="s">
        <v>30</v>
      </c>
      <c r="J42" t="s">
        <v>129</v>
      </c>
      <c r="K42" t="s">
        <v>32</v>
      </c>
      <c r="L42" s="2">
        <v>41681</v>
      </c>
      <c r="M42" t="s">
        <v>46</v>
      </c>
      <c r="N42" t="s">
        <v>130</v>
      </c>
      <c r="O42" t="s">
        <v>126</v>
      </c>
      <c r="P42" t="s">
        <v>127</v>
      </c>
      <c r="Q42" t="s">
        <v>128</v>
      </c>
      <c r="R42">
        <v>99999</v>
      </c>
      <c r="S42" t="s">
        <v>30</v>
      </c>
      <c r="T42" t="s">
        <v>35</v>
      </c>
      <c r="U42" t="s">
        <v>80</v>
      </c>
      <c r="V42" t="s">
        <v>81</v>
      </c>
      <c r="W42">
        <v>9.65</v>
      </c>
      <c r="X42">
        <v>27</v>
      </c>
      <c r="Y42" s="4">
        <v>260.55</v>
      </c>
      <c r="Z42" s="3">
        <v>24.752250000000004</v>
      </c>
    </row>
    <row r="43" spans="1:26" x14ac:dyDescent="0.25">
      <c r="A43">
        <v>1043</v>
      </c>
      <c r="B43" s="2">
        <v>41676</v>
      </c>
      <c r="C43">
        <v>6</v>
      </c>
      <c r="D43" t="s">
        <v>82</v>
      </c>
      <c r="E43" t="s">
        <v>83</v>
      </c>
      <c r="F43" t="s">
        <v>84</v>
      </c>
      <c r="G43" t="s">
        <v>85</v>
      </c>
      <c r="H43">
        <v>99999</v>
      </c>
      <c r="I43" t="s">
        <v>30</v>
      </c>
      <c r="J43" t="s">
        <v>86</v>
      </c>
      <c r="K43" t="s">
        <v>61</v>
      </c>
      <c r="L43" s="2">
        <v>41678</v>
      </c>
      <c r="M43" t="s">
        <v>33</v>
      </c>
      <c r="N43" t="s">
        <v>87</v>
      </c>
      <c r="O43" t="s">
        <v>83</v>
      </c>
      <c r="P43" t="s">
        <v>84</v>
      </c>
      <c r="Q43" t="s">
        <v>85</v>
      </c>
      <c r="R43">
        <v>99999</v>
      </c>
      <c r="S43" t="s">
        <v>30</v>
      </c>
      <c r="T43" t="s">
        <v>48</v>
      </c>
      <c r="U43" t="s">
        <v>72</v>
      </c>
      <c r="V43" t="s">
        <v>73</v>
      </c>
      <c r="W43">
        <v>12.75</v>
      </c>
      <c r="X43">
        <v>71</v>
      </c>
      <c r="Y43" s="4">
        <v>905.25</v>
      </c>
      <c r="Z43" s="3">
        <v>91.430250000000001</v>
      </c>
    </row>
    <row r="44" spans="1:26" x14ac:dyDescent="0.25">
      <c r="A44">
        <v>1044</v>
      </c>
      <c r="B44" s="2">
        <v>41678</v>
      </c>
      <c r="C44">
        <v>8</v>
      </c>
      <c r="D44" t="s">
        <v>56</v>
      </c>
      <c r="E44" t="s">
        <v>57</v>
      </c>
      <c r="F44" t="s">
        <v>58</v>
      </c>
      <c r="G44" t="s">
        <v>59</v>
      </c>
      <c r="H44">
        <v>99999</v>
      </c>
      <c r="I44" t="s">
        <v>30</v>
      </c>
      <c r="J44" t="s">
        <v>60</v>
      </c>
      <c r="K44" t="s">
        <v>61</v>
      </c>
      <c r="L44" s="2">
        <v>41680</v>
      </c>
      <c r="M44" t="s">
        <v>33</v>
      </c>
      <c r="N44" t="s">
        <v>63</v>
      </c>
      <c r="O44" t="s">
        <v>57</v>
      </c>
      <c r="P44" t="s">
        <v>58</v>
      </c>
      <c r="Q44" t="s">
        <v>59</v>
      </c>
      <c r="R44">
        <v>99999</v>
      </c>
      <c r="S44" t="s">
        <v>30</v>
      </c>
      <c r="T44" t="s">
        <v>35</v>
      </c>
      <c r="U44" t="s">
        <v>72</v>
      </c>
      <c r="V44" t="s">
        <v>73</v>
      </c>
      <c r="W44">
        <v>12.75</v>
      </c>
      <c r="X44">
        <v>13</v>
      </c>
      <c r="Y44" s="4">
        <v>165.75</v>
      </c>
      <c r="Z44" s="3">
        <v>15.746249999999998</v>
      </c>
    </row>
    <row r="45" spans="1:26" x14ac:dyDescent="0.25">
      <c r="A45">
        <v>1045</v>
      </c>
      <c r="B45" s="2">
        <v>41695</v>
      </c>
      <c r="C45">
        <v>25</v>
      </c>
      <c r="D45" t="s">
        <v>137</v>
      </c>
      <c r="E45" t="s">
        <v>138</v>
      </c>
      <c r="F45" t="s">
        <v>99</v>
      </c>
      <c r="G45" t="s">
        <v>100</v>
      </c>
      <c r="H45">
        <v>99999</v>
      </c>
      <c r="I45" t="s">
        <v>30</v>
      </c>
      <c r="J45" t="s">
        <v>101</v>
      </c>
      <c r="K45" t="s">
        <v>45</v>
      </c>
      <c r="L45" s="2">
        <v>41697</v>
      </c>
      <c r="M45" t="s">
        <v>46</v>
      </c>
      <c r="N45" t="s">
        <v>139</v>
      </c>
      <c r="O45" t="s">
        <v>138</v>
      </c>
      <c r="P45" t="s">
        <v>99</v>
      </c>
      <c r="Q45" t="s">
        <v>100</v>
      </c>
      <c r="R45">
        <v>99999</v>
      </c>
      <c r="S45" t="s">
        <v>30</v>
      </c>
      <c r="T45" t="s">
        <v>79</v>
      </c>
      <c r="U45" t="s">
        <v>111</v>
      </c>
      <c r="V45" t="s">
        <v>112</v>
      </c>
      <c r="W45">
        <v>22</v>
      </c>
      <c r="X45">
        <v>98</v>
      </c>
      <c r="Y45" s="4">
        <v>2156</v>
      </c>
      <c r="Z45" s="3">
        <v>204.82000000000002</v>
      </c>
    </row>
    <row r="46" spans="1:26" x14ac:dyDescent="0.25">
      <c r="A46">
        <v>1046</v>
      </c>
      <c r="B46" s="2">
        <v>41696</v>
      </c>
      <c r="C46">
        <v>26</v>
      </c>
      <c r="D46" t="s">
        <v>140</v>
      </c>
      <c r="E46" t="s">
        <v>141</v>
      </c>
      <c r="F46" t="s">
        <v>115</v>
      </c>
      <c r="G46" t="s">
        <v>116</v>
      </c>
      <c r="H46">
        <v>99999</v>
      </c>
      <c r="I46" t="s">
        <v>30</v>
      </c>
      <c r="J46" t="s">
        <v>94</v>
      </c>
      <c r="K46" t="s">
        <v>95</v>
      </c>
      <c r="L46" s="2">
        <v>41698</v>
      </c>
      <c r="M46" t="s">
        <v>62</v>
      </c>
      <c r="N46" t="s">
        <v>142</v>
      </c>
      <c r="O46" t="s">
        <v>141</v>
      </c>
      <c r="P46" t="s">
        <v>115</v>
      </c>
      <c r="Q46" t="s">
        <v>116</v>
      </c>
      <c r="R46">
        <v>99999</v>
      </c>
      <c r="S46" t="s">
        <v>30</v>
      </c>
      <c r="T46" t="s">
        <v>48</v>
      </c>
      <c r="U46" t="s">
        <v>109</v>
      </c>
      <c r="V46" t="s">
        <v>110</v>
      </c>
      <c r="W46">
        <v>25</v>
      </c>
      <c r="X46">
        <v>21</v>
      </c>
      <c r="Y46" s="4">
        <v>525</v>
      </c>
      <c r="Z46" s="3">
        <v>53.550000000000004</v>
      </c>
    </row>
    <row r="47" spans="1:26" x14ac:dyDescent="0.25">
      <c r="A47">
        <v>1047</v>
      </c>
      <c r="B47" s="2">
        <v>41699</v>
      </c>
      <c r="C47">
        <v>29</v>
      </c>
      <c r="D47" t="s">
        <v>66</v>
      </c>
      <c r="E47" t="s">
        <v>67</v>
      </c>
      <c r="F47" t="s">
        <v>68</v>
      </c>
      <c r="G47" t="s">
        <v>69</v>
      </c>
      <c r="H47">
        <v>99999</v>
      </c>
      <c r="I47" t="s">
        <v>30</v>
      </c>
      <c r="J47" t="s">
        <v>70</v>
      </c>
      <c r="K47" t="s">
        <v>32</v>
      </c>
      <c r="L47" s="2">
        <v>41701</v>
      </c>
      <c r="M47" t="s">
        <v>33</v>
      </c>
      <c r="N47" t="s">
        <v>71</v>
      </c>
      <c r="O47" t="s">
        <v>67</v>
      </c>
      <c r="P47" t="s">
        <v>68</v>
      </c>
      <c r="Q47" t="s">
        <v>69</v>
      </c>
      <c r="R47">
        <v>99999</v>
      </c>
      <c r="S47" t="s">
        <v>30</v>
      </c>
      <c r="T47" t="s">
        <v>35</v>
      </c>
      <c r="U47" t="s">
        <v>143</v>
      </c>
      <c r="V47" t="s">
        <v>144</v>
      </c>
      <c r="W47">
        <v>39</v>
      </c>
      <c r="X47">
        <v>26</v>
      </c>
      <c r="Y47" s="4">
        <v>1014</v>
      </c>
      <c r="Z47" s="3">
        <v>106.47000000000001</v>
      </c>
    </row>
    <row r="48" spans="1:26" x14ac:dyDescent="0.25">
      <c r="A48">
        <v>1048</v>
      </c>
      <c r="B48" s="2">
        <v>41676</v>
      </c>
      <c r="C48">
        <v>6</v>
      </c>
      <c r="D48" t="s">
        <v>82</v>
      </c>
      <c r="E48" t="s">
        <v>83</v>
      </c>
      <c r="F48" t="s">
        <v>84</v>
      </c>
      <c r="G48" t="s">
        <v>85</v>
      </c>
      <c r="H48">
        <v>99999</v>
      </c>
      <c r="I48" t="s">
        <v>30</v>
      </c>
      <c r="J48" t="s">
        <v>86</v>
      </c>
      <c r="K48" t="s">
        <v>61</v>
      </c>
      <c r="L48" s="2">
        <v>41678</v>
      </c>
      <c r="M48" t="s">
        <v>62</v>
      </c>
      <c r="N48" t="s">
        <v>87</v>
      </c>
      <c r="O48" t="s">
        <v>83</v>
      </c>
      <c r="P48" t="s">
        <v>84</v>
      </c>
      <c r="Q48" t="s">
        <v>85</v>
      </c>
      <c r="R48">
        <v>99999</v>
      </c>
      <c r="S48" t="s">
        <v>30</v>
      </c>
      <c r="T48" t="s">
        <v>35</v>
      </c>
      <c r="U48" t="s">
        <v>49</v>
      </c>
      <c r="V48" t="s">
        <v>39</v>
      </c>
      <c r="W48">
        <v>30</v>
      </c>
      <c r="X48">
        <v>96</v>
      </c>
      <c r="Y48" s="4">
        <v>2880</v>
      </c>
      <c r="Z48" s="3">
        <v>296.64</v>
      </c>
    </row>
    <row r="49" spans="1:26" x14ac:dyDescent="0.25">
      <c r="A49">
        <v>1049</v>
      </c>
      <c r="B49" s="2">
        <v>41676</v>
      </c>
      <c r="C49">
        <v>6</v>
      </c>
      <c r="D49" t="s">
        <v>82</v>
      </c>
      <c r="E49" t="s">
        <v>83</v>
      </c>
      <c r="F49" t="s">
        <v>84</v>
      </c>
      <c r="G49" t="s">
        <v>85</v>
      </c>
      <c r="H49">
        <v>99999</v>
      </c>
      <c r="I49" t="s">
        <v>30</v>
      </c>
      <c r="J49" t="s">
        <v>86</v>
      </c>
      <c r="K49" t="s">
        <v>61</v>
      </c>
      <c r="L49" s="2">
        <v>41678</v>
      </c>
      <c r="M49" t="s">
        <v>62</v>
      </c>
      <c r="N49" t="s">
        <v>87</v>
      </c>
      <c r="O49" t="s">
        <v>83</v>
      </c>
      <c r="P49" t="s">
        <v>84</v>
      </c>
      <c r="Q49" t="s">
        <v>85</v>
      </c>
      <c r="R49">
        <v>99999</v>
      </c>
      <c r="S49" t="s">
        <v>30</v>
      </c>
      <c r="T49" t="s">
        <v>35</v>
      </c>
      <c r="U49" t="s">
        <v>50</v>
      </c>
      <c r="V49" t="s">
        <v>39</v>
      </c>
      <c r="W49">
        <v>53</v>
      </c>
      <c r="X49">
        <v>16</v>
      </c>
      <c r="Y49" s="4">
        <v>848</v>
      </c>
      <c r="Z49" s="3">
        <v>88.192000000000021</v>
      </c>
    </row>
    <row r="50" spans="1:26" x14ac:dyDescent="0.25">
      <c r="A50">
        <v>1050</v>
      </c>
      <c r="B50" s="2">
        <v>41674</v>
      </c>
      <c r="C50">
        <v>4</v>
      </c>
      <c r="D50" t="s">
        <v>40</v>
      </c>
      <c r="E50" t="s">
        <v>41</v>
      </c>
      <c r="F50" t="s">
        <v>42</v>
      </c>
      <c r="G50" t="s">
        <v>43</v>
      </c>
      <c r="H50">
        <v>99999</v>
      </c>
      <c r="I50" t="s">
        <v>30</v>
      </c>
      <c r="J50" t="s">
        <v>44</v>
      </c>
      <c r="K50" t="s">
        <v>45</v>
      </c>
      <c r="L50" s="2"/>
      <c r="N50" t="s">
        <v>47</v>
      </c>
      <c r="O50" t="s">
        <v>41</v>
      </c>
      <c r="P50" t="s">
        <v>42</v>
      </c>
      <c r="Q50" t="s">
        <v>43</v>
      </c>
      <c r="R50">
        <v>99999</v>
      </c>
      <c r="S50" t="s">
        <v>30</v>
      </c>
      <c r="U50" t="s">
        <v>145</v>
      </c>
      <c r="V50" t="s">
        <v>132</v>
      </c>
      <c r="W50">
        <v>38</v>
      </c>
      <c r="X50">
        <v>96</v>
      </c>
      <c r="Y50" s="4">
        <v>3648</v>
      </c>
      <c r="Z50" s="3">
        <v>346.56</v>
      </c>
    </row>
    <row r="51" spans="1:26" x14ac:dyDescent="0.25">
      <c r="A51">
        <v>1051</v>
      </c>
      <c r="B51" s="2">
        <v>41673</v>
      </c>
      <c r="C51">
        <v>3</v>
      </c>
      <c r="D51" t="s">
        <v>74</v>
      </c>
      <c r="E51" t="s">
        <v>75</v>
      </c>
      <c r="F51" t="s">
        <v>76</v>
      </c>
      <c r="G51" t="s">
        <v>77</v>
      </c>
      <c r="H51">
        <v>99999</v>
      </c>
      <c r="I51" t="s">
        <v>30</v>
      </c>
      <c r="J51" t="s">
        <v>31</v>
      </c>
      <c r="K51" t="s">
        <v>32</v>
      </c>
      <c r="N51" t="s">
        <v>78</v>
      </c>
      <c r="O51" t="s">
        <v>75</v>
      </c>
      <c r="P51" t="s">
        <v>76</v>
      </c>
      <c r="Q51" t="s">
        <v>77</v>
      </c>
      <c r="R51">
        <v>99999</v>
      </c>
      <c r="S51" t="s">
        <v>30</v>
      </c>
      <c r="U51" t="s">
        <v>103</v>
      </c>
      <c r="V51" t="s">
        <v>37</v>
      </c>
      <c r="W51">
        <v>2.99</v>
      </c>
      <c r="X51">
        <v>75</v>
      </c>
      <c r="Y51" s="4">
        <v>224.25000000000003</v>
      </c>
      <c r="Z51" s="3">
        <v>23.097750000000005</v>
      </c>
    </row>
    <row r="52" spans="1:26" x14ac:dyDescent="0.25">
      <c r="A52">
        <v>1052</v>
      </c>
      <c r="B52" s="2">
        <v>41707</v>
      </c>
      <c r="C52">
        <v>9</v>
      </c>
      <c r="D52" t="s">
        <v>125</v>
      </c>
      <c r="E52" t="s">
        <v>126</v>
      </c>
      <c r="F52" t="s">
        <v>127</v>
      </c>
      <c r="G52" t="s">
        <v>128</v>
      </c>
      <c r="H52">
        <v>99999</v>
      </c>
      <c r="I52" t="s">
        <v>30</v>
      </c>
      <c r="J52" t="s">
        <v>129</v>
      </c>
      <c r="K52" t="s">
        <v>32</v>
      </c>
      <c r="L52">
        <v>41709</v>
      </c>
      <c r="M52" t="s">
        <v>46</v>
      </c>
      <c r="N52" t="s">
        <v>130</v>
      </c>
      <c r="O52" t="s">
        <v>126</v>
      </c>
      <c r="P52" t="s">
        <v>127</v>
      </c>
      <c r="Q52" t="s">
        <v>128</v>
      </c>
      <c r="R52">
        <v>99999</v>
      </c>
      <c r="S52" t="s">
        <v>30</v>
      </c>
      <c r="T52" t="s">
        <v>35</v>
      </c>
      <c r="U52" t="s">
        <v>131</v>
      </c>
      <c r="V52" t="s">
        <v>132</v>
      </c>
      <c r="W52">
        <v>19.5</v>
      </c>
      <c r="X52">
        <v>55</v>
      </c>
      <c r="Y52" s="4">
        <v>1072.5</v>
      </c>
      <c r="Z52" s="3">
        <v>108.32250000000001</v>
      </c>
    </row>
    <row r="53" spans="1:26" x14ac:dyDescent="0.25">
      <c r="A53">
        <v>1053</v>
      </c>
      <c r="B53" s="2">
        <v>41707</v>
      </c>
      <c r="C53">
        <v>9</v>
      </c>
      <c r="D53" t="s">
        <v>125</v>
      </c>
      <c r="E53" t="s">
        <v>126</v>
      </c>
      <c r="F53" t="s">
        <v>127</v>
      </c>
      <c r="G53" t="s">
        <v>128</v>
      </c>
      <c r="H53">
        <v>99999</v>
      </c>
      <c r="I53" t="s">
        <v>30</v>
      </c>
      <c r="J53" t="s">
        <v>129</v>
      </c>
      <c r="K53" t="s">
        <v>32</v>
      </c>
      <c r="L53" s="2">
        <v>41709</v>
      </c>
      <c r="M53" t="s">
        <v>46</v>
      </c>
      <c r="N53" t="s">
        <v>130</v>
      </c>
      <c r="O53" t="s">
        <v>126</v>
      </c>
      <c r="P53" t="s">
        <v>127</v>
      </c>
      <c r="Q53" t="s">
        <v>128</v>
      </c>
      <c r="R53">
        <v>99999</v>
      </c>
      <c r="S53" t="s">
        <v>30</v>
      </c>
      <c r="T53" t="s">
        <v>35</v>
      </c>
      <c r="U53" t="s">
        <v>133</v>
      </c>
      <c r="V53" t="s">
        <v>134</v>
      </c>
      <c r="W53" s="3">
        <v>34.799999999999997</v>
      </c>
      <c r="X53">
        <v>11</v>
      </c>
      <c r="Y53" s="4">
        <v>382.79999999999995</v>
      </c>
      <c r="Z53" s="3">
        <v>36.748799999999996</v>
      </c>
    </row>
    <row r="54" spans="1:26" x14ac:dyDescent="0.25">
      <c r="A54">
        <v>1054</v>
      </c>
      <c r="B54" s="2">
        <v>41704</v>
      </c>
      <c r="C54">
        <v>6</v>
      </c>
      <c r="D54" t="s">
        <v>82</v>
      </c>
      <c r="E54" t="s">
        <v>83</v>
      </c>
      <c r="F54" t="s">
        <v>84</v>
      </c>
      <c r="G54" t="s">
        <v>85</v>
      </c>
      <c r="H54">
        <v>99999</v>
      </c>
      <c r="I54" t="s">
        <v>30</v>
      </c>
      <c r="J54" t="s">
        <v>86</v>
      </c>
      <c r="K54" t="s">
        <v>61</v>
      </c>
      <c r="L54" s="2">
        <v>41706</v>
      </c>
      <c r="M54" t="s">
        <v>33</v>
      </c>
      <c r="N54" t="s">
        <v>87</v>
      </c>
      <c r="O54" t="s">
        <v>83</v>
      </c>
      <c r="P54" t="s">
        <v>84</v>
      </c>
      <c r="Q54" t="s">
        <v>85</v>
      </c>
      <c r="R54">
        <v>99999</v>
      </c>
      <c r="S54" t="s">
        <v>30</v>
      </c>
      <c r="T54" t="s">
        <v>48</v>
      </c>
      <c r="U54" t="s">
        <v>36</v>
      </c>
      <c r="V54" t="s">
        <v>37</v>
      </c>
      <c r="W54" s="3">
        <v>14</v>
      </c>
      <c r="X54">
        <v>53</v>
      </c>
      <c r="Y54" s="4">
        <v>742</v>
      </c>
      <c r="Z54" s="3">
        <v>71.974000000000004</v>
      </c>
    </row>
    <row r="55" spans="1:26" x14ac:dyDescent="0.25">
      <c r="A55">
        <v>1055</v>
      </c>
      <c r="B55" s="2">
        <v>41706</v>
      </c>
      <c r="C55">
        <v>8</v>
      </c>
      <c r="D55" t="s">
        <v>56</v>
      </c>
      <c r="E55" t="s">
        <v>57</v>
      </c>
      <c r="F55" t="s">
        <v>58</v>
      </c>
      <c r="G55" t="s">
        <v>59</v>
      </c>
      <c r="H55">
        <v>99999</v>
      </c>
      <c r="I55" t="s">
        <v>30</v>
      </c>
      <c r="J55" t="s">
        <v>60</v>
      </c>
      <c r="K55" t="s">
        <v>61</v>
      </c>
      <c r="L55" s="2">
        <v>41708</v>
      </c>
      <c r="M55" t="s">
        <v>33</v>
      </c>
      <c r="N55" t="s">
        <v>63</v>
      </c>
      <c r="O55" t="s">
        <v>57</v>
      </c>
      <c r="P55" t="s">
        <v>58</v>
      </c>
      <c r="Q55" t="s">
        <v>59</v>
      </c>
      <c r="R55">
        <v>99999</v>
      </c>
      <c r="S55" t="s">
        <v>30</v>
      </c>
      <c r="T55" t="s">
        <v>35</v>
      </c>
      <c r="U55" t="s">
        <v>88</v>
      </c>
      <c r="V55" t="s">
        <v>89</v>
      </c>
      <c r="W55" s="3">
        <v>40</v>
      </c>
      <c r="X55">
        <v>85</v>
      </c>
      <c r="Y55" s="4">
        <v>3400</v>
      </c>
      <c r="Z55" s="3">
        <v>357</v>
      </c>
    </row>
    <row r="56" spans="1:26" x14ac:dyDescent="0.25">
      <c r="A56">
        <v>1056</v>
      </c>
      <c r="B56" s="2">
        <v>41706</v>
      </c>
      <c r="C56">
        <v>8</v>
      </c>
      <c r="D56" t="s">
        <v>56</v>
      </c>
      <c r="E56" t="s">
        <v>57</v>
      </c>
      <c r="F56" t="s">
        <v>58</v>
      </c>
      <c r="G56" t="s">
        <v>59</v>
      </c>
      <c r="H56">
        <v>99999</v>
      </c>
      <c r="I56" t="s">
        <v>30</v>
      </c>
      <c r="J56" t="s">
        <v>60</v>
      </c>
      <c r="K56" t="s">
        <v>61</v>
      </c>
      <c r="L56" s="2">
        <v>41708</v>
      </c>
      <c r="M56" t="s">
        <v>33</v>
      </c>
      <c r="N56" t="s">
        <v>63</v>
      </c>
      <c r="O56" t="s">
        <v>57</v>
      </c>
      <c r="P56" t="s">
        <v>58</v>
      </c>
      <c r="Q56" t="s">
        <v>59</v>
      </c>
      <c r="R56">
        <v>99999</v>
      </c>
      <c r="S56" t="s">
        <v>30</v>
      </c>
      <c r="T56" t="s">
        <v>35</v>
      </c>
      <c r="U56" t="s">
        <v>64</v>
      </c>
      <c r="V56" t="s">
        <v>65</v>
      </c>
      <c r="W56" s="3">
        <v>9.1999999999999993</v>
      </c>
      <c r="X56">
        <v>97</v>
      </c>
      <c r="Y56" s="4">
        <v>892.4</v>
      </c>
      <c r="Z56" s="3">
        <v>91.024800000000013</v>
      </c>
    </row>
    <row r="57" spans="1:26" x14ac:dyDescent="0.25">
      <c r="A57">
        <v>1057</v>
      </c>
      <c r="B57" s="2">
        <v>41723</v>
      </c>
      <c r="C57">
        <v>25</v>
      </c>
      <c r="D57" t="s">
        <v>137</v>
      </c>
      <c r="E57" t="s">
        <v>138</v>
      </c>
      <c r="F57" t="s">
        <v>99</v>
      </c>
      <c r="G57" t="s">
        <v>100</v>
      </c>
      <c r="H57">
        <v>99999</v>
      </c>
      <c r="I57" t="s">
        <v>30</v>
      </c>
      <c r="J57" t="s">
        <v>101</v>
      </c>
      <c r="K57" t="s">
        <v>45</v>
      </c>
      <c r="L57" s="2">
        <v>41725</v>
      </c>
      <c r="M57" t="s">
        <v>46</v>
      </c>
      <c r="N57" t="s">
        <v>139</v>
      </c>
      <c r="O57" t="s">
        <v>138</v>
      </c>
      <c r="P57" t="s">
        <v>99</v>
      </c>
      <c r="Q57" t="s">
        <v>100</v>
      </c>
      <c r="R57">
        <v>99999</v>
      </c>
      <c r="S57" t="s">
        <v>30</v>
      </c>
      <c r="T57" t="s">
        <v>79</v>
      </c>
      <c r="U57" t="s">
        <v>146</v>
      </c>
      <c r="V57" t="s">
        <v>65</v>
      </c>
      <c r="W57" s="3">
        <v>10</v>
      </c>
      <c r="X57">
        <v>46</v>
      </c>
      <c r="Y57" s="4">
        <v>460</v>
      </c>
      <c r="Z57" s="3">
        <v>46.46</v>
      </c>
    </row>
    <row r="58" spans="1:26" x14ac:dyDescent="0.25">
      <c r="A58">
        <v>1058</v>
      </c>
      <c r="B58" s="2">
        <v>41724</v>
      </c>
      <c r="C58">
        <v>26</v>
      </c>
      <c r="D58" t="s">
        <v>140</v>
      </c>
      <c r="E58" t="s">
        <v>141</v>
      </c>
      <c r="F58" t="s">
        <v>115</v>
      </c>
      <c r="G58" t="s">
        <v>116</v>
      </c>
      <c r="H58">
        <v>99999</v>
      </c>
      <c r="I58" t="s">
        <v>30</v>
      </c>
      <c r="J58" t="s">
        <v>94</v>
      </c>
      <c r="K58" t="s">
        <v>95</v>
      </c>
      <c r="L58" s="2">
        <v>41726</v>
      </c>
      <c r="M58" t="s">
        <v>62</v>
      </c>
      <c r="N58" t="s">
        <v>142</v>
      </c>
      <c r="O58" t="s">
        <v>141</v>
      </c>
      <c r="P58" t="s">
        <v>115</v>
      </c>
      <c r="Q58" t="s">
        <v>116</v>
      </c>
      <c r="R58">
        <v>99999</v>
      </c>
      <c r="S58" t="s">
        <v>30</v>
      </c>
      <c r="T58" t="s">
        <v>48</v>
      </c>
      <c r="U58" t="s">
        <v>147</v>
      </c>
      <c r="V58" t="s">
        <v>148</v>
      </c>
      <c r="W58" s="3">
        <v>21.35</v>
      </c>
      <c r="X58">
        <v>97</v>
      </c>
      <c r="Y58" s="4">
        <v>2070.9500000000003</v>
      </c>
      <c r="Z58" s="3">
        <v>196.74025</v>
      </c>
    </row>
    <row r="59" spans="1:26" x14ac:dyDescent="0.25">
      <c r="A59">
        <v>1059</v>
      </c>
      <c r="B59" s="2">
        <v>41724</v>
      </c>
      <c r="C59">
        <v>26</v>
      </c>
      <c r="D59" t="s">
        <v>140</v>
      </c>
      <c r="E59" t="s">
        <v>141</v>
      </c>
      <c r="F59" t="s">
        <v>115</v>
      </c>
      <c r="G59" t="s">
        <v>116</v>
      </c>
      <c r="H59">
        <v>99999</v>
      </c>
      <c r="I59" t="s">
        <v>30</v>
      </c>
      <c r="J59" t="s">
        <v>94</v>
      </c>
      <c r="K59" t="s">
        <v>95</v>
      </c>
      <c r="L59" s="2">
        <v>41726</v>
      </c>
      <c r="M59" t="s">
        <v>62</v>
      </c>
      <c r="N59" t="s">
        <v>142</v>
      </c>
      <c r="O59" t="s">
        <v>141</v>
      </c>
      <c r="P59" t="s">
        <v>115</v>
      </c>
      <c r="Q59" t="s">
        <v>116</v>
      </c>
      <c r="R59">
        <v>99999</v>
      </c>
      <c r="S59" t="s">
        <v>30</v>
      </c>
      <c r="T59" t="s">
        <v>48</v>
      </c>
      <c r="U59" t="s">
        <v>80</v>
      </c>
      <c r="V59" t="s">
        <v>81</v>
      </c>
      <c r="W59" s="3">
        <v>9.65</v>
      </c>
      <c r="X59">
        <v>97</v>
      </c>
      <c r="Y59" s="4">
        <v>936.05000000000007</v>
      </c>
      <c r="Z59" s="3">
        <v>95.477100000000021</v>
      </c>
    </row>
    <row r="60" spans="1:26" x14ac:dyDescent="0.25">
      <c r="A60">
        <v>1060</v>
      </c>
      <c r="B60" s="2">
        <v>41724</v>
      </c>
      <c r="C60">
        <v>26</v>
      </c>
      <c r="D60" t="s">
        <v>140</v>
      </c>
      <c r="E60" t="s">
        <v>141</v>
      </c>
      <c r="F60" t="s">
        <v>115</v>
      </c>
      <c r="G60" t="s">
        <v>116</v>
      </c>
      <c r="H60">
        <v>99999</v>
      </c>
      <c r="I60" t="s">
        <v>30</v>
      </c>
      <c r="J60" t="s">
        <v>94</v>
      </c>
      <c r="K60" t="s">
        <v>95</v>
      </c>
      <c r="L60" s="2">
        <v>41726</v>
      </c>
      <c r="M60" t="s">
        <v>62</v>
      </c>
      <c r="N60" t="s">
        <v>142</v>
      </c>
      <c r="O60" t="s">
        <v>141</v>
      </c>
      <c r="P60" t="s">
        <v>115</v>
      </c>
      <c r="Q60" t="s">
        <v>116</v>
      </c>
      <c r="R60">
        <v>99999</v>
      </c>
      <c r="S60" t="s">
        <v>30</v>
      </c>
      <c r="T60" t="s">
        <v>48</v>
      </c>
      <c r="U60" t="s">
        <v>123</v>
      </c>
      <c r="V60" t="s">
        <v>124</v>
      </c>
      <c r="W60" s="3">
        <v>18.399999999999999</v>
      </c>
      <c r="X60">
        <v>65</v>
      </c>
      <c r="Y60" s="4">
        <v>1196</v>
      </c>
      <c r="Z60" s="3">
        <v>123.18800000000002</v>
      </c>
    </row>
    <row r="61" spans="1:26" x14ac:dyDescent="0.25">
      <c r="A61">
        <v>1061</v>
      </c>
      <c r="B61" s="2">
        <v>41727</v>
      </c>
      <c r="C61">
        <v>29</v>
      </c>
      <c r="D61" t="s">
        <v>66</v>
      </c>
      <c r="E61" t="s">
        <v>67</v>
      </c>
      <c r="F61" t="s">
        <v>68</v>
      </c>
      <c r="G61" t="s">
        <v>69</v>
      </c>
      <c r="H61">
        <v>99999</v>
      </c>
      <c r="I61" t="s">
        <v>30</v>
      </c>
      <c r="J61" t="s">
        <v>70</v>
      </c>
      <c r="K61" t="s">
        <v>32</v>
      </c>
      <c r="L61" s="2">
        <v>41729</v>
      </c>
      <c r="M61" t="s">
        <v>33</v>
      </c>
      <c r="N61" t="s">
        <v>71</v>
      </c>
      <c r="O61" t="s">
        <v>67</v>
      </c>
      <c r="P61" t="s">
        <v>68</v>
      </c>
      <c r="Q61" t="s">
        <v>69</v>
      </c>
      <c r="R61">
        <v>99999</v>
      </c>
      <c r="S61" t="s">
        <v>30</v>
      </c>
      <c r="T61" t="s">
        <v>35</v>
      </c>
      <c r="U61" t="s">
        <v>36</v>
      </c>
      <c r="V61" t="s">
        <v>37</v>
      </c>
      <c r="W61" s="3">
        <v>14</v>
      </c>
      <c r="X61">
        <v>72</v>
      </c>
      <c r="Y61" s="4">
        <v>1008</v>
      </c>
      <c r="Z61" s="3">
        <v>100.80000000000001</v>
      </c>
    </row>
    <row r="62" spans="1:26" x14ac:dyDescent="0.25">
      <c r="A62">
        <v>1062</v>
      </c>
      <c r="B62" s="2">
        <v>41704</v>
      </c>
      <c r="C62">
        <v>6</v>
      </c>
      <c r="D62" t="s">
        <v>82</v>
      </c>
      <c r="E62" t="s">
        <v>83</v>
      </c>
      <c r="F62" t="s">
        <v>84</v>
      </c>
      <c r="G62" t="s">
        <v>85</v>
      </c>
      <c r="H62">
        <v>99999</v>
      </c>
      <c r="I62" t="s">
        <v>30</v>
      </c>
      <c r="J62" t="s">
        <v>86</v>
      </c>
      <c r="K62" t="s">
        <v>61</v>
      </c>
      <c r="L62" s="2">
        <v>41706</v>
      </c>
      <c r="M62" t="s">
        <v>62</v>
      </c>
      <c r="N62" t="s">
        <v>87</v>
      </c>
      <c r="O62" t="s">
        <v>83</v>
      </c>
      <c r="P62" t="s">
        <v>84</v>
      </c>
      <c r="Q62" t="s">
        <v>85</v>
      </c>
      <c r="R62">
        <v>99999</v>
      </c>
      <c r="S62" t="s">
        <v>30</v>
      </c>
      <c r="T62" t="s">
        <v>35</v>
      </c>
      <c r="U62" t="s">
        <v>72</v>
      </c>
      <c r="V62" t="s">
        <v>73</v>
      </c>
      <c r="W62" s="3">
        <v>12.75</v>
      </c>
      <c r="X62">
        <v>16</v>
      </c>
      <c r="Y62" s="4">
        <v>204</v>
      </c>
      <c r="Z62" s="3">
        <v>20.196000000000002</v>
      </c>
    </row>
    <row r="63" spans="1:26" x14ac:dyDescent="0.25">
      <c r="A63">
        <v>1064</v>
      </c>
      <c r="B63" s="2">
        <v>41702</v>
      </c>
      <c r="C63">
        <v>4</v>
      </c>
      <c r="D63" t="s">
        <v>40</v>
      </c>
      <c r="E63" t="s">
        <v>41</v>
      </c>
      <c r="F63" t="s">
        <v>42</v>
      </c>
      <c r="G63" t="s">
        <v>43</v>
      </c>
      <c r="H63">
        <v>99999</v>
      </c>
      <c r="I63" t="s">
        <v>30</v>
      </c>
      <c r="J63" t="s">
        <v>44</v>
      </c>
      <c r="K63" t="s">
        <v>45</v>
      </c>
      <c r="L63" s="2">
        <v>41704</v>
      </c>
      <c r="M63" t="s">
        <v>46</v>
      </c>
      <c r="N63" t="s">
        <v>47</v>
      </c>
      <c r="O63" t="s">
        <v>41</v>
      </c>
      <c r="P63" t="s">
        <v>42</v>
      </c>
      <c r="Q63" t="s">
        <v>43</v>
      </c>
      <c r="R63">
        <v>99999</v>
      </c>
      <c r="S63" t="s">
        <v>30</v>
      </c>
      <c r="T63" t="s">
        <v>48</v>
      </c>
      <c r="U63" t="s">
        <v>149</v>
      </c>
      <c r="V63" t="s">
        <v>110</v>
      </c>
      <c r="W63" s="3">
        <v>81</v>
      </c>
      <c r="X63">
        <v>77</v>
      </c>
      <c r="Y63" s="4">
        <v>6237</v>
      </c>
      <c r="Z63" s="3">
        <v>642.41100000000006</v>
      </c>
    </row>
    <row r="64" spans="1:26" x14ac:dyDescent="0.25">
      <c r="A64">
        <v>1065</v>
      </c>
      <c r="B64" s="2">
        <v>41702</v>
      </c>
      <c r="C64">
        <v>4</v>
      </c>
      <c r="D64" t="s">
        <v>40</v>
      </c>
      <c r="E64" t="s">
        <v>41</v>
      </c>
      <c r="F64" t="s">
        <v>42</v>
      </c>
      <c r="G64" t="s">
        <v>43</v>
      </c>
      <c r="H64">
        <v>99999</v>
      </c>
      <c r="I64" t="s">
        <v>30</v>
      </c>
      <c r="J64" t="s">
        <v>44</v>
      </c>
      <c r="K64" t="s">
        <v>45</v>
      </c>
      <c r="L64" s="2">
        <v>41704</v>
      </c>
      <c r="M64" t="s">
        <v>46</v>
      </c>
      <c r="N64" t="s">
        <v>47</v>
      </c>
      <c r="O64" t="s">
        <v>41</v>
      </c>
      <c r="P64" t="s">
        <v>42</v>
      </c>
      <c r="Q64" t="s">
        <v>43</v>
      </c>
      <c r="R64">
        <v>99999</v>
      </c>
      <c r="S64" t="s">
        <v>30</v>
      </c>
      <c r="T64" t="s">
        <v>48</v>
      </c>
      <c r="U64" t="s">
        <v>150</v>
      </c>
      <c r="V64" t="s">
        <v>151</v>
      </c>
      <c r="W64">
        <v>7</v>
      </c>
      <c r="X64">
        <v>37</v>
      </c>
      <c r="Y64" s="4">
        <v>259</v>
      </c>
      <c r="Z64" s="3">
        <v>24.605</v>
      </c>
    </row>
    <row r="65" spans="1:26" x14ac:dyDescent="0.25">
      <c r="A65">
        <v>1067</v>
      </c>
      <c r="B65" s="2">
        <v>41706</v>
      </c>
      <c r="C65">
        <v>8</v>
      </c>
      <c r="D65" t="s">
        <v>56</v>
      </c>
      <c r="E65" t="s">
        <v>57</v>
      </c>
      <c r="F65" t="s">
        <v>58</v>
      </c>
      <c r="G65" t="s">
        <v>59</v>
      </c>
      <c r="H65">
        <v>99999</v>
      </c>
      <c r="I65" t="s">
        <v>30</v>
      </c>
      <c r="J65" t="s">
        <v>60</v>
      </c>
      <c r="K65" t="s">
        <v>61</v>
      </c>
      <c r="L65" s="2">
        <v>41708</v>
      </c>
      <c r="M65" t="s">
        <v>62</v>
      </c>
      <c r="N65" t="s">
        <v>63</v>
      </c>
      <c r="O65" t="s">
        <v>57</v>
      </c>
      <c r="P65" t="s">
        <v>58</v>
      </c>
      <c r="Q65" t="s">
        <v>59</v>
      </c>
      <c r="R65">
        <v>99999</v>
      </c>
      <c r="S65" t="s">
        <v>30</v>
      </c>
      <c r="T65" t="s">
        <v>48</v>
      </c>
      <c r="U65" t="s">
        <v>133</v>
      </c>
      <c r="V65" t="s">
        <v>134</v>
      </c>
      <c r="W65">
        <v>34.799999999999997</v>
      </c>
      <c r="X65">
        <v>63</v>
      </c>
      <c r="Y65" s="4">
        <v>2192.3999999999996</v>
      </c>
      <c r="Z65" s="3">
        <v>217.04759999999999</v>
      </c>
    </row>
    <row r="66" spans="1:26" x14ac:dyDescent="0.25">
      <c r="A66">
        <v>1070</v>
      </c>
      <c r="B66" s="2">
        <v>41701</v>
      </c>
      <c r="C66">
        <v>3</v>
      </c>
      <c r="D66" t="s">
        <v>74</v>
      </c>
      <c r="E66" t="s">
        <v>75</v>
      </c>
      <c r="F66" t="s">
        <v>76</v>
      </c>
      <c r="G66" t="s">
        <v>77</v>
      </c>
      <c r="H66">
        <v>99999</v>
      </c>
      <c r="I66" t="s">
        <v>30</v>
      </c>
      <c r="J66" t="s">
        <v>31</v>
      </c>
      <c r="K66" t="s">
        <v>32</v>
      </c>
      <c r="L66" s="2">
        <v>41703</v>
      </c>
      <c r="M66" t="s">
        <v>33</v>
      </c>
      <c r="N66" t="s">
        <v>78</v>
      </c>
      <c r="O66" t="s">
        <v>75</v>
      </c>
      <c r="P66" t="s">
        <v>76</v>
      </c>
      <c r="Q66" t="s">
        <v>77</v>
      </c>
      <c r="R66">
        <v>99999</v>
      </c>
      <c r="S66" t="s">
        <v>30</v>
      </c>
      <c r="T66" t="s">
        <v>79</v>
      </c>
      <c r="U66" t="s">
        <v>135</v>
      </c>
      <c r="V66" t="s">
        <v>112</v>
      </c>
      <c r="W66">
        <v>10</v>
      </c>
      <c r="X66">
        <v>48</v>
      </c>
      <c r="Y66" s="4">
        <v>480</v>
      </c>
      <c r="Z66" s="3">
        <v>48</v>
      </c>
    </row>
    <row r="67" spans="1:26" x14ac:dyDescent="0.25">
      <c r="A67">
        <v>1071</v>
      </c>
      <c r="B67" s="2">
        <v>41701</v>
      </c>
      <c r="C67">
        <v>3</v>
      </c>
      <c r="D67" t="s">
        <v>74</v>
      </c>
      <c r="E67" t="s">
        <v>75</v>
      </c>
      <c r="F67" t="s">
        <v>76</v>
      </c>
      <c r="G67" t="s">
        <v>77</v>
      </c>
      <c r="H67">
        <v>99999</v>
      </c>
      <c r="I67" t="s">
        <v>30</v>
      </c>
      <c r="J67" t="s">
        <v>31</v>
      </c>
      <c r="K67" t="s">
        <v>32</v>
      </c>
      <c r="L67" s="2">
        <v>41703</v>
      </c>
      <c r="M67" t="s">
        <v>33</v>
      </c>
      <c r="N67" t="s">
        <v>78</v>
      </c>
      <c r="O67" t="s">
        <v>75</v>
      </c>
      <c r="P67" t="s">
        <v>76</v>
      </c>
      <c r="Q67" t="s">
        <v>77</v>
      </c>
      <c r="R67">
        <v>99999</v>
      </c>
      <c r="S67" t="s">
        <v>30</v>
      </c>
      <c r="T67" t="s">
        <v>79</v>
      </c>
      <c r="U67" t="s">
        <v>88</v>
      </c>
      <c r="V67" t="s">
        <v>89</v>
      </c>
      <c r="W67">
        <v>40</v>
      </c>
      <c r="X67">
        <v>71</v>
      </c>
      <c r="Y67" s="4">
        <v>2840</v>
      </c>
      <c r="Z67" s="3">
        <v>295.36</v>
      </c>
    </row>
    <row r="68" spans="1:26" x14ac:dyDescent="0.25">
      <c r="A68">
        <v>1075</v>
      </c>
      <c r="B68" s="2">
        <v>41708</v>
      </c>
      <c r="C68">
        <v>10</v>
      </c>
      <c r="D68" t="s">
        <v>97</v>
      </c>
      <c r="E68" t="s">
        <v>98</v>
      </c>
      <c r="F68" t="s">
        <v>99</v>
      </c>
      <c r="G68" t="s">
        <v>100</v>
      </c>
      <c r="H68">
        <v>99999</v>
      </c>
      <c r="I68" t="s">
        <v>30</v>
      </c>
      <c r="J68" t="s">
        <v>101</v>
      </c>
      <c r="K68" t="s">
        <v>45</v>
      </c>
      <c r="L68" s="2">
        <v>41710</v>
      </c>
      <c r="M68" t="s">
        <v>33</v>
      </c>
      <c r="N68" t="s">
        <v>102</v>
      </c>
      <c r="O68" t="s">
        <v>98</v>
      </c>
      <c r="P68" t="s">
        <v>99</v>
      </c>
      <c r="Q68" t="s">
        <v>100</v>
      </c>
      <c r="R68">
        <v>99999</v>
      </c>
      <c r="S68" t="s">
        <v>30</v>
      </c>
      <c r="T68" t="s">
        <v>48</v>
      </c>
      <c r="U68" t="s">
        <v>136</v>
      </c>
      <c r="V68" t="s">
        <v>39</v>
      </c>
      <c r="W68">
        <v>10</v>
      </c>
      <c r="X68">
        <v>55</v>
      </c>
      <c r="Y68" s="4">
        <v>550</v>
      </c>
      <c r="Z68" s="3">
        <v>55</v>
      </c>
    </row>
    <row r="69" spans="1:26" x14ac:dyDescent="0.25">
      <c r="A69">
        <v>1077</v>
      </c>
      <c r="B69" s="2">
        <v>41708</v>
      </c>
      <c r="C69">
        <v>10</v>
      </c>
      <c r="D69" t="s">
        <v>97</v>
      </c>
      <c r="E69" t="s">
        <v>98</v>
      </c>
      <c r="F69" t="s">
        <v>99</v>
      </c>
      <c r="G69" t="s">
        <v>100</v>
      </c>
      <c r="H69">
        <v>99999</v>
      </c>
      <c r="I69" t="s">
        <v>30</v>
      </c>
      <c r="J69" t="s">
        <v>101</v>
      </c>
      <c r="K69" t="s">
        <v>45</v>
      </c>
      <c r="L69" s="2"/>
      <c r="M69" t="s">
        <v>46</v>
      </c>
      <c r="N69" t="s">
        <v>102</v>
      </c>
      <c r="O69" t="s">
        <v>98</v>
      </c>
      <c r="P69" t="s">
        <v>99</v>
      </c>
      <c r="Q69" t="s">
        <v>100</v>
      </c>
      <c r="R69">
        <v>99999</v>
      </c>
      <c r="S69" t="s">
        <v>30</v>
      </c>
      <c r="U69" t="s">
        <v>38</v>
      </c>
      <c r="V69" t="s">
        <v>39</v>
      </c>
      <c r="W69">
        <v>3.5</v>
      </c>
      <c r="X69">
        <v>21</v>
      </c>
      <c r="Y69" s="4">
        <v>73.5</v>
      </c>
      <c r="Z69" s="3">
        <v>7.3500000000000005</v>
      </c>
    </row>
    <row r="70" spans="1:26" x14ac:dyDescent="0.25">
      <c r="A70">
        <v>1078</v>
      </c>
      <c r="B70" s="2">
        <v>41709</v>
      </c>
      <c r="C70">
        <v>11</v>
      </c>
      <c r="D70" t="s">
        <v>113</v>
      </c>
      <c r="E70" t="s">
        <v>114</v>
      </c>
      <c r="F70" t="s">
        <v>115</v>
      </c>
      <c r="G70" t="s">
        <v>116</v>
      </c>
      <c r="H70">
        <v>99999</v>
      </c>
      <c r="I70" t="s">
        <v>30</v>
      </c>
      <c r="J70" t="s">
        <v>94</v>
      </c>
      <c r="K70" t="s">
        <v>95</v>
      </c>
      <c r="L70" s="2"/>
      <c r="M70" t="s">
        <v>62</v>
      </c>
      <c r="N70" t="s">
        <v>117</v>
      </c>
      <c r="O70" t="s">
        <v>114</v>
      </c>
      <c r="P70" t="s">
        <v>115</v>
      </c>
      <c r="Q70" t="s">
        <v>116</v>
      </c>
      <c r="R70">
        <v>99999</v>
      </c>
      <c r="S70" t="s">
        <v>30</v>
      </c>
      <c r="U70" t="s">
        <v>88</v>
      </c>
      <c r="V70" t="s">
        <v>89</v>
      </c>
      <c r="W70">
        <v>40</v>
      </c>
      <c r="X70">
        <v>67</v>
      </c>
      <c r="Y70" s="4">
        <v>2680</v>
      </c>
      <c r="Z70" s="3">
        <v>270.68</v>
      </c>
    </row>
    <row r="71" spans="1:26" x14ac:dyDescent="0.25">
      <c r="A71">
        <v>1079</v>
      </c>
      <c r="B71" s="2">
        <v>41699</v>
      </c>
      <c r="C71">
        <v>1</v>
      </c>
      <c r="D71" t="s">
        <v>118</v>
      </c>
      <c r="E71" t="s">
        <v>119</v>
      </c>
      <c r="F71" t="s">
        <v>120</v>
      </c>
      <c r="G71" t="s">
        <v>121</v>
      </c>
      <c r="H71">
        <v>99999</v>
      </c>
      <c r="I71" t="s">
        <v>30</v>
      </c>
      <c r="J71" t="s">
        <v>60</v>
      </c>
      <c r="K71" t="s">
        <v>61</v>
      </c>
      <c r="L71" s="2"/>
      <c r="M71" t="s">
        <v>62</v>
      </c>
      <c r="N71" t="s">
        <v>122</v>
      </c>
      <c r="O71" t="s">
        <v>119</v>
      </c>
      <c r="P71" t="s">
        <v>120</v>
      </c>
      <c r="Q71" t="s">
        <v>121</v>
      </c>
      <c r="R71">
        <v>99999</v>
      </c>
      <c r="S71" t="s">
        <v>30</v>
      </c>
      <c r="U71" t="s">
        <v>123</v>
      </c>
      <c r="V71" t="s">
        <v>124</v>
      </c>
      <c r="W71">
        <v>18.399999999999999</v>
      </c>
      <c r="X71">
        <v>75</v>
      </c>
      <c r="Y71" s="4">
        <v>1380</v>
      </c>
      <c r="Z71" s="3">
        <v>138</v>
      </c>
    </row>
    <row r="72" spans="1:26" x14ac:dyDescent="0.25">
      <c r="A72">
        <v>1080</v>
      </c>
      <c r="B72" s="2">
        <v>41726</v>
      </c>
      <c r="C72">
        <v>28</v>
      </c>
      <c r="D72" t="s">
        <v>90</v>
      </c>
      <c r="E72" t="s">
        <v>91</v>
      </c>
      <c r="F72" t="s">
        <v>92</v>
      </c>
      <c r="G72" t="s">
        <v>93</v>
      </c>
      <c r="H72">
        <v>99999</v>
      </c>
      <c r="I72" t="s">
        <v>30</v>
      </c>
      <c r="J72" t="s">
        <v>94</v>
      </c>
      <c r="K72" t="s">
        <v>95</v>
      </c>
      <c r="L72" s="2">
        <v>41728</v>
      </c>
      <c r="M72" t="s">
        <v>62</v>
      </c>
      <c r="N72" t="s">
        <v>96</v>
      </c>
      <c r="O72" t="s">
        <v>91</v>
      </c>
      <c r="P72" t="s">
        <v>92</v>
      </c>
      <c r="Q72" t="s">
        <v>93</v>
      </c>
      <c r="R72">
        <v>99999</v>
      </c>
      <c r="S72" t="s">
        <v>30</v>
      </c>
      <c r="T72" t="s">
        <v>48</v>
      </c>
      <c r="U72" t="s">
        <v>55</v>
      </c>
      <c r="V72" t="s">
        <v>37</v>
      </c>
      <c r="W72">
        <v>46</v>
      </c>
      <c r="X72">
        <v>17</v>
      </c>
      <c r="Y72" s="4">
        <v>782</v>
      </c>
      <c r="Z72" s="3">
        <v>80.546000000000006</v>
      </c>
    </row>
    <row r="73" spans="1:26" x14ac:dyDescent="0.25">
      <c r="A73">
        <v>1081</v>
      </c>
      <c r="B73" s="2">
        <v>41733</v>
      </c>
      <c r="C73">
        <v>4</v>
      </c>
      <c r="D73" t="s">
        <v>40</v>
      </c>
      <c r="E73" t="s">
        <v>41</v>
      </c>
      <c r="F73" t="s">
        <v>42</v>
      </c>
      <c r="G73" t="s">
        <v>43</v>
      </c>
      <c r="H73">
        <v>99999</v>
      </c>
      <c r="I73" t="s">
        <v>30</v>
      </c>
      <c r="J73" t="s">
        <v>44</v>
      </c>
      <c r="K73" t="s">
        <v>45</v>
      </c>
      <c r="L73" s="2">
        <v>41735</v>
      </c>
      <c r="M73" t="s">
        <v>46</v>
      </c>
      <c r="N73" t="s">
        <v>47</v>
      </c>
      <c r="O73" t="s">
        <v>41</v>
      </c>
      <c r="P73" t="s">
        <v>42</v>
      </c>
      <c r="Q73" t="s">
        <v>43</v>
      </c>
      <c r="R73">
        <v>99999</v>
      </c>
      <c r="S73" t="s">
        <v>30</v>
      </c>
      <c r="T73" t="s">
        <v>48</v>
      </c>
      <c r="U73" t="s">
        <v>38</v>
      </c>
      <c r="V73" t="s">
        <v>39</v>
      </c>
      <c r="W73">
        <v>3.5</v>
      </c>
      <c r="X73">
        <v>48</v>
      </c>
      <c r="Y73" s="4">
        <v>168</v>
      </c>
      <c r="Z73" s="3">
        <v>16.295999999999999</v>
      </c>
    </row>
    <row r="74" spans="1:26" x14ac:dyDescent="0.25">
      <c r="A74">
        <v>1082</v>
      </c>
      <c r="B74" s="2">
        <v>41741</v>
      </c>
      <c r="C74">
        <v>12</v>
      </c>
      <c r="D74" t="s">
        <v>51</v>
      </c>
      <c r="E74" t="s">
        <v>52</v>
      </c>
      <c r="F74" t="s">
        <v>28</v>
      </c>
      <c r="G74" t="s">
        <v>29</v>
      </c>
      <c r="H74">
        <v>99999</v>
      </c>
      <c r="I74" t="s">
        <v>30</v>
      </c>
      <c r="J74" t="s">
        <v>31</v>
      </c>
      <c r="K74" t="s">
        <v>32</v>
      </c>
      <c r="L74" s="2">
        <v>41743</v>
      </c>
      <c r="M74" t="s">
        <v>33</v>
      </c>
      <c r="N74" t="s">
        <v>53</v>
      </c>
      <c r="O74" t="s">
        <v>52</v>
      </c>
      <c r="P74" t="s">
        <v>28</v>
      </c>
      <c r="Q74" t="s">
        <v>29</v>
      </c>
      <c r="R74">
        <v>99999</v>
      </c>
      <c r="S74" t="s">
        <v>30</v>
      </c>
      <c r="T74" t="s">
        <v>48</v>
      </c>
      <c r="U74" t="s">
        <v>54</v>
      </c>
      <c r="V74" t="s">
        <v>37</v>
      </c>
      <c r="W74">
        <v>18</v>
      </c>
      <c r="X74">
        <v>74</v>
      </c>
      <c r="Y74" s="4">
        <v>1332</v>
      </c>
      <c r="Z74" s="3">
        <v>137.19600000000003</v>
      </c>
    </row>
    <row r="75" spans="1:26" x14ac:dyDescent="0.25">
      <c r="A75">
        <v>1083</v>
      </c>
      <c r="B75" s="2">
        <v>41741</v>
      </c>
      <c r="C75">
        <v>12</v>
      </c>
      <c r="D75" t="s">
        <v>51</v>
      </c>
      <c r="E75" t="s">
        <v>52</v>
      </c>
      <c r="F75" t="s">
        <v>28</v>
      </c>
      <c r="G75" t="s">
        <v>29</v>
      </c>
      <c r="H75">
        <v>99999</v>
      </c>
      <c r="I75" t="s">
        <v>30</v>
      </c>
      <c r="J75" t="s">
        <v>31</v>
      </c>
      <c r="K75" t="s">
        <v>32</v>
      </c>
      <c r="L75" s="2">
        <v>41743</v>
      </c>
      <c r="M75" t="s">
        <v>33</v>
      </c>
      <c r="N75" t="s">
        <v>53</v>
      </c>
      <c r="O75" t="s">
        <v>52</v>
      </c>
      <c r="P75" t="s">
        <v>28</v>
      </c>
      <c r="Q75" t="s">
        <v>29</v>
      </c>
      <c r="R75">
        <v>99999</v>
      </c>
      <c r="S75" t="s">
        <v>30</v>
      </c>
      <c r="T75" t="s">
        <v>48</v>
      </c>
      <c r="U75" t="s">
        <v>55</v>
      </c>
      <c r="V75" t="s">
        <v>37</v>
      </c>
      <c r="W75">
        <v>46</v>
      </c>
      <c r="X75">
        <v>96</v>
      </c>
      <c r="Y75" s="4">
        <v>4416</v>
      </c>
      <c r="Z75" s="3">
        <v>428.35200000000003</v>
      </c>
    </row>
    <row r="76" spans="1:26" x14ac:dyDescent="0.25">
      <c r="A76">
        <v>1084</v>
      </c>
      <c r="B76" s="2">
        <v>41737</v>
      </c>
      <c r="C76">
        <v>8</v>
      </c>
      <c r="D76" t="s">
        <v>56</v>
      </c>
      <c r="E76" t="s">
        <v>57</v>
      </c>
      <c r="F76" t="s">
        <v>58</v>
      </c>
      <c r="G76" t="s">
        <v>59</v>
      </c>
      <c r="H76">
        <v>99999</v>
      </c>
      <c r="I76" t="s">
        <v>30</v>
      </c>
      <c r="J76" t="s">
        <v>60</v>
      </c>
      <c r="K76" t="s">
        <v>61</v>
      </c>
      <c r="L76" s="2">
        <v>41739</v>
      </c>
      <c r="M76" t="s">
        <v>62</v>
      </c>
      <c r="N76" t="s">
        <v>63</v>
      </c>
      <c r="O76" t="s">
        <v>57</v>
      </c>
      <c r="P76" t="s">
        <v>58</v>
      </c>
      <c r="Q76" t="s">
        <v>59</v>
      </c>
      <c r="R76">
        <v>99999</v>
      </c>
      <c r="S76" t="s">
        <v>30</v>
      </c>
      <c r="T76" t="s">
        <v>48</v>
      </c>
      <c r="U76" t="s">
        <v>64</v>
      </c>
      <c r="V76" t="s">
        <v>65</v>
      </c>
      <c r="W76">
        <v>9.1999999999999993</v>
      </c>
      <c r="X76">
        <v>12</v>
      </c>
      <c r="Y76" s="4">
        <v>110.39999999999999</v>
      </c>
      <c r="Z76" s="3">
        <v>11.3712</v>
      </c>
    </row>
    <row r="77" spans="1:26" x14ac:dyDescent="0.25">
      <c r="A77">
        <v>1085</v>
      </c>
      <c r="B77" s="2">
        <v>41733</v>
      </c>
      <c r="C77">
        <v>4</v>
      </c>
      <c r="D77" t="s">
        <v>40</v>
      </c>
      <c r="E77" t="s">
        <v>41</v>
      </c>
      <c r="F77" t="s">
        <v>42</v>
      </c>
      <c r="G77" t="s">
        <v>43</v>
      </c>
      <c r="H77">
        <v>99999</v>
      </c>
      <c r="I77" t="s">
        <v>30</v>
      </c>
      <c r="J77" t="s">
        <v>44</v>
      </c>
      <c r="K77" t="s">
        <v>45</v>
      </c>
      <c r="L77">
        <v>41735</v>
      </c>
      <c r="M77" t="s">
        <v>62</v>
      </c>
      <c r="N77" t="s">
        <v>47</v>
      </c>
      <c r="O77" t="s">
        <v>41</v>
      </c>
      <c r="P77" t="s">
        <v>42</v>
      </c>
      <c r="Q77" t="s">
        <v>43</v>
      </c>
      <c r="R77">
        <v>99999</v>
      </c>
      <c r="S77" t="s">
        <v>30</v>
      </c>
      <c r="T77" t="s">
        <v>35</v>
      </c>
      <c r="U77" t="s">
        <v>64</v>
      </c>
      <c r="V77" t="s">
        <v>65</v>
      </c>
      <c r="W77">
        <v>9.1999999999999993</v>
      </c>
      <c r="X77">
        <v>62</v>
      </c>
      <c r="Y77" s="4">
        <v>570.4</v>
      </c>
      <c r="Z77" s="3">
        <v>58.751199999999997</v>
      </c>
    </row>
    <row r="78" spans="1:26" x14ac:dyDescent="0.25">
      <c r="A78">
        <v>1086</v>
      </c>
      <c r="B78" s="2">
        <v>41758</v>
      </c>
      <c r="C78">
        <v>29</v>
      </c>
      <c r="D78" t="s">
        <v>66</v>
      </c>
      <c r="E78" t="s">
        <v>67</v>
      </c>
      <c r="F78" t="s">
        <v>68</v>
      </c>
      <c r="G78" t="s">
        <v>69</v>
      </c>
      <c r="H78">
        <v>99999</v>
      </c>
      <c r="I78" t="s">
        <v>30</v>
      </c>
      <c r="J78" t="s">
        <v>70</v>
      </c>
      <c r="K78" t="s">
        <v>32</v>
      </c>
      <c r="L78">
        <v>41760</v>
      </c>
      <c r="M78" t="s">
        <v>33</v>
      </c>
      <c r="N78" t="s">
        <v>71</v>
      </c>
      <c r="O78" t="s">
        <v>67</v>
      </c>
      <c r="P78" t="s">
        <v>68</v>
      </c>
      <c r="Q78" t="s">
        <v>69</v>
      </c>
      <c r="R78">
        <v>99999</v>
      </c>
      <c r="S78" t="s">
        <v>30</v>
      </c>
      <c r="T78" t="s">
        <v>35</v>
      </c>
      <c r="U78" t="s">
        <v>72</v>
      </c>
      <c r="V78" t="s">
        <v>73</v>
      </c>
      <c r="W78">
        <v>12.75</v>
      </c>
      <c r="X78">
        <v>35</v>
      </c>
      <c r="Y78" s="4">
        <v>446.25</v>
      </c>
      <c r="Z78" s="3">
        <v>45.963750000000005</v>
      </c>
    </row>
    <row r="79" spans="1:26" x14ac:dyDescent="0.25">
      <c r="A79">
        <v>1087</v>
      </c>
      <c r="B79" s="2">
        <v>41732</v>
      </c>
      <c r="C79">
        <v>3</v>
      </c>
      <c r="D79" t="s">
        <v>74</v>
      </c>
      <c r="E79" t="s">
        <v>75</v>
      </c>
      <c r="F79" t="s">
        <v>76</v>
      </c>
      <c r="G79" t="s">
        <v>77</v>
      </c>
      <c r="H79">
        <v>99999</v>
      </c>
      <c r="I79" t="s">
        <v>30</v>
      </c>
      <c r="J79" t="s">
        <v>31</v>
      </c>
      <c r="K79" t="s">
        <v>32</v>
      </c>
      <c r="L79">
        <v>41734</v>
      </c>
      <c r="M79" t="s">
        <v>33</v>
      </c>
      <c r="N79" t="s">
        <v>78</v>
      </c>
      <c r="O79" t="s">
        <v>75</v>
      </c>
      <c r="P79" t="s">
        <v>76</v>
      </c>
      <c r="Q79" t="s">
        <v>77</v>
      </c>
      <c r="R79">
        <v>99999</v>
      </c>
      <c r="S79" t="s">
        <v>30</v>
      </c>
      <c r="T79" t="s">
        <v>79</v>
      </c>
      <c r="U79" t="s">
        <v>80</v>
      </c>
      <c r="V79" t="s">
        <v>81</v>
      </c>
      <c r="W79">
        <v>9.65</v>
      </c>
      <c r="X79">
        <v>95</v>
      </c>
      <c r="Y79" s="4">
        <v>916.75</v>
      </c>
      <c r="Z79" s="3">
        <v>91.675000000000011</v>
      </c>
    </row>
    <row r="80" spans="1:26" x14ac:dyDescent="0.25">
      <c r="A80">
        <v>1088</v>
      </c>
      <c r="B80" s="2">
        <v>41735</v>
      </c>
      <c r="C80">
        <v>6</v>
      </c>
      <c r="D80" t="s">
        <v>82</v>
      </c>
      <c r="E80" t="s">
        <v>83</v>
      </c>
      <c r="F80" t="s">
        <v>84</v>
      </c>
      <c r="G80" t="s">
        <v>85</v>
      </c>
      <c r="H80">
        <v>99999</v>
      </c>
      <c r="I80" t="s">
        <v>30</v>
      </c>
      <c r="J80" t="s">
        <v>86</v>
      </c>
      <c r="K80" t="s">
        <v>61</v>
      </c>
      <c r="L80">
        <v>41737</v>
      </c>
      <c r="M80" t="s">
        <v>33</v>
      </c>
      <c r="N80" t="s">
        <v>87</v>
      </c>
      <c r="O80" t="s">
        <v>83</v>
      </c>
      <c r="P80" t="s">
        <v>84</v>
      </c>
      <c r="Q80" t="s">
        <v>85</v>
      </c>
      <c r="R80">
        <v>99999</v>
      </c>
      <c r="S80" t="s">
        <v>30</v>
      </c>
      <c r="T80" t="s">
        <v>48</v>
      </c>
      <c r="U80" t="s">
        <v>88</v>
      </c>
      <c r="V80" t="s">
        <v>89</v>
      </c>
      <c r="W80">
        <v>40</v>
      </c>
      <c r="X80">
        <v>17</v>
      </c>
      <c r="Y80" s="4">
        <v>680</v>
      </c>
      <c r="Z80" s="3">
        <v>68.680000000000007</v>
      </c>
    </row>
    <row r="81" spans="1:26" x14ac:dyDescent="0.25">
      <c r="A81">
        <v>1089</v>
      </c>
      <c r="B81" s="2">
        <v>41757</v>
      </c>
      <c r="C81">
        <v>28</v>
      </c>
      <c r="D81" t="s">
        <v>90</v>
      </c>
      <c r="E81" t="s">
        <v>91</v>
      </c>
      <c r="F81" t="s">
        <v>92</v>
      </c>
      <c r="G81" t="s">
        <v>93</v>
      </c>
      <c r="H81">
        <v>99999</v>
      </c>
      <c r="I81" t="s">
        <v>30</v>
      </c>
      <c r="J81" t="s">
        <v>94</v>
      </c>
      <c r="K81" t="s">
        <v>95</v>
      </c>
      <c r="L81" s="2">
        <v>41759</v>
      </c>
      <c r="M81" t="s">
        <v>62</v>
      </c>
      <c r="N81" t="s">
        <v>96</v>
      </c>
      <c r="O81" t="s">
        <v>91</v>
      </c>
      <c r="P81" t="s">
        <v>92</v>
      </c>
      <c r="Q81" t="s">
        <v>93</v>
      </c>
      <c r="R81">
        <v>99999</v>
      </c>
      <c r="S81" t="s">
        <v>30</v>
      </c>
      <c r="T81" t="s">
        <v>35</v>
      </c>
      <c r="U81" t="s">
        <v>55</v>
      </c>
      <c r="V81" t="s">
        <v>37</v>
      </c>
      <c r="W81">
        <v>46</v>
      </c>
      <c r="X81">
        <v>96</v>
      </c>
      <c r="Y81" s="4">
        <v>4416</v>
      </c>
      <c r="Z81" s="3">
        <v>463.68000000000006</v>
      </c>
    </row>
    <row r="82" spans="1:26" x14ac:dyDescent="0.25">
      <c r="A82">
        <v>1090</v>
      </c>
      <c r="B82" s="2">
        <v>41737</v>
      </c>
      <c r="C82">
        <v>8</v>
      </c>
      <c r="D82" t="s">
        <v>56</v>
      </c>
      <c r="E82" t="s">
        <v>57</v>
      </c>
      <c r="F82" t="s">
        <v>58</v>
      </c>
      <c r="G82" t="s">
        <v>59</v>
      </c>
      <c r="H82">
        <v>99999</v>
      </c>
      <c r="I82" t="s">
        <v>30</v>
      </c>
      <c r="J82" t="s">
        <v>60</v>
      </c>
      <c r="K82" t="s">
        <v>61</v>
      </c>
      <c r="L82" s="2">
        <v>41739</v>
      </c>
      <c r="M82" t="s">
        <v>62</v>
      </c>
      <c r="N82" t="s">
        <v>63</v>
      </c>
      <c r="O82" t="s">
        <v>57</v>
      </c>
      <c r="P82" t="s">
        <v>58</v>
      </c>
      <c r="Q82" t="s">
        <v>59</v>
      </c>
      <c r="R82">
        <v>99999</v>
      </c>
      <c r="S82" t="s">
        <v>30</v>
      </c>
      <c r="T82" t="s">
        <v>35</v>
      </c>
      <c r="U82" t="s">
        <v>72</v>
      </c>
      <c r="V82" t="s">
        <v>73</v>
      </c>
      <c r="W82" s="3">
        <v>12.75</v>
      </c>
      <c r="X82">
        <v>83</v>
      </c>
      <c r="Y82" s="4">
        <v>1058.25</v>
      </c>
      <c r="Z82" s="3">
        <v>102.65025</v>
      </c>
    </row>
    <row r="83" spans="1:26" x14ac:dyDescent="0.25">
      <c r="A83">
        <v>1091</v>
      </c>
      <c r="B83" s="2">
        <v>41739</v>
      </c>
      <c r="C83">
        <v>10</v>
      </c>
      <c r="D83" t="s">
        <v>97</v>
      </c>
      <c r="E83" t="s">
        <v>98</v>
      </c>
      <c r="F83" t="s">
        <v>99</v>
      </c>
      <c r="G83" t="s">
        <v>100</v>
      </c>
      <c r="H83">
        <v>99999</v>
      </c>
      <c r="I83" t="s">
        <v>30</v>
      </c>
      <c r="J83" t="s">
        <v>101</v>
      </c>
      <c r="K83" t="s">
        <v>45</v>
      </c>
      <c r="L83" s="2">
        <v>41741</v>
      </c>
      <c r="M83" t="s">
        <v>33</v>
      </c>
      <c r="N83" t="s">
        <v>102</v>
      </c>
      <c r="O83" t="s">
        <v>98</v>
      </c>
      <c r="P83" t="s">
        <v>99</v>
      </c>
      <c r="Q83" t="s">
        <v>100</v>
      </c>
      <c r="R83">
        <v>99999</v>
      </c>
      <c r="S83" t="s">
        <v>30</v>
      </c>
      <c r="T83" t="s">
        <v>48</v>
      </c>
      <c r="U83" t="s">
        <v>103</v>
      </c>
      <c r="V83" t="s">
        <v>37</v>
      </c>
      <c r="W83" s="3">
        <v>2.99</v>
      </c>
      <c r="X83">
        <v>88</v>
      </c>
      <c r="Y83" s="4">
        <v>263.12</v>
      </c>
      <c r="Z83" s="3">
        <v>26.04888</v>
      </c>
    </row>
    <row r="84" spans="1:26" x14ac:dyDescent="0.25">
      <c r="A84">
        <v>1092</v>
      </c>
      <c r="B84" s="2">
        <v>41736</v>
      </c>
      <c r="C84">
        <v>7</v>
      </c>
      <c r="D84" t="s">
        <v>104</v>
      </c>
      <c r="E84" t="s">
        <v>105</v>
      </c>
      <c r="F84" t="s">
        <v>106</v>
      </c>
      <c r="G84" t="s">
        <v>107</v>
      </c>
      <c r="H84">
        <v>99999</v>
      </c>
      <c r="I84" t="s">
        <v>30</v>
      </c>
      <c r="J84" t="s">
        <v>60</v>
      </c>
      <c r="K84" t="s">
        <v>61</v>
      </c>
      <c r="L84" s="2"/>
      <c r="N84" t="s">
        <v>108</v>
      </c>
      <c r="O84" t="s">
        <v>105</v>
      </c>
      <c r="P84" t="s">
        <v>106</v>
      </c>
      <c r="Q84" t="s">
        <v>107</v>
      </c>
      <c r="R84">
        <v>99999</v>
      </c>
      <c r="S84" t="s">
        <v>30</v>
      </c>
      <c r="U84" t="s">
        <v>55</v>
      </c>
      <c r="V84" t="s">
        <v>37</v>
      </c>
      <c r="W84" s="3">
        <v>46</v>
      </c>
      <c r="X84">
        <v>59</v>
      </c>
      <c r="Y84" s="4">
        <v>2714</v>
      </c>
      <c r="Z84" s="3">
        <v>284.97000000000003</v>
      </c>
    </row>
    <row r="85" spans="1:26" x14ac:dyDescent="0.25">
      <c r="A85">
        <v>1093</v>
      </c>
      <c r="B85" s="2">
        <v>41739</v>
      </c>
      <c r="C85">
        <v>10</v>
      </c>
      <c r="D85" t="s">
        <v>97</v>
      </c>
      <c r="E85" t="s">
        <v>98</v>
      </c>
      <c r="F85" t="s">
        <v>99</v>
      </c>
      <c r="G85" t="s">
        <v>100</v>
      </c>
      <c r="H85">
        <v>99999</v>
      </c>
      <c r="I85" t="s">
        <v>30</v>
      </c>
      <c r="J85" t="s">
        <v>101</v>
      </c>
      <c r="K85" t="s">
        <v>45</v>
      </c>
      <c r="L85" s="2">
        <v>41741</v>
      </c>
      <c r="M85" t="s">
        <v>46</v>
      </c>
      <c r="N85" t="s">
        <v>102</v>
      </c>
      <c r="O85" t="s">
        <v>98</v>
      </c>
      <c r="P85" t="s">
        <v>99</v>
      </c>
      <c r="Q85" t="s">
        <v>100</v>
      </c>
      <c r="R85">
        <v>99999</v>
      </c>
      <c r="S85" t="s">
        <v>30</v>
      </c>
      <c r="U85" t="s">
        <v>109</v>
      </c>
      <c r="V85" t="s">
        <v>110</v>
      </c>
      <c r="W85" s="3">
        <v>25</v>
      </c>
      <c r="X85">
        <v>27</v>
      </c>
      <c r="Y85" s="4">
        <v>675</v>
      </c>
      <c r="Z85" s="3">
        <v>68.849999999999994</v>
      </c>
    </row>
    <row r="86" spans="1:26" x14ac:dyDescent="0.25">
      <c r="A86">
        <v>1094</v>
      </c>
      <c r="B86" s="2">
        <v>41739</v>
      </c>
      <c r="C86">
        <v>10</v>
      </c>
      <c r="D86" t="s">
        <v>97</v>
      </c>
      <c r="E86" t="s">
        <v>98</v>
      </c>
      <c r="F86" t="s">
        <v>99</v>
      </c>
      <c r="G86" t="s">
        <v>100</v>
      </c>
      <c r="H86">
        <v>99999</v>
      </c>
      <c r="I86" t="s">
        <v>30</v>
      </c>
      <c r="J86" t="s">
        <v>101</v>
      </c>
      <c r="K86" t="s">
        <v>45</v>
      </c>
      <c r="L86" s="2">
        <v>41741</v>
      </c>
      <c r="M86" t="s">
        <v>46</v>
      </c>
      <c r="N86" t="s">
        <v>102</v>
      </c>
      <c r="O86" t="s">
        <v>98</v>
      </c>
      <c r="P86" t="s">
        <v>99</v>
      </c>
      <c r="Q86" t="s">
        <v>100</v>
      </c>
      <c r="R86">
        <v>99999</v>
      </c>
      <c r="S86" t="s">
        <v>30</v>
      </c>
      <c r="U86" t="s">
        <v>111</v>
      </c>
      <c r="V86" t="s">
        <v>112</v>
      </c>
      <c r="W86" s="3">
        <v>22</v>
      </c>
      <c r="X86">
        <v>37</v>
      </c>
      <c r="Y86" s="4">
        <v>814</v>
      </c>
      <c r="Z86" s="3">
        <v>85.470000000000013</v>
      </c>
    </row>
    <row r="87" spans="1:26" x14ac:dyDescent="0.25">
      <c r="A87">
        <v>1095</v>
      </c>
      <c r="B87" s="2">
        <v>41739</v>
      </c>
      <c r="C87">
        <v>10</v>
      </c>
      <c r="D87" t="s">
        <v>97</v>
      </c>
      <c r="E87" t="s">
        <v>98</v>
      </c>
      <c r="F87" t="s">
        <v>99</v>
      </c>
      <c r="G87" t="s">
        <v>100</v>
      </c>
      <c r="H87">
        <v>99999</v>
      </c>
      <c r="I87" t="s">
        <v>30</v>
      </c>
      <c r="J87" t="s">
        <v>101</v>
      </c>
      <c r="K87" t="s">
        <v>45</v>
      </c>
      <c r="L87" s="2">
        <v>41741</v>
      </c>
      <c r="M87" t="s">
        <v>46</v>
      </c>
      <c r="N87" t="s">
        <v>102</v>
      </c>
      <c r="O87" t="s">
        <v>98</v>
      </c>
      <c r="P87" t="s">
        <v>99</v>
      </c>
      <c r="Q87" t="s">
        <v>100</v>
      </c>
      <c r="R87">
        <v>99999</v>
      </c>
      <c r="S87" t="s">
        <v>30</v>
      </c>
      <c r="U87" t="s">
        <v>64</v>
      </c>
      <c r="V87" t="s">
        <v>65</v>
      </c>
      <c r="W87" s="3">
        <v>9.1999999999999993</v>
      </c>
      <c r="X87">
        <v>75</v>
      </c>
      <c r="Y87" s="4">
        <v>690</v>
      </c>
      <c r="Z87" s="3">
        <v>69</v>
      </c>
    </row>
    <row r="88" spans="1:26" x14ac:dyDescent="0.25">
      <c r="A88">
        <v>1096</v>
      </c>
      <c r="B88" s="2">
        <v>41740</v>
      </c>
      <c r="C88">
        <v>11</v>
      </c>
      <c r="D88" t="s">
        <v>113</v>
      </c>
      <c r="E88" t="s">
        <v>114</v>
      </c>
      <c r="F88" t="s">
        <v>115</v>
      </c>
      <c r="G88" t="s">
        <v>116</v>
      </c>
      <c r="H88">
        <v>99999</v>
      </c>
      <c r="I88" t="s">
        <v>30</v>
      </c>
      <c r="J88" t="s">
        <v>94</v>
      </c>
      <c r="K88" t="s">
        <v>95</v>
      </c>
      <c r="L88" s="2"/>
      <c r="M88" t="s">
        <v>62</v>
      </c>
      <c r="N88" t="s">
        <v>117</v>
      </c>
      <c r="O88" t="s">
        <v>114</v>
      </c>
      <c r="P88" t="s">
        <v>115</v>
      </c>
      <c r="Q88" t="s">
        <v>116</v>
      </c>
      <c r="R88">
        <v>99999</v>
      </c>
      <c r="S88" t="s">
        <v>30</v>
      </c>
      <c r="U88" t="s">
        <v>38</v>
      </c>
      <c r="V88" t="s">
        <v>39</v>
      </c>
      <c r="W88" s="3">
        <v>3.5</v>
      </c>
      <c r="X88">
        <v>71</v>
      </c>
      <c r="Y88" s="4">
        <v>248.5</v>
      </c>
      <c r="Z88" s="3">
        <v>24.104500000000002</v>
      </c>
    </row>
    <row r="89" spans="1:26" x14ac:dyDescent="0.25">
      <c r="A89">
        <v>1097</v>
      </c>
      <c r="B89" s="2">
        <v>41740</v>
      </c>
      <c r="C89">
        <v>11</v>
      </c>
      <c r="D89" t="s">
        <v>113</v>
      </c>
      <c r="E89" t="s">
        <v>114</v>
      </c>
      <c r="F89" t="s">
        <v>115</v>
      </c>
      <c r="G89" t="s">
        <v>116</v>
      </c>
      <c r="H89">
        <v>99999</v>
      </c>
      <c r="I89" t="s">
        <v>30</v>
      </c>
      <c r="J89" t="s">
        <v>94</v>
      </c>
      <c r="K89" t="s">
        <v>95</v>
      </c>
      <c r="L89" s="2"/>
      <c r="M89" t="s">
        <v>62</v>
      </c>
      <c r="N89" t="s">
        <v>117</v>
      </c>
      <c r="O89" t="s">
        <v>114</v>
      </c>
      <c r="P89" t="s">
        <v>115</v>
      </c>
      <c r="Q89" t="s">
        <v>116</v>
      </c>
      <c r="R89">
        <v>99999</v>
      </c>
      <c r="S89" t="s">
        <v>30</v>
      </c>
      <c r="U89" t="s">
        <v>103</v>
      </c>
      <c r="V89" t="s">
        <v>37</v>
      </c>
      <c r="W89" s="3">
        <v>2.99</v>
      </c>
      <c r="X89">
        <v>88</v>
      </c>
      <c r="Y89" s="4">
        <v>263.12</v>
      </c>
      <c r="Z89" s="3">
        <v>26.04888</v>
      </c>
    </row>
    <row r="90" spans="1:26" x14ac:dyDescent="0.25">
      <c r="A90">
        <v>1098</v>
      </c>
      <c r="B90" s="2">
        <v>41730</v>
      </c>
      <c r="C90">
        <v>1</v>
      </c>
      <c r="D90" t="s">
        <v>118</v>
      </c>
      <c r="E90" t="s">
        <v>119</v>
      </c>
      <c r="F90" t="s">
        <v>120</v>
      </c>
      <c r="G90" t="s">
        <v>121</v>
      </c>
      <c r="H90">
        <v>99999</v>
      </c>
      <c r="I90" t="s">
        <v>30</v>
      </c>
      <c r="J90" t="s">
        <v>60</v>
      </c>
      <c r="K90" t="s">
        <v>61</v>
      </c>
      <c r="L90" s="2"/>
      <c r="N90" t="s">
        <v>122</v>
      </c>
      <c r="O90" t="s">
        <v>119</v>
      </c>
      <c r="P90" t="s">
        <v>120</v>
      </c>
      <c r="Q90" t="s">
        <v>121</v>
      </c>
      <c r="R90">
        <v>99999</v>
      </c>
      <c r="S90" t="s">
        <v>30</v>
      </c>
      <c r="U90" t="s">
        <v>54</v>
      </c>
      <c r="V90" t="s">
        <v>37</v>
      </c>
      <c r="W90" s="3">
        <v>18</v>
      </c>
      <c r="X90">
        <v>55</v>
      </c>
      <c r="Y90" s="4">
        <v>990</v>
      </c>
      <c r="Z90" s="3">
        <v>97.02</v>
      </c>
    </row>
    <row r="91" spans="1:26" x14ac:dyDescent="0.25">
      <c r="A91">
        <v>1099</v>
      </c>
      <c r="B91" s="2">
        <v>41788</v>
      </c>
      <c r="C91">
        <v>29</v>
      </c>
      <c r="D91" t="s">
        <v>66</v>
      </c>
      <c r="E91" t="s">
        <v>67</v>
      </c>
      <c r="F91" t="s">
        <v>68</v>
      </c>
      <c r="G91" t="s">
        <v>69</v>
      </c>
      <c r="H91">
        <v>99999</v>
      </c>
      <c r="I91" t="s">
        <v>30</v>
      </c>
      <c r="J91" t="s">
        <v>70</v>
      </c>
      <c r="K91" t="s">
        <v>32</v>
      </c>
      <c r="L91" s="2">
        <v>41790</v>
      </c>
      <c r="M91" t="s">
        <v>33</v>
      </c>
      <c r="N91" t="s">
        <v>71</v>
      </c>
      <c r="O91" t="s">
        <v>67</v>
      </c>
      <c r="P91" t="s">
        <v>68</v>
      </c>
      <c r="Q91" t="s">
        <v>69</v>
      </c>
      <c r="R91">
        <v>99999</v>
      </c>
      <c r="S91" t="s">
        <v>30</v>
      </c>
      <c r="T91" t="s">
        <v>35</v>
      </c>
      <c r="U91" t="s">
        <v>72</v>
      </c>
      <c r="V91" t="s">
        <v>73</v>
      </c>
      <c r="W91" s="3">
        <v>12.75</v>
      </c>
      <c r="X91">
        <v>14</v>
      </c>
      <c r="Y91" s="4">
        <v>178.5</v>
      </c>
      <c r="Z91" s="3">
        <v>16.9575</v>
      </c>
    </row>
    <row r="92" spans="1:26" x14ac:dyDescent="0.25">
      <c r="A92">
        <v>1100</v>
      </c>
      <c r="B92" s="2">
        <v>41762</v>
      </c>
      <c r="C92">
        <v>3</v>
      </c>
      <c r="D92" t="s">
        <v>74</v>
      </c>
      <c r="E92" t="s">
        <v>75</v>
      </c>
      <c r="F92" t="s">
        <v>76</v>
      </c>
      <c r="G92" t="s">
        <v>77</v>
      </c>
      <c r="H92">
        <v>99999</v>
      </c>
      <c r="I92" t="s">
        <v>30</v>
      </c>
      <c r="J92" t="s">
        <v>31</v>
      </c>
      <c r="K92" t="s">
        <v>32</v>
      </c>
      <c r="L92" s="2">
        <v>41764</v>
      </c>
      <c r="M92" t="s">
        <v>33</v>
      </c>
      <c r="N92" t="s">
        <v>78</v>
      </c>
      <c r="O92" t="s">
        <v>75</v>
      </c>
      <c r="P92" t="s">
        <v>76</v>
      </c>
      <c r="Q92" t="s">
        <v>77</v>
      </c>
      <c r="R92">
        <v>99999</v>
      </c>
      <c r="S92" t="s">
        <v>30</v>
      </c>
      <c r="T92" t="s">
        <v>79</v>
      </c>
      <c r="U92" t="s">
        <v>80</v>
      </c>
      <c r="V92" t="s">
        <v>81</v>
      </c>
      <c r="W92" s="3">
        <v>9.65</v>
      </c>
      <c r="X92">
        <v>43</v>
      </c>
      <c r="Y92" s="4">
        <v>414.95</v>
      </c>
      <c r="Z92" s="3">
        <v>42.324900000000007</v>
      </c>
    </row>
    <row r="93" spans="1:26" x14ac:dyDescent="0.25">
      <c r="A93">
        <v>1101</v>
      </c>
      <c r="B93" s="2">
        <v>41765</v>
      </c>
      <c r="C93">
        <v>6</v>
      </c>
      <c r="D93" t="s">
        <v>82</v>
      </c>
      <c r="E93" t="s">
        <v>83</v>
      </c>
      <c r="F93" t="s">
        <v>84</v>
      </c>
      <c r="G93" t="s">
        <v>85</v>
      </c>
      <c r="H93">
        <v>99999</v>
      </c>
      <c r="I93" t="s">
        <v>30</v>
      </c>
      <c r="J93" t="s">
        <v>86</v>
      </c>
      <c r="K93" t="s">
        <v>61</v>
      </c>
      <c r="L93">
        <v>41767</v>
      </c>
      <c r="M93" t="s">
        <v>33</v>
      </c>
      <c r="N93" t="s">
        <v>87</v>
      </c>
      <c r="O93" t="s">
        <v>83</v>
      </c>
      <c r="P93" t="s">
        <v>84</v>
      </c>
      <c r="Q93" t="s">
        <v>85</v>
      </c>
      <c r="R93">
        <v>99999</v>
      </c>
      <c r="S93" t="s">
        <v>30</v>
      </c>
      <c r="T93" t="s">
        <v>48</v>
      </c>
      <c r="U93" t="s">
        <v>88</v>
      </c>
      <c r="V93" t="s">
        <v>89</v>
      </c>
      <c r="W93" s="3">
        <v>40</v>
      </c>
      <c r="X93">
        <v>63</v>
      </c>
      <c r="Y93" s="4">
        <v>2520</v>
      </c>
      <c r="Z93" s="3">
        <v>254.52</v>
      </c>
    </row>
    <row r="94" spans="1:26" x14ac:dyDescent="0.25">
      <c r="A94">
        <v>1102</v>
      </c>
      <c r="B94" s="2">
        <v>41787</v>
      </c>
      <c r="C94">
        <v>28</v>
      </c>
      <c r="D94" t="s">
        <v>90</v>
      </c>
      <c r="E94" t="s">
        <v>91</v>
      </c>
      <c r="F94" t="s">
        <v>92</v>
      </c>
      <c r="G94" t="s">
        <v>93</v>
      </c>
      <c r="H94">
        <v>99999</v>
      </c>
      <c r="I94" t="s">
        <v>30</v>
      </c>
      <c r="J94" t="s">
        <v>94</v>
      </c>
      <c r="K94" t="s">
        <v>95</v>
      </c>
      <c r="L94" s="2">
        <v>41789</v>
      </c>
      <c r="M94" t="s">
        <v>62</v>
      </c>
      <c r="N94" t="s">
        <v>96</v>
      </c>
      <c r="O94" t="s">
        <v>91</v>
      </c>
      <c r="P94" t="s">
        <v>92</v>
      </c>
      <c r="Q94" t="s">
        <v>93</v>
      </c>
      <c r="R94">
        <v>99999</v>
      </c>
      <c r="S94" t="s">
        <v>30</v>
      </c>
      <c r="T94" t="s">
        <v>35</v>
      </c>
      <c r="U94" t="s">
        <v>55</v>
      </c>
      <c r="V94" t="s">
        <v>37</v>
      </c>
      <c r="W94" s="3">
        <v>46</v>
      </c>
      <c r="X94">
        <v>36</v>
      </c>
      <c r="Y94" s="4">
        <v>1656</v>
      </c>
      <c r="Z94" s="3">
        <v>165.60000000000002</v>
      </c>
    </row>
    <row r="95" spans="1:26" x14ac:dyDescent="0.25">
      <c r="A95">
        <v>1103</v>
      </c>
      <c r="B95" s="2">
        <v>41767</v>
      </c>
      <c r="C95">
        <v>8</v>
      </c>
      <c r="D95" t="s">
        <v>56</v>
      </c>
      <c r="E95" t="s">
        <v>57</v>
      </c>
      <c r="F95" t="s">
        <v>58</v>
      </c>
      <c r="G95" t="s">
        <v>59</v>
      </c>
      <c r="H95">
        <v>99999</v>
      </c>
      <c r="I95" t="s">
        <v>30</v>
      </c>
      <c r="J95" t="s">
        <v>60</v>
      </c>
      <c r="K95" t="s">
        <v>61</v>
      </c>
      <c r="L95" s="2">
        <v>41769</v>
      </c>
      <c r="M95" t="s">
        <v>62</v>
      </c>
      <c r="N95" t="s">
        <v>63</v>
      </c>
      <c r="O95" t="s">
        <v>57</v>
      </c>
      <c r="P95" t="s">
        <v>58</v>
      </c>
      <c r="Q95" t="s">
        <v>59</v>
      </c>
      <c r="R95">
        <v>99999</v>
      </c>
      <c r="S95" t="s">
        <v>30</v>
      </c>
      <c r="T95" t="s">
        <v>35</v>
      </c>
      <c r="U95" t="s">
        <v>72</v>
      </c>
      <c r="V95" t="s">
        <v>73</v>
      </c>
      <c r="W95" s="3">
        <v>12.75</v>
      </c>
      <c r="X95">
        <v>41</v>
      </c>
      <c r="Y95" s="4">
        <v>522.75</v>
      </c>
      <c r="Z95" s="3">
        <v>54.366000000000007</v>
      </c>
    </row>
    <row r="96" spans="1:26" x14ac:dyDescent="0.25">
      <c r="A96">
        <v>1104</v>
      </c>
      <c r="B96" s="2">
        <v>41769</v>
      </c>
      <c r="C96">
        <v>10</v>
      </c>
      <c r="D96" t="s">
        <v>97</v>
      </c>
      <c r="E96" t="s">
        <v>98</v>
      </c>
      <c r="F96" t="s">
        <v>99</v>
      </c>
      <c r="G96" t="s">
        <v>100</v>
      </c>
      <c r="H96">
        <v>99999</v>
      </c>
      <c r="I96" t="s">
        <v>30</v>
      </c>
      <c r="J96" t="s">
        <v>101</v>
      </c>
      <c r="K96" t="s">
        <v>45</v>
      </c>
      <c r="L96" s="2">
        <v>41771</v>
      </c>
      <c r="M96" t="s">
        <v>33</v>
      </c>
      <c r="N96" t="s">
        <v>102</v>
      </c>
      <c r="O96" t="s">
        <v>98</v>
      </c>
      <c r="P96" t="s">
        <v>99</v>
      </c>
      <c r="Q96" t="s">
        <v>100</v>
      </c>
      <c r="R96">
        <v>99999</v>
      </c>
      <c r="S96" t="s">
        <v>30</v>
      </c>
      <c r="T96" t="s">
        <v>48</v>
      </c>
      <c r="U96" t="s">
        <v>103</v>
      </c>
      <c r="V96" t="s">
        <v>37</v>
      </c>
      <c r="W96" s="3">
        <v>2.99</v>
      </c>
      <c r="X96">
        <v>35</v>
      </c>
      <c r="Y96" s="4">
        <v>104.65</v>
      </c>
      <c r="Z96" s="3">
        <v>10.255700000000001</v>
      </c>
    </row>
    <row r="97" spans="1:26" x14ac:dyDescent="0.25">
      <c r="A97">
        <v>1105</v>
      </c>
      <c r="B97" s="2">
        <v>41766</v>
      </c>
      <c r="C97">
        <v>7</v>
      </c>
      <c r="D97" t="s">
        <v>104</v>
      </c>
      <c r="E97" t="s">
        <v>105</v>
      </c>
      <c r="F97" t="s">
        <v>106</v>
      </c>
      <c r="G97" t="s">
        <v>107</v>
      </c>
      <c r="H97">
        <v>99999</v>
      </c>
      <c r="I97" t="s">
        <v>30</v>
      </c>
      <c r="J97" t="s">
        <v>60</v>
      </c>
      <c r="K97" t="s">
        <v>61</v>
      </c>
      <c r="N97" t="s">
        <v>108</v>
      </c>
      <c r="O97" t="s">
        <v>105</v>
      </c>
      <c r="P97" t="s">
        <v>106</v>
      </c>
      <c r="Q97" t="s">
        <v>107</v>
      </c>
      <c r="R97">
        <v>99999</v>
      </c>
      <c r="S97" t="s">
        <v>30</v>
      </c>
      <c r="U97" t="s">
        <v>55</v>
      </c>
      <c r="V97" t="s">
        <v>37</v>
      </c>
      <c r="W97" s="3">
        <v>46</v>
      </c>
      <c r="X97">
        <v>31</v>
      </c>
      <c r="Y97" s="4">
        <v>1426</v>
      </c>
      <c r="Z97" s="3">
        <v>136.89599999999999</v>
      </c>
    </row>
    <row r="98" spans="1:26" x14ac:dyDescent="0.25">
      <c r="A98">
        <v>1106</v>
      </c>
      <c r="B98" s="2">
        <v>41769</v>
      </c>
      <c r="C98">
        <v>10</v>
      </c>
      <c r="D98" t="s">
        <v>97</v>
      </c>
      <c r="E98" t="s">
        <v>98</v>
      </c>
      <c r="F98" t="s">
        <v>99</v>
      </c>
      <c r="G98" t="s">
        <v>100</v>
      </c>
      <c r="H98">
        <v>99999</v>
      </c>
      <c r="I98" t="s">
        <v>30</v>
      </c>
      <c r="J98" t="s">
        <v>101</v>
      </c>
      <c r="K98" t="s">
        <v>45</v>
      </c>
      <c r="L98">
        <v>41771</v>
      </c>
      <c r="M98" t="s">
        <v>46</v>
      </c>
      <c r="N98" t="s">
        <v>102</v>
      </c>
      <c r="O98" t="s">
        <v>98</v>
      </c>
      <c r="P98" t="s">
        <v>99</v>
      </c>
      <c r="Q98" t="s">
        <v>100</v>
      </c>
      <c r="R98">
        <v>99999</v>
      </c>
      <c r="S98" t="s">
        <v>30</v>
      </c>
      <c r="U98" t="s">
        <v>109</v>
      </c>
      <c r="V98" t="s">
        <v>110</v>
      </c>
      <c r="W98" s="3">
        <v>25</v>
      </c>
      <c r="X98">
        <v>52</v>
      </c>
      <c r="Y98" s="4">
        <v>1300</v>
      </c>
      <c r="Z98" s="3">
        <v>123.5</v>
      </c>
    </row>
    <row r="99" spans="1:26" x14ac:dyDescent="0.25">
      <c r="A99">
        <v>1107</v>
      </c>
      <c r="B99" s="2">
        <v>41769</v>
      </c>
      <c r="C99">
        <v>10</v>
      </c>
      <c r="D99" t="s">
        <v>97</v>
      </c>
      <c r="E99" t="s">
        <v>98</v>
      </c>
      <c r="F99" t="s">
        <v>99</v>
      </c>
      <c r="G99" t="s">
        <v>100</v>
      </c>
      <c r="H99">
        <v>99999</v>
      </c>
      <c r="I99" t="s">
        <v>30</v>
      </c>
      <c r="J99" t="s">
        <v>101</v>
      </c>
      <c r="K99" t="s">
        <v>45</v>
      </c>
      <c r="L99">
        <v>41771</v>
      </c>
      <c r="M99" t="s">
        <v>46</v>
      </c>
      <c r="N99" t="s">
        <v>102</v>
      </c>
      <c r="O99" t="s">
        <v>98</v>
      </c>
      <c r="P99" t="s">
        <v>99</v>
      </c>
      <c r="Q99" t="s">
        <v>100</v>
      </c>
      <c r="R99">
        <v>99999</v>
      </c>
      <c r="S99" t="s">
        <v>30</v>
      </c>
      <c r="U99" t="s">
        <v>111</v>
      </c>
      <c r="V99" t="s">
        <v>112</v>
      </c>
      <c r="W99" s="3">
        <v>22</v>
      </c>
      <c r="X99">
        <v>30</v>
      </c>
      <c r="Y99" s="4">
        <v>660</v>
      </c>
      <c r="Z99" s="3">
        <v>67.320000000000007</v>
      </c>
    </row>
    <row r="100" spans="1:26" x14ac:dyDescent="0.25">
      <c r="A100">
        <v>1108</v>
      </c>
      <c r="B100" s="2">
        <v>41769</v>
      </c>
      <c r="C100">
        <v>10</v>
      </c>
      <c r="D100" t="s">
        <v>97</v>
      </c>
      <c r="E100" t="s">
        <v>98</v>
      </c>
      <c r="F100" t="s">
        <v>99</v>
      </c>
      <c r="G100" t="s">
        <v>100</v>
      </c>
      <c r="H100">
        <v>99999</v>
      </c>
      <c r="I100" t="s">
        <v>30</v>
      </c>
      <c r="J100" t="s">
        <v>101</v>
      </c>
      <c r="K100" t="s">
        <v>45</v>
      </c>
      <c r="L100" s="2">
        <v>41771</v>
      </c>
      <c r="M100" t="s">
        <v>46</v>
      </c>
      <c r="N100" t="s">
        <v>102</v>
      </c>
      <c r="O100" t="s">
        <v>98</v>
      </c>
      <c r="P100" t="s">
        <v>99</v>
      </c>
      <c r="Q100" t="s">
        <v>100</v>
      </c>
      <c r="R100">
        <v>99999</v>
      </c>
      <c r="S100" t="s">
        <v>30</v>
      </c>
      <c r="U100" t="s">
        <v>64</v>
      </c>
      <c r="V100" t="s">
        <v>65</v>
      </c>
      <c r="W100" s="3">
        <v>9.1999999999999993</v>
      </c>
      <c r="X100">
        <v>41</v>
      </c>
      <c r="Y100" s="4">
        <v>377.2</v>
      </c>
      <c r="Z100" s="3">
        <v>38.474400000000003</v>
      </c>
    </row>
    <row r="101" spans="1:26" x14ac:dyDescent="0.25">
      <c r="A101">
        <v>1109</v>
      </c>
      <c r="B101" s="2">
        <v>41770</v>
      </c>
      <c r="C101">
        <v>11</v>
      </c>
      <c r="D101" t="s">
        <v>113</v>
      </c>
      <c r="E101" t="s">
        <v>114</v>
      </c>
      <c r="F101" t="s">
        <v>115</v>
      </c>
      <c r="G101" t="s">
        <v>116</v>
      </c>
      <c r="H101">
        <v>99999</v>
      </c>
      <c r="I101" t="s">
        <v>30</v>
      </c>
      <c r="J101" t="s">
        <v>94</v>
      </c>
      <c r="K101" t="s">
        <v>95</v>
      </c>
      <c r="L101" s="2"/>
      <c r="M101" t="s">
        <v>62</v>
      </c>
      <c r="N101" t="s">
        <v>117</v>
      </c>
      <c r="O101" t="s">
        <v>114</v>
      </c>
      <c r="P101" t="s">
        <v>115</v>
      </c>
      <c r="Q101" t="s">
        <v>116</v>
      </c>
      <c r="R101">
        <v>99999</v>
      </c>
      <c r="S101" t="s">
        <v>30</v>
      </c>
      <c r="U101" t="s">
        <v>38</v>
      </c>
      <c r="V101" t="s">
        <v>39</v>
      </c>
      <c r="W101" s="3">
        <v>3.5</v>
      </c>
      <c r="X101">
        <v>44</v>
      </c>
      <c r="Y101" s="4">
        <v>154</v>
      </c>
      <c r="Z101" s="3">
        <v>15.246</v>
      </c>
    </row>
    <row r="102" spans="1:26" x14ac:dyDescent="0.25">
      <c r="A102">
        <v>1110</v>
      </c>
      <c r="B102" s="2">
        <v>41770</v>
      </c>
      <c r="C102">
        <v>11</v>
      </c>
      <c r="D102" t="s">
        <v>113</v>
      </c>
      <c r="E102" t="s">
        <v>114</v>
      </c>
      <c r="F102" t="s">
        <v>115</v>
      </c>
      <c r="G102" t="s">
        <v>116</v>
      </c>
      <c r="H102">
        <v>99999</v>
      </c>
      <c r="I102" t="s">
        <v>30</v>
      </c>
      <c r="J102" t="s">
        <v>94</v>
      </c>
      <c r="K102" t="s">
        <v>95</v>
      </c>
      <c r="L102" s="2"/>
      <c r="M102" t="s">
        <v>62</v>
      </c>
      <c r="N102" t="s">
        <v>117</v>
      </c>
      <c r="O102" t="s">
        <v>114</v>
      </c>
      <c r="P102" t="s">
        <v>115</v>
      </c>
      <c r="Q102" t="s">
        <v>116</v>
      </c>
      <c r="R102">
        <v>99999</v>
      </c>
      <c r="S102" t="s">
        <v>30</v>
      </c>
      <c r="U102" t="s">
        <v>103</v>
      </c>
      <c r="V102" t="s">
        <v>37</v>
      </c>
      <c r="W102" s="3">
        <v>2.99</v>
      </c>
      <c r="X102">
        <v>77</v>
      </c>
      <c r="Y102" s="4">
        <v>230.23000000000002</v>
      </c>
      <c r="Z102" s="3">
        <v>23.023000000000003</v>
      </c>
    </row>
    <row r="103" spans="1:26" x14ac:dyDescent="0.25">
      <c r="A103">
        <v>1111</v>
      </c>
      <c r="B103" s="2">
        <v>41760</v>
      </c>
      <c r="C103">
        <v>1</v>
      </c>
      <c r="D103" t="s">
        <v>118</v>
      </c>
      <c r="E103" t="s">
        <v>119</v>
      </c>
      <c r="F103" t="s">
        <v>120</v>
      </c>
      <c r="G103" t="s">
        <v>121</v>
      </c>
      <c r="H103">
        <v>99999</v>
      </c>
      <c r="I103" t="s">
        <v>30</v>
      </c>
      <c r="J103" t="s">
        <v>60</v>
      </c>
      <c r="K103" t="s">
        <v>61</v>
      </c>
      <c r="L103" s="2"/>
      <c r="N103" t="s">
        <v>122</v>
      </c>
      <c r="O103" t="s">
        <v>119</v>
      </c>
      <c r="P103" t="s">
        <v>120</v>
      </c>
      <c r="Q103" t="s">
        <v>121</v>
      </c>
      <c r="R103">
        <v>99999</v>
      </c>
      <c r="S103" t="s">
        <v>30</v>
      </c>
      <c r="U103" t="s">
        <v>54</v>
      </c>
      <c r="V103" t="s">
        <v>37</v>
      </c>
      <c r="W103" s="3">
        <v>18</v>
      </c>
      <c r="X103">
        <v>29</v>
      </c>
      <c r="Y103" s="4">
        <v>522</v>
      </c>
      <c r="Z103" s="3">
        <v>52.722000000000001</v>
      </c>
    </row>
    <row r="104" spans="1:26" x14ac:dyDescent="0.25">
      <c r="A104">
        <v>1112</v>
      </c>
      <c r="B104" s="2">
        <v>41760</v>
      </c>
      <c r="C104">
        <v>1</v>
      </c>
      <c r="D104" t="s">
        <v>118</v>
      </c>
      <c r="E104" t="s">
        <v>119</v>
      </c>
      <c r="F104" t="s">
        <v>120</v>
      </c>
      <c r="G104" t="s">
        <v>121</v>
      </c>
      <c r="H104">
        <v>99999</v>
      </c>
      <c r="I104" t="s">
        <v>30</v>
      </c>
      <c r="J104" t="s">
        <v>60</v>
      </c>
      <c r="K104" t="s">
        <v>61</v>
      </c>
      <c r="L104" s="2"/>
      <c r="N104" t="s">
        <v>122</v>
      </c>
      <c r="O104" t="s">
        <v>119</v>
      </c>
      <c r="P104" t="s">
        <v>120</v>
      </c>
      <c r="Q104" t="s">
        <v>121</v>
      </c>
      <c r="R104">
        <v>99999</v>
      </c>
      <c r="S104" t="s">
        <v>30</v>
      </c>
      <c r="U104" t="s">
        <v>55</v>
      </c>
      <c r="V104" t="s">
        <v>37</v>
      </c>
      <c r="W104" s="3">
        <v>46</v>
      </c>
      <c r="X104">
        <v>77</v>
      </c>
      <c r="Y104" s="4">
        <v>3542</v>
      </c>
      <c r="Z104" s="3">
        <v>368.36800000000005</v>
      </c>
    </row>
    <row r="105" spans="1:26" x14ac:dyDescent="0.25">
      <c r="A105">
        <v>1113</v>
      </c>
      <c r="B105" s="2">
        <v>41760</v>
      </c>
      <c r="C105">
        <v>1</v>
      </c>
      <c r="D105" t="s">
        <v>118</v>
      </c>
      <c r="E105" t="s">
        <v>119</v>
      </c>
      <c r="F105" t="s">
        <v>120</v>
      </c>
      <c r="G105" t="s">
        <v>121</v>
      </c>
      <c r="H105">
        <v>99999</v>
      </c>
      <c r="I105" t="s">
        <v>30</v>
      </c>
      <c r="J105" t="s">
        <v>60</v>
      </c>
      <c r="K105" t="s">
        <v>61</v>
      </c>
      <c r="L105" s="2"/>
      <c r="N105" t="s">
        <v>122</v>
      </c>
      <c r="O105" t="s">
        <v>119</v>
      </c>
      <c r="P105" t="s">
        <v>120</v>
      </c>
      <c r="Q105" t="s">
        <v>121</v>
      </c>
      <c r="R105">
        <v>99999</v>
      </c>
      <c r="S105" t="s">
        <v>30</v>
      </c>
      <c r="U105" t="s">
        <v>103</v>
      </c>
      <c r="V105" t="s">
        <v>37</v>
      </c>
      <c r="W105" s="3">
        <v>2.99</v>
      </c>
      <c r="X105">
        <v>73</v>
      </c>
      <c r="Y105" s="4">
        <v>218.27</v>
      </c>
      <c r="Z105" s="3">
        <v>21.827000000000002</v>
      </c>
    </row>
    <row r="106" spans="1:26" x14ac:dyDescent="0.25">
      <c r="A106">
        <v>1114</v>
      </c>
      <c r="B106" s="2">
        <v>41787</v>
      </c>
      <c r="C106">
        <v>28</v>
      </c>
      <c r="D106" t="s">
        <v>90</v>
      </c>
      <c r="E106" t="s">
        <v>91</v>
      </c>
      <c r="F106" t="s">
        <v>92</v>
      </c>
      <c r="G106" t="s">
        <v>93</v>
      </c>
      <c r="H106">
        <v>99999</v>
      </c>
      <c r="I106" t="s">
        <v>30</v>
      </c>
      <c r="J106" t="s">
        <v>94</v>
      </c>
      <c r="K106" t="s">
        <v>95</v>
      </c>
      <c r="L106">
        <v>41789</v>
      </c>
      <c r="M106" t="s">
        <v>62</v>
      </c>
      <c r="N106" t="s">
        <v>96</v>
      </c>
      <c r="O106" t="s">
        <v>91</v>
      </c>
      <c r="P106" t="s">
        <v>92</v>
      </c>
      <c r="Q106" t="s">
        <v>93</v>
      </c>
      <c r="R106">
        <v>99999</v>
      </c>
      <c r="S106" t="s">
        <v>30</v>
      </c>
      <c r="T106" t="s">
        <v>48</v>
      </c>
      <c r="U106" t="s">
        <v>80</v>
      </c>
      <c r="V106" t="s">
        <v>81</v>
      </c>
      <c r="W106" s="3">
        <v>9.65</v>
      </c>
      <c r="X106">
        <v>74</v>
      </c>
      <c r="Y106" s="4">
        <v>714.1</v>
      </c>
      <c r="Z106" s="3">
        <v>67.839500000000001</v>
      </c>
    </row>
    <row r="107" spans="1:26" x14ac:dyDescent="0.25">
      <c r="A107">
        <v>1115</v>
      </c>
      <c r="B107" s="2">
        <v>41787</v>
      </c>
      <c r="C107">
        <v>28</v>
      </c>
      <c r="D107" t="s">
        <v>90</v>
      </c>
      <c r="E107" t="s">
        <v>91</v>
      </c>
      <c r="F107" t="s">
        <v>92</v>
      </c>
      <c r="G107" t="s">
        <v>93</v>
      </c>
      <c r="H107">
        <v>99999</v>
      </c>
      <c r="I107" t="s">
        <v>30</v>
      </c>
      <c r="J107" t="s">
        <v>94</v>
      </c>
      <c r="K107" t="s">
        <v>95</v>
      </c>
      <c r="L107" s="2">
        <v>41789</v>
      </c>
      <c r="M107" t="s">
        <v>62</v>
      </c>
      <c r="N107" t="s">
        <v>96</v>
      </c>
      <c r="O107" t="s">
        <v>91</v>
      </c>
      <c r="P107" t="s">
        <v>92</v>
      </c>
      <c r="Q107" t="s">
        <v>93</v>
      </c>
      <c r="R107">
        <v>99999</v>
      </c>
      <c r="S107" t="s">
        <v>30</v>
      </c>
      <c r="T107" t="s">
        <v>48</v>
      </c>
      <c r="U107" t="s">
        <v>123</v>
      </c>
      <c r="V107" t="s">
        <v>124</v>
      </c>
      <c r="W107" s="3">
        <v>18.399999999999999</v>
      </c>
      <c r="X107">
        <v>25</v>
      </c>
      <c r="Y107" s="4">
        <v>459.99999999999994</v>
      </c>
      <c r="Z107" s="3">
        <v>46.46</v>
      </c>
    </row>
    <row r="108" spans="1:26" x14ac:dyDescent="0.25">
      <c r="A108">
        <v>1116</v>
      </c>
      <c r="B108" s="2">
        <v>41768</v>
      </c>
      <c r="C108">
        <v>9</v>
      </c>
      <c r="D108" t="s">
        <v>125</v>
      </c>
      <c r="E108" t="s">
        <v>126</v>
      </c>
      <c r="F108" t="s">
        <v>127</v>
      </c>
      <c r="G108" t="s">
        <v>128</v>
      </c>
      <c r="H108">
        <v>99999</v>
      </c>
      <c r="I108" t="s">
        <v>30</v>
      </c>
      <c r="J108" t="s">
        <v>129</v>
      </c>
      <c r="K108" t="s">
        <v>32</v>
      </c>
      <c r="L108" s="2">
        <v>41770</v>
      </c>
      <c r="M108" t="s">
        <v>46</v>
      </c>
      <c r="N108" t="s">
        <v>130</v>
      </c>
      <c r="O108" t="s">
        <v>126</v>
      </c>
      <c r="P108" t="s">
        <v>127</v>
      </c>
      <c r="Q108" t="s">
        <v>128</v>
      </c>
      <c r="R108">
        <v>99999</v>
      </c>
      <c r="S108" t="s">
        <v>30</v>
      </c>
      <c r="T108" t="s">
        <v>35</v>
      </c>
      <c r="U108" t="s">
        <v>131</v>
      </c>
      <c r="V108" t="s">
        <v>132</v>
      </c>
      <c r="W108" s="3">
        <v>19.5</v>
      </c>
      <c r="X108">
        <v>82</v>
      </c>
      <c r="Y108" s="4">
        <v>1599</v>
      </c>
      <c r="Z108" s="3">
        <v>153.50399999999999</v>
      </c>
    </row>
    <row r="109" spans="1:26" x14ac:dyDescent="0.25">
      <c r="A109">
        <v>1117</v>
      </c>
      <c r="B109" s="2">
        <v>41768</v>
      </c>
      <c r="C109">
        <v>9</v>
      </c>
      <c r="D109" t="s">
        <v>125</v>
      </c>
      <c r="E109" t="s">
        <v>126</v>
      </c>
      <c r="F109" t="s">
        <v>127</v>
      </c>
      <c r="G109" t="s">
        <v>128</v>
      </c>
      <c r="H109">
        <v>99999</v>
      </c>
      <c r="I109" t="s">
        <v>30</v>
      </c>
      <c r="J109" t="s">
        <v>129</v>
      </c>
      <c r="K109" t="s">
        <v>32</v>
      </c>
      <c r="L109" s="2">
        <v>41770</v>
      </c>
      <c r="M109" t="s">
        <v>46</v>
      </c>
      <c r="N109" t="s">
        <v>130</v>
      </c>
      <c r="O109" t="s">
        <v>126</v>
      </c>
      <c r="P109" t="s">
        <v>127</v>
      </c>
      <c r="Q109" t="s">
        <v>128</v>
      </c>
      <c r="R109">
        <v>99999</v>
      </c>
      <c r="S109" t="s">
        <v>30</v>
      </c>
      <c r="T109" t="s">
        <v>35</v>
      </c>
      <c r="U109" t="s">
        <v>133</v>
      </c>
      <c r="V109" t="s">
        <v>134</v>
      </c>
      <c r="W109" s="3">
        <v>34.799999999999997</v>
      </c>
      <c r="X109">
        <v>37</v>
      </c>
      <c r="Y109" s="4">
        <v>1287.5999999999999</v>
      </c>
      <c r="Z109" s="3">
        <v>132.62279999999998</v>
      </c>
    </row>
    <row r="110" spans="1:26" x14ac:dyDescent="0.25">
      <c r="A110">
        <v>1118</v>
      </c>
      <c r="B110" s="2">
        <v>41765</v>
      </c>
      <c r="C110">
        <v>6</v>
      </c>
      <c r="D110" t="s">
        <v>82</v>
      </c>
      <c r="E110" t="s">
        <v>83</v>
      </c>
      <c r="F110" t="s">
        <v>84</v>
      </c>
      <c r="G110" t="s">
        <v>85</v>
      </c>
      <c r="H110">
        <v>99999</v>
      </c>
      <c r="I110" t="s">
        <v>30</v>
      </c>
      <c r="J110" t="s">
        <v>86</v>
      </c>
      <c r="K110" t="s">
        <v>61</v>
      </c>
      <c r="L110">
        <v>41767</v>
      </c>
      <c r="M110" t="s">
        <v>33</v>
      </c>
      <c r="N110" t="s">
        <v>87</v>
      </c>
      <c r="O110" t="s">
        <v>83</v>
      </c>
      <c r="P110" t="s">
        <v>84</v>
      </c>
      <c r="Q110" t="s">
        <v>85</v>
      </c>
      <c r="R110">
        <v>99999</v>
      </c>
      <c r="S110" t="s">
        <v>30</v>
      </c>
      <c r="T110" t="s">
        <v>48</v>
      </c>
      <c r="U110" t="s">
        <v>36</v>
      </c>
      <c r="V110" t="s">
        <v>37</v>
      </c>
      <c r="W110" s="3">
        <v>14</v>
      </c>
      <c r="X110">
        <v>84</v>
      </c>
      <c r="Y110" s="4">
        <v>1176</v>
      </c>
      <c r="Z110" s="3">
        <v>112.896</v>
      </c>
    </row>
    <row r="111" spans="1:26" x14ac:dyDescent="0.25">
      <c r="A111">
        <v>1119</v>
      </c>
      <c r="B111" s="2">
        <v>41767</v>
      </c>
      <c r="C111">
        <v>8</v>
      </c>
      <c r="D111" t="s">
        <v>56</v>
      </c>
      <c r="E111" t="s">
        <v>57</v>
      </c>
      <c r="F111" t="s">
        <v>58</v>
      </c>
      <c r="G111" t="s">
        <v>59</v>
      </c>
      <c r="H111">
        <v>99999</v>
      </c>
      <c r="I111" t="s">
        <v>30</v>
      </c>
      <c r="J111" t="s">
        <v>60</v>
      </c>
      <c r="K111" t="s">
        <v>61</v>
      </c>
      <c r="L111">
        <v>41769</v>
      </c>
      <c r="M111" t="s">
        <v>33</v>
      </c>
      <c r="N111" t="s">
        <v>63</v>
      </c>
      <c r="O111" t="s">
        <v>57</v>
      </c>
      <c r="P111" t="s">
        <v>58</v>
      </c>
      <c r="Q111" t="s">
        <v>59</v>
      </c>
      <c r="R111">
        <v>99999</v>
      </c>
      <c r="S111" t="s">
        <v>30</v>
      </c>
      <c r="T111" t="s">
        <v>35</v>
      </c>
      <c r="U111" t="s">
        <v>88</v>
      </c>
      <c r="V111" t="s">
        <v>89</v>
      </c>
      <c r="W111" s="3">
        <v>40</v>
      </c>
      <c r="X111">
        <v>73</v>
      </c>
      <c r="Y111" s="4">
        <v>2920</v>
      </c>
      <c r="Z111" s="3">
        <v>283.24</v>
      </c>
    </row>
    <row r="112" spans="1:26" x14ac:dyDescent="0.25">
      <c r="A112">
        <v>1120</v>
      </c>
      <c r="B112" s="2">
        <v>41767</v>
      </c>
      <c r="C112">
        <v>8</v>
      </c>
      <c r="D112" t="s">
        <v>56</v>
      </c>
      <c r="E112" t="s">
        <v>57</v>
      </c>
      <c r="F112" t="s">
        <v>58</v>
      </c>
      <c r="G112" t="s">
        <v>59</v>
      </c>
      <c r="H112">
        <v>99999</v>
      </c>
      <c r="I112" t="s">
        <v>30</v>
      </c>
      <c r="J112" t="s">
        <v>60</v>
      </c>
      <c r="K112" t="s">
        <v>61</v>
      </c>
      <c r="L112">
        <v>41769</v>
      </c>
      <c r="M112" t="s">
        <v>33</v>
      </c>
      <c r="N112" t="s">
        <v>63</v>
      </c>
      <c r="O112" t="s">
        <v>57</v>
      </c>
      <c r="P112" t="s">
        <v>58</v>
      </c>
      <c r="Q112" t="s">
        <v>59</v>
      </c>
      <c r="R112">
        <v>99999</v>
      </c>
      <c r="S112" t="s">
        <v>30</v>
      </c>
      <c r="T112" t="s">
        <v>35</v>
      </c>
      <c r="U112" t="s">
        <v>64</v>
      </c>
      <c r="V112" t="s">
        <v>65</v>
      </c>
      <c r="W112" s="3">
        <v>9.1999999999999993</v>
      </c>
      <c r="X112">
        <v>51</v>
      </c>
      <c r="Y112" s="4">
        <v>469.2</v>
      </c>
      <c r="Z112" s="3">
        <v>44.573999999999998</v>
      </c>
    </row>
    <row r="113" spans="1:26" x14ac:dyDescent="0.25">
      <c r="A113">
        <v>1121</v>
      </c>
      <c r="B113" s="2">
        <v>41784</v>
      </c>
      <c r="C113">
        <v>25</v>
      </c>
      <c r="D113" t="s">
        <v>137</v>
      </c>
      <c r="E113" t="s">
        <v>138</v>
      </c>
      <c r="F113" t="s">
        <v>99</v>
      </c>
      <c r="G113" t="s">
        <v>100</v>
      </c>
      <c r="H113">
        <v>99999</v>
      </c>
      <c r="I113" t="s">
        <v>30</v>
      </c>
      <c r="J113" t="s">
        <v>101</v>
      </c>
      <c r="K113" t="s">
        <v>45</v>
      </c>
      <c r="L113">
        <v>41786</v>
      </c>
      <c r="M113" t="s">
        <v>46</v>
      </c>
      <c r="N113" t="s">
        <v>139</v>
      </c>
      <c r="O113" t="s">
        <v>138</v>
      </c>
      <c r="P113" t="s">
        <v>99</v>
      </c>
      <c r="Q113" t="s">
        <v>100</v>
      </c>
      <c r="R113">
        <v>99999</v>
      </c>
      <c r="S113" t="s">
        <v>30</v>
      </c>
      <c r="T113" t="s">
        <v>79</v>
      </c>
      <c r="U113" t="s">
        <v>146</v>
      </c>
      <c r="V113" t="s">
        <v>65</v>
      </c>
      <c r="W113" s="3">
        <v>10</v>
      </c>
      <c r="X113">
        <v>66</v>
      </c>
      <c r="Y113" s="4">
        <v>660</v>
      </c>
      <c r="Z113" s="3">
        <v>68.64</v>
      </c>
    </row>
    <row r="114" spans="1:26" x14ac:dyDescent="0.25">
      <c r="A114">
        <v>1122</v>
      </c>
      <c r="B114" s="2">
        <v>41785</v>
      </c>
      <c r="C114">
        <v>26</v>
      </c>
      <c r="D114" t="s">
        <v>140</v>
      </c>
      <c r="E114" t="s">
        <v>141</v>
      </c>
      <c r="F114" t="s">
        <v>115</v>
      </c>
      <c r="G114" t="s">
        <v>116</v>
      </c>
      <c r="H114">
        <v>99999</v>
      </c>
      <c r="I114" t="s">
        <v>30</v>
      </c>
      <c r="J114" t="s">
        <v>94</v>
      </c>
      <c r="K114" t="s">
        <v>95</v>
      </c>
      <c r="L114">
        <v>41787</v>
      </c>
      <c r="M114" t="s">
        <v>62</v>
      </c>
      <c r="N114" t="s">
        <v>142</v>
      </c>
      <c r="O114" t="s">
        <v>141</v>
      </c>
      <c r="P114" t="s">
        <v>115</v>
      </c>
      <c r="Q114" t="s">
        <v>116</v>
      </c>
      <c r="R114">
        <v>99999</v>
      </c>
      <c r="S114" t="s">
        <v>30</v>
      </c>
      <c r="T114" t="s">
        <v>48</v>
      </c>
      <c r="U114" t="s">
        <v>147</v>
      </c>
      <c r="V114" t="s">
        <v>148</v>
      </c>
      <c r="W114" s="3">
        <v>21.35</v>
      </c>
      <c r="X114">
        <v>36</v>
      </c>
      <c r="Y114" s="4">
        <v>768.6</v>
      </c>
      <c r="Z114" s="3">
        <v>74.554200000000009</v>
      </c>
    </row>
    <row r="115" spans="1:26" x14ac:dyDescent="0.25">
      <c r="A115">
        <v>1123</v>
      </c>
      <c r="B115" s="2">
        <v>41785</v>
      </c>
      <c r="C115">
        <v>26</v>
      </c>
      <c r="D115" t="s">
        <v>140</v>
      </c>
      <c r="E115" t="s">
        <v>141</v>
      </c>
      <c r="F115" t="s">
        <v>115</v>
      </c>
      <c r="G115" t="s">
        <v>116</v>
      </c>
      <c r="H115">
        <v>99999</v>
      </c>
      <c r="I115" t="s">
        <v>30</v>
      </c>
      <c r="J115" t="s">
        <v>94</v>
      </c>
      <c r="K115" t="s">
        <v>95</v>
      </c>
      <c r="L115" s="2">
        <v>41787</v>
      </c>
      <c r="M115" t="s">
        <v>62</v>
      </c>
      <c r="N115" t="s">
        <v>142</v>
      </c>
      <c r="O115" t="s">
        <v>141</v>
      </c>
      <c r="P115" t="s">
        <v>115</v>
      </c>
      <c r="Q115" t="s">
        <v>116</v>
      </c>
      <c r="R115">
        <v>99999</v>
      </c>
      <c r="S115" t="s">
        <v>30</v>
      </c>
      <c r="T115" t="s">
        <v>48</v>
      </c>
      <c r="U115" t="s">
        <v>80</v>
      </c>
      <c r="V115" t="s">
        <v>81</v>
      </c>
      <c r="W115" s="3">
        <v>9.65</v>
      </c>
      <c r="X115">
        <v>87</v>
      </c>
      <c r="Y115" s="4">
        <v>839.55000000000007</v>
      </c>
      <c r="Z115" s="3">
        <v>87.313200000000009</v>
      </c>
    </row>
    <row r="116" spans="1:26" x14ac:dyDescent="0.25">
      <c r="A116">
        <v>1124</v>
      </c>
      <c r="B116" s="2">
        <v>41785</v>
      </c>
      <c r="C116">
        <v>26</v>
      </c>
      <c r="D116" t="s">
        <v>140</v>
      </c>
      <c r="E116" t="s">
        <v>141</v>
      </c>
      <c r="F116" t="s">
        <v>115</v>
      </c>
      <c r="G116" t="s">
        <v>116</v>
      </c>
      <c r="H116">
        <v>99999</v>
      </c>
      <c r="I116" t="s">
        <v>30</v>
      </c>
      <c r="J116" t="s">
        <v>94</v>
      </c>
      <c r="K116" t="s">
        <v>95</v>
      </c>
      <c r="L116" s="2">
        <v>41787</v>
      </c>
      <c r="M116" t="s">
        <v>62</v>
      </c>
      <c r="N116" t="s">
        <v>142</v>
      </c>
      <c r="O116" t="s">
        <v>141</v>
      </c>
      <c r="P116" t="s">
        <v>115</v>
      </c>
      <c r="Q116" t="s">
        <v>116</v>
      </c>
      <c r="R116">
        <v>99999</v>
      </c>
      <c r="S116" t="s">
        <v>30</v>
      </c>
      <c r="T116" t="s">
        <v>48</v>
      </c>
      <c r="U116" t="s">
        <v>123</v>
      </c>
      <c r="V116" t="s">
        <v>124</v>
      </c>
      <c r="W116" s="3">
        <v>18.399999999999999</v>
      </c>
      <c r="X116">
        <v>64</v>
      </c>
      <c r="Y116" s="4">
        <v>1177.5999999999999</v>
      </c>
      <c r="Z116" s="3">
        <v>115.40479999999999</v>
      </c>
    </row>
    <row r="117" spans="1:26" x14ac:dyDescent="0.25">
      <c r="A117">
        <v>1125</v>
      </c>
      <c r="B117" s="2">
        <v>41788</v>
      </c>
      <c r="C117">
        <v>29</v>
      </c>
      <c r="D117" t="s">
        <v>66</v>
      </c>
      <c r="E117" t="s">
        <v>67</v>
      </c>
      <c r="F117" t="s">
        <v>68</v>
      </c>
      <c r="G117" t="s">
        <v>69</v>
      </c>
      <c r="H117">
        <v>99999</v>
      </c>
      <c r="I117" t="s">
        <v>30</v>
      </c>
      <c r="J117" t="s">
        <v>70</v>
      </c>
      <c r="K117" t="s">
        <v>32</v>
      </c>
      <c r="L117" s="2">
        <v>41790</v>
      </c>
      <c r="M117" t="s">
        <v>33</v>
      </c>
      <c r="N117" t="s">
        <v>71</v>
      </c>
      <c r="O117" t="s">
        <v>67</v>
      </c>
      <c r="P117" t="s">
        <v>68</v>
      </c>
      <c r="Q117" t="s">
        <v>69</v>
      </c>
      <c r="R117">
        <v>99999</v>
      </c>
      <c r="S117" t="s">
        <v>30</v>
      </c>
      <c r="T117" t="s">
        <v>35</v>
      </c>
      <c r="U117" t="s">
        <v>36</v>
      </c>
      <c r="V117" t="s">
        <v>37</v>
      </c>
      <c r="W117" s="3">
        <v>14</v>
      </c>
      <c r="X117">
        <v>21</v>
      </c>
      <c r="Y117" s="4">
        <v>294</v>
      </c>
      <c r="Z117" s="3">
        <v>30.870000000000005</v>
      </c>
    </row>
    <row r="118" spans="1:26" x14ac:dyDescent="0.25">
      <c r="A118">
        <v>1126</v>
      </c>
      <c r="B118" s="2">
        <v>41765</v>
      </c>
      <c r="C118">
        <v>6</v>
      </c>
      <c r="D118" t="s">
        <v>82</v>
      </c>
      <c r="E118" t="s">
        <v>83</v>
      </c>
      <c r="F118" t="s">
        <v>84</v>
      </c>
      <c r="G118" t="s">
        <v>85</v>
      </c>
      <c r="H118">
        <v>99999</v>
      </c>
      <c r="I118" t="s">
        <v>30</v>
      </c>
      <c r="J118" t="s">
        <v>86</v>
      </c>
      <c r="K118" t="s">
        <v>61</v>
      </c>
      <c r="L118" s="2">
        <v>41767</v>
      </c>
      <c r="M118" t="s">
        <v>62</v>
      </c>
      <c r="N118" t="s">
        <v>87</v>
      </c>
      <c r="O118" t="s">
        <v>83</v>
      </c>
      <c r="P118" t="s">
        <v>84</v>
      </c>
      <c r="Q118" t="s">
        <v>85</v>
      </c>
      <c r="R118">
        <v>99999</v>
      </c>
      <c r="S118" t="s">
        <v>30</v>
      </c>
      <c r="T118" t="s">
        <v>35</v>
      </c>
      <c r="U118" t="s">
        <v>72</v>
      </c>
      <c r="V118" t="s">
        <v>73</v>
      </c>
      <c r="W118" s="3">
        <v>12.75</v>
      </c>
      <c r="X118">
        <v>19</v>
      </c>
      <c r="Y118" s="4">
        <v>242.25</v>
      </c>
      <c r="Z118" s="3">
        <v>24.46725</v>
      </c>
    </row>
    <row r="119" spans="1:26" x14ac:dyDescent="0.25">
      <c r="A119">
        <v>1128</v>
      </c>
      <c r="B119" s="2">
        <v>41763</v>
      </c>
      <c r="C119">
        <v>4</v>
      </c>
      <c r="D119" t="s">
        <v>40</v>
      </c>
      <c r="E119" t="s">
        <v>41</v>
      </c>
      <c r="F119" t="s">
        <v>42</v>
      </c>
      <c r="G119" t="s">
        <v>43</v>
      </c>
      <c r="H119">
        <v>99999</v>
      </c>
      <c r="I119" t="s">
        <v>30</v>
      </c>
      <c r="J119" t="s">
        <v>44</v>
      </c>
      <c r="K119" t="s">
        <v>45</v>
      </c>
      <c r="L119" s="2">
        <v>41765</v>
      </c>
      <c r="M119" t="s">
        <v>46</v>
      </c>
      <c r="N119" t="s">
        <v>47</v>
      </c>
      <c r="O119" t="s">
        <v>41</v>
      </c>
      <c r="P119" t="s">
        <v>42</v>
      </c>
      <c r="Q119" t="s">
        <v>43</v>
      </c>
      <c r="R119">
        <v>99999</v>
      </c>
      <c r="S119" t="s">
        <v>30</v>
      </c>
      <c r="T119" t="s">
        <v>48</v>
      </c>
      <c r="U119" t="s">
        <v>149</v>
      </c>
      <c r="V119" t="s">
        <v>110</v>
      </c>
      <c r="W119" s="3">
        <v>81</v>
      </c>
      <c r="X119">
        <v>23</v>
      </c>
      <c r="Y119" s="4">
        <v>1863</v>
      </c>
      <c r="Z119" s="3">
        <v>195.61500000000001</v>
      </c>
    </row>
    <row r="120" spans="1:26" x14ac:dyDescent="0.25">
      <c r="A120">
        <v>1129</v>
      </c>
      <c r="B120" s="2">
        <v>41763</v>
      </c>
      <c r="C120">
        <v>4</v>
      </c>
      <c r="D120" t="s">
        <v>40</v>
      </c>
      <c r="E120" t="s">
        <v>41</v>
      </c>
      <c r="F120" t="s">
        <v>42</v>
      </c>
      <c r="G120" t="s">
        <v>43</v>
      </c>
      <c r="H120">
        <v>99999</v>
      </c>
      <c r="I120" t="s">
        <v>30</v>
      </c>
      <c r="J120" t="s">
        <v>44</v>
      </c>
      <c r="K120" t="s">
        <v>45</v>
      </c>
      <c r="L120" s="2">
        <v>41765</v>
      </c>
      <c r="M120" t="s">
        <v>46</v>
      </c>
      <c r="N120" t="s">
        <v>47</v>
      </c>
      <c r="O120" t="s">
        <v>41</v>
      </c>
      <c r="P120" t="s">
        <v>42</v>
      </c>
      <c r="Q120" t="s">
        <v>43</v>
      </c>
      <c r="R120">
        <v>99999</v>
      </c>
      <c r="S120" t="s">
        <v>30</v>
      </c>
      <c r="T120" t="s">
        <v>48</v>
      </c>
      <c r="U120" t="s">
        <v>150</v>
      </c>
      <c r="V120" t="s">
        <v>151</v>
      </c>
      <c r="W120" s="3">
        <v>7</v>
      </c>
      <c r="X120">
        <v>72</v>
      </c>
      <c r="Y120" s="4">
        <v>504</v>
      </c>
      <c r="Z120" s="3">
        <v>51.912000000000006</v>
      </c>
    </row>
    <row r="121" spans="1:26" x14ac:dyDescent="0.25">
      <c r="A121">
        <v>1131</v>
      </c>
      <c r="B121" s="2">
        <v>41767</v>
      </c>
      <c r="C121">
        <v>8</v>
      </c>
      <c r="D121" t="s">
        <v>56</v>
      </c>
      <c r="E121" t="s">
        <v>57</v>
      </c>
      <c r="F121" t="s">
        <v>58</v>
      </c>
      <c r="G121" t="s">
        <v>59</v>
      </c>
      <c r="H121">
        <v>99999</v>
      </c>
      <c r="I121" t="s">
        <v>30</v>
      </c>
      <c r="J121" t="s">
        <v>60</v>
      </c>
      <c r="K121" t="s">
        <v>61</v>
      </c>
      <c r="L121" s="2">
        <v>41769</v>
      </c>
      <c r="M121" t="s">
        <v>62</v>
      </c>
      <c r="N121" t="s">
        <v>63</v>
      </c>
      <c r="O121" t="s">
        <v>57</v>
      </c>
      <c r="P121" t="s">
        <v>58</v>
      </c>
      <c r="Q121" t="s">
        <v>59</v>
      </c>
      <c r="R121">
        <v>99999</v>
      </c>
      <c r="S121" t="s">
        <v>30</v>
      </c>
      <c r="T121" t="s">
        <v>48</v>
      </c>
      <c r="U121" t="s">
        <v>133</v>
      </c>
      <c r="V121" t="s">
        <v>134</v>
      </c>
      <c r="W121" s="3">
        <v>34.799999999999997</v>
      </c>
      <c r="X121">
        <v>22</v>
      </c>
      <c r="Y121" s="4">
        <v>765.59999999999991</v>
      </c>
      <c r="Z121" s="3">
        <v>75.02879999999999</v>
      </c>
    </row>
    <row r="122" spans="1:26" x14ac:dyDescent="0.25">
      <c r="A122">
        <v>1134</v>
      </c>
      <c r="B122" s="2">
        <v>41762</v>
      </c>
      <c r="C122">
        <v>3</v>
      </c>
      <c r="D122" t="s">
        <v>74</v>
      </c>
      <c r="E122" t="s">
        <v>75</v>
      </c>
      <c r="F122" t="s">
        <v>76</v>
      </c>
      <c r="G122" t="s">
        <v>77</v>
      </c>
      <c r="H122">
        <v>99999</v>
      </c>
      <c r="I122" t="s">
        <v>30</v>
      </c>
      <c r="J122" t="s">
        <v>31</v>
      </c>
      <c r="K122" t="s">
        <v>32</v>
      </c>
      <c r="L122" s="2">
        <v>41764</v>
      </c>
      <c r="M122" t="s">
        <v>33</v>
      </c>
      <c r="N122" t="s">
        <v>78</v>
      </c>
      <c r="O122" t="s">
        <v>75</v>
      </c>
      <c r="P122" t="s">
        <v>76</v>
      </c>
      <c r="Q122" t="s">
        <v>77</v>
      </c>
      <c r="R122">
        <v>99999</v>
      </c>
      <c r="S122" t="s">
        <v>30</v>
      </c>
      <c r="T122" t="s">
        <v>79</v>
      </c>
      <c r="U122" t="s">
        <v>135</v>
      </c>
      <c r="V122" t="s">
        <v>112</v>
      </c>
      <c r="W122" s="3">
        <v>10</v>
      </c>
      <c r="X122">
        <v>82</v>
      </c>
      <c r="Y122" s="4">
        <v>820</v>
      </c>
      <c r="Z122" s="3">
        <v>85.28</v>
      </c>
    </row>
    <row r="123" spans="1:26" x14ac:dyDescent="0.25">
      <c r="A123">
        <v>1135</v>
      </c>
      <c r="B123" s="2">
        <v>41762</v>
      </c>
      <c r="C123">
        <v>3</v>
      </c>
      <c r="D123" t="s">
        <v>74</v>
      </c>
      <c r="E123" t="s">
        <v>75</v>
      </c>
      <c r="F123" t="s">
        <v>76</v>
      </c>
      <c r="G123" t="s">
        <v>77</v>
      </c>
      <c r="H123">
        <v>99999</v>
      </c>
      <c r="I123" t="s">
        <v>30</v>
      </c>
      <c r="J123" t="s">
        <v>31</v>
      </c>
      <c r="K123" t="s">
        <v>32</v>
      </c>
      <c r="L123" s="2">
        <v>41764</v>
      </c>
      <c r="M123" t="s">
        <v>33</v>
      </c>
      <c r="N123" t="s">
        <v>78</v>
      </c>
      <c r="O123" t="s">
        <v>75</v>
      </c>
      <c r="P123" t="s">
        <v>76</v>
      </c>
      <c r="Q123" t="s">
        <v>77</v>
      </c>
      <c r="R123">
        <v>99999</v>
      </c>
      <c r="S123" t="s">
        <v>30</v>
      </c>
      <c r="T123" t="s">
        <v>79</v>
      </c>
      <c r="U123" t="s">
        <v>88</v>
      </c>
      <c r="V123" t="s">
        <v>89</v>
      </c>
      <c r="W123" s="3">
        <v>40</v>
      </c>
      <c r="X123">
        <v>98</v>
      </c>
      <c r="Y123" s="4">
        <v>3920</v>
      </c>
      <c r="Z123" s="3">
        <v>411.6</v>
      </c>
    </row>
    <row r="124" spans="1:26" x14ac:dyDescent="0.25">
      <c r="A124">
        <v>1138</v>
      </c>
      <c r="B124" s="2">
        <v>41797</v>
      </c>
      <c r="C124">
        <v>7</v>
      </c>
      <c r="D124" t="s">
        <v>104</v>
      </c>
      <c r="E124" t="s">
        <v>105</v>
      </c>
      <c r="F124" t="s">
        <v>106</v>
      </c>
      <c r="G124" t="s">
        <v>107</v>
      </c>
      <c r="H124">
        <v>99999</v>
      </c>
      <c r="I124" t="s">
        <v>30</v>
      </c>
      <c r="J124" t="s">
        <v>60</v>
      </c>
      <c r="K124" t="s">
        <v>61</v>
      </c>
      <c r="L124" s="2"/>
      <c r="N124" t="s">
        <v>108</v>
      </c>
      <c r="O124" t="s">
        <v>105</v>
      </c>
      <c r="P124" t="s">
        <v>106</v>
      </c>
      <c r="Q124" t="s">
        <v>107</v>
      </c>
      <c r="R124">
        <v>99999</v>
      </c>
      <c r="S124" t="s">
        <v>30</v>
      </c>
      <c r="U124" t="s">
        <v>55</v>
      </c>
      <c r="V124" t="s">
        <v>37</v>
      </c>
      <c r="W124" s="3">
        <v>46</v>
      </c>
      <c r="X124">
        <v>71</v>
      </c>
      <c r="Y124" s="4">
        <v>3266</v>
      </c>
      <c r="Z124" s="3">
        <v>310.27</v>
      </c>
    </row>
    <row r="125" spans="1:26" x14ac:dyDescent="0.25">
      <c r="A125">
        <v>1139</v>
      </c>
      <c r="B125" s="2">
        <v>41800</v>
      </c>
      <c r="C125">
        <v>10</v>
      </c>
      <c r="D125" t="s">
        <v>97</v>
      </c>
      <c r="E125" t="s">
        <v>98</v>
      </c>
      <c r="F125" t="s">
        <v>99</v>
      </c>
      <c r="G125" t="s">
        <v>100</v>
      </c>
      <c r="H125">
        <v>99999</v>
      </c>
      <c r="I125" t="s">
        <v>30</v>
      </c>
      <c r="J125" t="s">
        <v>101</v>
      </c>
      <c r="K125" t="s">
        <v>45</v>
      </c>
      <c r="L125" s="2">
        <v>41802</v>
      </c>
      <c r="M125" t="s">
        <v>46</v>
      </c>
      <c r="N125" t="s">
        <v>102</v>
      </c>
      <c r="O125" t="s">
        <v>98</v>
      </c>
      <c r="P125" t="s">
        <v>99</v>
      </c>
      <c r="Q125" t="s">
        <v>100</v>
      </c>
      <c r="R125">
        <v>99999</v>
      </c>
      <c r="S125" t="s">
        <v>30</v>
      </c>
      <c r="U125" t="s">
        <v>109</v>
      </c>
      <c r="V125" t="s">
        <v>110</v>
      </c>
      <c r="W125" s="3">
        <v>25</v>
      </c>
      <c r="X125">
        <v>40</v>
      </c>
      <c r="Y125" s="4">
        <v>1000</v>
      </c>
      <c r="Z125" s="3">
        <v>105</v>
      </c>
    </row>
    <row r="126" spans="1:26" x14ac:dyDescent="0.25">
      <c r="A126">
        <v>1140</v>
      </c>
      <c r="B126" s="2">
        <v>41800</v>
      </c>
      <c r="C126">
        <v>10</v>
      </c>
      <c r="D126" t="s">
        <v>97</v>
      </c>
      <c r="E126" t="s">
        <v>98</v>
      </c>
      <c r="F126" t="s">
        <v>99</v>
      </c>
      <c r="G126" t="s">
        <v>100</v>
      </c>
      <c r="H126">
        <v>99999</v>
      </c>
      <c r="I126" t="s">
        <v>30</v>
      </c>
      <c r="J126" t="s">
        <v>101</v>
      </c>
      <c r="K126" t="s">
        <v>45</v>
      </c>
      <c r="L126" s="2">
        <v>41802</v>
      </c>
      <c r="M126" t="s">
        <v>46</v>
      </c>
      <c r="N126" t="s">
        <v>102</v>
      </c>
      <c r="O126" t="s">
        <v>98</v>
      </c>
      <c r="P126" t="s">
        <v>99</v>
      </c>
      <c r="Q126" t="s">
        <v>100</v>
      </c>
      <c r="R126">
        <v>99999</v>
      </c>
      <c r="S126" t="s">
        <v>30</v>
      </c>
      <c r="U126" t="s">
        <v>111</v>
      </c>
      <c r="V126" t="s">
        <v>112</v>
      </c>
      <c r="W126" s="3">
        <v>22</v>
      </c>
      <c r="X126">
        <v>80</v>
      </c>
      <c r="Y126" s="4">
        <v>1760</v>
      </c>
      <c r="Z126" s="3">
        <v>172.48</v>
      </c>
    </row>
    <row r="127" spans="1:26" x14ac:dyDescent="0.25">
      <c r="A127">
        <v>1141</v>
      </c>
      <c r="B127" s="2">
        <v>41800</v>
      </c>
      <c r="C127">
        <v>10</v>
      </c>
      <c r="D127" t="s">
        <v>97</v>
      </c>
      <c r="E127" t="s">
        <v>98</v>
      </c>
      <c r="F127" t="s">
        <v>99</v>
      </c>
      <c r="G127" t="s">
        <v>100</v>
      </c>
      <c r="H127">
        <v>99999</v>
      </c>
      <c r="I127" t="s">
        <v>30</v>
      </c>
      <c r="J127" t="s">
        <v>101</v>
      </c>
      <c r="K127" t="s">
        <v>45</v>
      </c>
      <c r="L127" s="2">
        <v>41802</v>
      </c>
      <c r="M127" t="s">
        <v>46</v>
      </c>
      <c r="N127" t="s">
        <v>102</v>
      </c>
      <c r="O127" t="s">
        <v>98</v>
      </c>
      <c r="P127" t="s">
        <v>99</v>
      </c>
      <c r="Q127" t="s">
        <v>100</v>
      </c>
      <c r="R127">
        <v>99999</v>
      </c>
      <c r="S127" t="s">
        <v>30</v>
      </c>
      <c r="U127" t="s">
        <v>64</v>
      </c>
      <c r="V127" t="s">
        <v>65</v>
      </c>
      <c r="W127" s="3">
        <v>9.1999999999999993</v>
      </c>
      <c r="X127">
        <v>38</v>
      </c>
      <c r="Y127" s="4">
        <v>349.59999999999997</v>
      </c>
      <c r="Z127" s="3">
        <v>33.211999999999996</v>
      </c>
    </row>
    <row r="128" spans="1:26" x14ac:dyDescent="0.25">
      <c r="A128">
        <v>1142</v>
      </c>
      <c r="B128" s="2">
        <v>41801</v>
      </c>
      <c r="C128">
        <v>11</v>
      </c>
      <c r="D128" t="s">
        <v>113</v>
      </c>
      <c r="E128" t="s">
        <v>114</v>
      </c>
      <c r="F128" t="s">
        <v>115</v>
      </c>
      <c r="G128" t="s">
        <v>116</v>
      </c>
      <c r="H128">
        <v>99999</v>
      </c>
      <c r="I128" t="s">
        <v>30</v>
      </c>
      <c r="J128" t="s">
        <v>94</v>
      </c>
      <c r="K128" t="s">
        <v>95</v>
      </c>
      <c r="L128" s="2"/>
      <c r="M128" t="s">
        <v>62</v>
      </c>
      <c r="N128" t="s">
        <v>117</v>
      </c>
      <c r="O128" t="s">
        <v>114</v>
      </c>
      <c r="P128" t="s">
        <v>115</v>
      </c>
      <c r="Q128" t="s">
        <v>116</v>
      </c>
      <c r="R128">
        <v>99999</v>
      </c>
      <c r="S128" t="s">
        <v>30</v>
      </c>
      <c r="U128" t="s">
        <v>38</v>
      </c>
      <c r="V128" t="s">
        <v>39</v>
      </c>
      <c r="W128">
        <v>3.5</v>
      </c>
      <c r="X128">
        <v>28</v>
      </c>
      <c r="Y128" s="4">
        <v>98</v>
      </c>
      <c r="Z128" s="3">
        <v>10.290000000000001</v>
      </c>
    </row>
    <row r="129" spans="1:26" x14ac:dyDescent="0.25">
      <c r="A129">
        <v>1143</v>
      </c>
      <c r="B129" s="2">
        <v>41801</v>
      </c>
      <c r="C129">
        <v>11</v>
      </c>
      <c r="D129" t="s">
        <v>113</v>
      </c>
      <c r="E129" t="s">
        <v>114</v>
      </c>
      <c r="F129" t="s">
        <v>115</v>
      </c>
      <c r="G129" t="s">
        <v>116</v>
      </c>
      <c r="H129">
        <v>99999</v>
      </c>
      <c r="I129" t="s">
        <v>30</v>
      </c>
      <c r="J129" t="s">
        <v>94</v>
      </c>
      <c r="K129" t="s">
        <v>95</v>
      </c>
      <c r="L129" s="2"/>
      <c r="M129" t="s">
        <v>62</v>
      </c>
      <c r="N129" t="s">
        <v>117</v>
      </c>
      <c r="O129" t="s">
        <v>114</v>
      </c>
      <c r="P129" t="s">
        <v>115</v>
      </c>
      <c r="Q129" t="s">
        <v>116</v>
      </c>
      <c r="R129">
        <v>99999</v>
      </c>
      <c r="S129" t="s">
        <v>30</v>
      </c>
      <c r="U129" t="s">
        <v>103</v>
      </c>
      <c r="V129" t="s">
        <v>37</v>
      </c>
      <c r="W129">
        <v>2.99</v>
      </c>
      <c r="X129">
        <v>60</v>
      </c>
      <c r="Y129" s="4">
        <v>179.4</v>
      </c>
      <c r="Z129" s="3">
        <v>17.581200000000003</v>
      </c>
    </row>
    <row r="130" spans="1:26" x14ac:dyDescent="0.25">
      <c r="A130">
        <v>1144</v>
      </c>
      <c r="B130" s="2">
        <v>41791</v>
      </c>
      <c r="C130">
        <v>1</v>
      </c>
      <c r="D130" t="s">
        <v>118</v>
      </c>
      <c r="E130" t="s">
        <v>119</v>
      </c>
      <c r="F130" t="s">
        <v>120</v>
      </c>
      <c r="G130" t="s">
        <v>121</v>
      </c>
      <c r="H130">
        <v>99999</v>
      </c>
      <c r="I130" t="s">
        <v>30</v>
      </c>
      <c r="J130" t="s">
        <v>60</v>
      </c>
      <c r="K130" t="s">
        <v>61</v>
      </c>
      <c r="L130" s="2"/>
      <c r="N130" t="s">
        <v>122</v>
      </c>
      <c r="O130" t="s">
        <v>119</v>
      </c>
      <c r="P130" t="s">
        <v>120</v>
      </c>
      <c r="Q130" t="s">
        <v>121</v>
      </c>
      <c r="R130">
        <v>99999</v>
      </c>
      <c r="S130" t="s">
        <v>30</v>
      </c>
      <c r="U130" t="s">
        <v>54</v>
      </c>
      <c r="V130" t="s">
        <v>37</v>
      </c>
      <c r="W130">
        <v>18</v>
      </c>
      <c r="X130">
        <v>33</v>
      </c>
      <c r="Y130" s="4">
        <v>594</v>
      </c>
      <c r="Z130" s="3">
        <v>58.212000000000003</v>
      </c>
    </row>
    <row r="131" spans="1:26" x14ac:dyDescent="0.25">
      <c r="A131">
        <v>1145</v>
      </c>
      <c r="B131" s="2">
        <v>41791</v>
      </c>
      <c r="C131">
        <v>1</v>
      </c>
      <c r="D131" t="s">
        <v>118</v>
      </c>
      <c r="E131" t="s">
        <v>119</v>
      </c>
      <c r="F131" t="s">
        <v>120</v>
      </c>
      <c r="G131" t="s">
        <v>121</v>
      </c>
      <c r="H131">
        <v>99999</v>
      </c>
      <c r="I131" t="s">
        <v>30</v>
      </c>
      <c r="J131" t="s">
        <v>60</v>
      </c>
      <c r="K131" t="s">
        <v>61</v>
      </c>
      <c r="L131" s="2"/>
      <c r="N131" t="s">
        <v>122</v>
      </c>
      <c r="O131" t="s">
        <v>119</v>
      </c>
      <c r="P131" t="s">
        <v>120</v>
      </c>
      <c r="Q131" t="s">
        <v>121</v>
      </c>
      <c r="R131">
        <v>99999</v>
      </c>
      <c r="S131" t="s">
        <v>30</v>
      </c>
      <c r="U131" t="s">
        <v>55</v>
      </c>
      <c r="V131" t="s">
        <v>37</v>
      </c>
      <c r="W131">
        <v>46</v>
      </c>
      <c r="X131">
        <v>22</v>
      </c>
      <c r="Y131" s="4">
        <v>1012</v>
      </c>
      <c r="Z131" s="3">
        <v>101.2</v>
      </c>
    </row>
    <row r="132" spans="1:26" x14ac:dyDescent="0.25">
      <c r="A132">
        <v>1146</v>
      </c>
      <c r="B132" s="2">
        <v>41791</v>
      </c>
      <c r="C132">
        <v>1</v>
      </c>
      <c r="D132" t="s">
        <v>118</v>
      </c>
      <c r="E132" t="s">
        <v>119</v>
      </c>
      <c r="F132" t="s">
        <v>120</v>
      </c>
      <c r="G132" t="s">
        <v>121</v>
      </c>
      <c r="H132">
        <v>99999</v>
      </c>
      <c r="I132" t="s">
        <v>30</v>
      </c>
      <c r="J132" t="s">
        <v>60</v>
      </c>
      <c r="K132" t="s">
        <v>61</v>
      </c>
      <c r="L132" s="2"/>
      <c r="N132" t="s">
        <v>122</v>
      </c>
      <c r="O132" t="s">
        <v>119</v>
      </c>
      <c r="P132" t="s">
        <v>120</v>
      </c>
      <c r="Q132" t="s">
        <v>121</v>
      </c>
      <c r="R132">
        <v>99999</v>
      </c>
      <c r="S132" t="s">
        <v>30</v>
      </c>
      <c r="U132" t="s">
        <v>103</v>
      </c>
      <c r="V132" t="s">
        <v>37</v>
      </c>
      <c r="W132">
        <v>2.99</v>
      </c>
      <c r="X132">
        <v>51</v>
      </c>
      <c r="Y132" s="4">
        <v>152.49</v>
      </c>
      <c r="Z132" s="3">
        <v>14.944020000000002</v>
      </c>
    </row>
    <row r="133" spans="1:26" x14ac:dyDescent="0.25">
      <c r="A133">
        <v>1147</v>
      </c>
      <c r="B133" s="2">
        <v>41818</v>
      </c>
      <c r="C133">
        <v>28</v>
      </c>
      <c r="D133" t="s">
        <v>90</v>
      </c>
      <c r="E133" t="s">
        <v>91</v>
      </c>
      <c r="F133" t="s">
        <v>92</v>
      </c>
      <c r="G133" t="s">
        <v>93</v>
      </c>
      <c r="H133">
        <v>99999</v>
      </c>
      <c r="I133" t="s">
        <v>30</v>
      </c>
      <c r="J133" t="s">
        <v>94</v>
      </c>
      <c r="K133" t="s">
        <v>95</v>
      </c>
      <c r="L133" s="2">
        <v>41820</v>
      </c>
      <c r="M133" t="s">
        <v>62</v>
      </c>
      <c r="N133" t="s">
        <v>96</v>
      </c>
      <c r="O133" t="s">
        <v>91</v>
      </c>
      <c r="P133" t="s">
        <v>92</v>
      </c>
      <c r="Q133" t="s">
        <v>93</v>
      </c>
      <c r="R133">
        <v>99999</v>
      </c>
      <c r="S133" t="s">
        <v>30</v>
      </c>
      <c r="T133" t="s">
        <v>48</v>
      </c>
      <c r="U133" t="s">
        <v>80</v>
      </c>
      <c r="V133" t="s">
        <v>81</v>
      </c>
      <c r="W133">
        <v>9.65</v>
      </c>
      <c r="X133">
        <v>60</v>
      </c>
      <c r="Y133" s="4">
        <v>579</v>
      </c>
      <c r="Z133" s="3">
        <v>57.321000000000005</v>
      </c>
    </row>
    <row r="134" spans="1:26" x14ac:dyDescent="0.25">
      <c r="A134">
        <v>1148</v>
      </c>
      <c r="B134" s="2">
        <v>41818</v>
      </c>
      <c r="C134">
        <v>28</v>
      </c>
      <c r="D134" t="s">
        <v>90</v>
      </c>
      <c r="E134" t="s">
        <v>91</v>
      </c>
      <c r="F134" t="s">
        <v>92</v>
      </c>
      <c r="G134" t="s">
        <v>93</v>
      </c>
      <c r="H134">
        <v>99999</v>
      </c>
      <c r="I134" t="s">
        <v>30</v>
      </c>
      <c r="J134" t="s">
        <v>94</v>
      </c>
      <c r="K134" t="s">
        <v>95</v>
      </c>
      <c r="L134" s="2">
        <v>41820</v>
      </c>
      <c r="M134" t="s">
        <v>62</v>
      </c>
      <c r="N134" t="s">
        <v>96</v>
      </c>
      <c r="O134" t="s">
        <v>91</v>
      </c>
      <c r="P134" t="s">
        <v>92</v>
      </c>
      <c r="Q134" t="s">
        <v>93</v>
      </c>
      <c r="R134">
        <v>99999</v>
      </c>
      <c r="S134" t="s">
        <v>30</v>
      </c>
      <c r="T134" t="s">
        <v>48</v>
      </c>
      <c r="U134" t="s">
        <v>123</v>
      </c>
      <c r="V134" t="s">
        <v>124</v>
      </c>
      <c r="W134">
        <v>18.399999999999999</v>
      </c>
      <c r="X134">
        <v>98</v>
      </c>
      <c r="Y134" s="4">
        <v>1803.1999999999998</v>
      </c>
      <c r="Z134" s="3">
        <v>183.9264</v>
      </c>
    </row>
    <row r="135" spans="1:26" x14ac:dyDescent="0.25">
      <c r="A135">
        <v>1149</v>
      </c>
      <c r="B135" s="2">
        <v>41799</v>
      </c>
      <c r="C135">
        <v>9</v>
      </c>
      <c r="D135" t="s">
        <v>125</v>
      </c>
      <c r="E135" t="s">
        <v>126</v>
      </c>
      <c r="F135" t="s">
        <v>127</v>
      </c>
      <c r="G135" t="s">
        <v>128</v>
      </c>
      <c r="H135">
        <v>99999</v>
      </c>
      <c r="I135" t="s">
        <v>30</v>
      </c>
      <c r="J135" t="s">
        <v>129</v>
      </c>
      <c r="K135" t="s">
        <v>32</v>
      </c>
      <c r="L135" s="2">
        <v>41801</v>
      </c>
      <c r="M135" t="s">
        <v>46</v>
      </c>
      <c r="N135" t="s">
        <v>130</v>
      </c>
      <c r="O135" t="s">
        <v>126</v>
      </c>
      <c r="P135" t="s">
        <v>127</v>
      </c>
      <c r="Q135" t="s">
        <v>128</v>
      </c>
      <c r="R135">
        <v>99999</v>
      </c>
      <c r="S135" t="s">
        <v>30</v>
      </c>
      <c r="T135" t="s">
        <v>35</v>
      </c>
      <c r="U135" t="s">
        <v>131</v>
      </c>
      <c r="V135" t="s">
        <v>132</v>
      </c>
      <c r="W135">
        <v>19.5</v>
      </c>
      <c r="X135">
        <v>27</v>
      </c>
      <c r="Y135" s="4">
        <v>526.5</v>
      </c>
      <c r="Z135" s="3">
        <v>51.070500000000003</v>
      </c>
    </row>
    <row r="136" spans="1:26" x14ac:dyDescent="0.25">
      <c r="A136">
        <v>1150</v>
      </c>
      <c r="B136" s="2">
        <v>41799</v>
      </c>
      <c r="C136">
        <v>9</v>
      </c>
      <c r="D136" t="s">
        <v>125</v>
      </c>
      <c r="E136" t="s">
        <v>126</v>
      </c>
      <c r="F136" t="s">
        <v>127</v>
      </c>
      <c r="G136" t="s">
        <v>128</v>
      </c>
      <c r="H136">
        <v>99999</v>
      </c>
      <c r="I136" t="s">
        <v>30</v>
      </c>
      <c r="J136" t="s">
        <v>129</v>
      </c>
      <c r="K136" t="s">
        <v>32</v>
      </c>
      <c r="L136" s="2">
        <v>41801</v>
      </c>
      <c r="M136" t="s">
        <v>46</v>
      </c>
      <c r="N136" t="s">
        <v>130</v>
      </c>
      <c r="O136" t="s">
        <v>126</v>
      </c>
      <c r="P136" t="s">
        <v>127</v>
      </c>
      <c r="Q136" t="s">
        <v>128</v>
      </c>
      <c r="R136">
        <v>99999</v>
      </c>
      <c r="S136" t="s">
        <v>30</v>
      </c>
      <c r="T136" t="s">
        <v>35</v>
      </c>
      <c r="U136" t="s">
        <v>133</v>
      </c>
      <c r="V136" t="s">
        <v>134</v>
      </c>
      <c r="W136">
        <v>34.799999999999997</v>
      </c>
      <c r="X136">
        <v>88</v>
      </c>
      <c r="Y136" s="4">
        <v>3062.3999999999996</v>
      </c>
      <c r="Z136" s="3">
        <v>303.17759999999993</v>
      </c>
    </row>
    <row r="137" spans="1:26" x14ac:dyDescent="0.25">
      <c r="A137">
        <v>1151</v>
      </c>
      <c r="B137" s="2">
        <v>41796</v>
      </c>
      <c r="C137">
        <v>6</v>
      </c>
      <c r="D137" t="s">
        <v>82</v>
      </c>
      <c r="E137" t="s">
        <v>83</v>
      </c>
      <c r="F137" t="s">
        <v>84</v>
      </c>
      <c r="G137" t="s">
        <v>85</v>
      </c>
      <c r="H137">
        <v>99999</v>
      </c>
      <c r="I137" t="s">
        <v>30</v>
      </c>
      <c r="J137" t="s">
        <v>86</v>
      </c>
      <c r="K137" t="s">
        <v>61</v>
      </c>
      <c r="L137" s="2">
        <v>41798</v>
      </c>
      <c r="M137" t="s">
        <v>33</v>
      </c>
      <c r="N137" t="s">
        <v>87</v>
      </c>
      <c r="O137" t="s">
        <v>83</v>
      </c>
      <c r="P137" t="s">
        <v>84</v>
      </c>
      <c r="Q137" t="s">
        <v>85</v>
      </c>
      <c r="R137">
        <v>99999</v>
      </c>
      <c r="S137" t="s">
        <v>30</v>
      </c>
      <c r="T137" t="s">
        <v>48</v>
      </c>
      <c r="U137" t="s">
        <v>36</v>
      </c>
      <c r="V137" t="s">
        <v>37</v>
      </c>
      <c r="W137">
        <v>14</v>
      </c>
      <c r="X137">
        <v>65</v>
      </c>
      <c r="Y137" s="4">
        <v>910</v>
      </c>
      <c r="Z137" s="3">
        <v>95.55</v>
      </c>
    </row>
    <row r="138" spans="1:26" x14ac:dyDescent="0.25">
      <c r="A138">
        <v>1152</v>
      </c>
      <c r="B138" s="2">
        <v>41798</v>
      </c>
      <c r="C138">
        <v>8</v>
      </c>
      <c r="D138" t="s">
        <v>56</v>
      </c>
      <c r="E138" t="s">
        <v>57</v>
      </c>
      <c r="F138" t="s">
        <v>58</v>
      </c>
      <c r="G138" t="s">
        <v>59</v>
      </c>
      <c r="H138">
        <v>99999</v>
      </c>
      <c r="I138" t="s">
        <v>30</v>
      </c>
      <c r="J138" t="s">
        <v>60</v>
      </c>
      <c r="K138" t="s">
        <v>61</v>
      </c>
      <c r="L138" s="2">
        <v>41800</v>
      </c>
      <c r="M138" t="s">
        <v>33</v>
      </c>
      <c r="N138" t="s">
        <v>63</v>
      </c>
      <c r="O138" t="s">
        <v>57</v>
      </c>
      <c r="P138" t="s">
        <v>58</v>
      </c>
      <c r="Q138" t="s">
        <v>59</v>
      </c>
      <c r="R138">
        <v>99999</v>
      </c>
      <c r="S138" t="s">
        <v>30</v>
      </c>
      <c r="T138" t="s">
        <v>35</v>
      </c>
      <c r="U138" t="s">
        <v>88</v>
      </c>
      <c r="V138" t="s">
        <v>89</v>
      </c>
      <c r="W138">
        <v>40</v>
      </c>
      <c r="X138">
        <v>38</v>
      </c>
      <c r="Y138" s="4">
        <v>1520</v>
      </c>
      <c r="Z138" s="3">
        <v>148.96</v>
      </c>
    </row>
    <row r="139" spans="1:26" x14ac:dyDescent="0.25">
      <c r="A139">
        <v>1153</v>
      </c>
      <c r="B139" s="2">
        <v>41798</v>
      </c>
      <c r="C139">
        <v>8</v>
      </c>
      <c r="D139" t="s">
        <v>56</v>
      </c>
      <c r="E139" t="s">
        <v>57</v>
      </c>
      <c r="F139" t="s">
        <v>58</v>
      </c>
      <c r="G139" t="s">
        <v>59</v>
      </c>
      <c r="H139">
        <v>99999</v>
      </c>
      <c r="I139" t="s">
        <v>30</v>
      </c>
      <c r="J139" t="s">
        <v>60</v>
      </c>
      <c r="K139" t="s">
        <v>61</v>
      </c>
      <c r="L139">
        <v>41800</v>
      </c>
      <c r="M139" t="s">
        <v>33</v>
      </c>
      <c r="N139" t="s">
        <v>63</v>
      </c>
      <c r="O139" t="s">
        <v>57</v>
      </c>
      <c r="P139" t="s">
        <v>58</v>
      </c>
      <c r="Q139" t="s">
        <v>59</v>
      </c>
      <c r="R139">
        <v>99999</v>
      </c>
      <c r="S139" t="s">
        <v>30</v>
      </c>
      <c r="T139" t="s">
        <v>35</v>
      </c>
      <c r="U139" t="s">
        <v>64</v>
      </c>
      <c r="V139" t="s">
        <v>65</v>
      </c>
      <c r="W139" s="3">
        <v>9.1999999999999993</v>
      </c>
      <c r="X139">
        <v>80</v>
      </c>
      <c r="Y139" s="4">
        <v>736</v>
      </c>
      <c r="Z139" s="3">
        <v>70.656000000000006</v>
      </c>
    </row>
    <row r="140" spans="1:26" x14ac:dyDescent="0.25">
      <c r="A140">
        <v>1154</v>
      </c>
      <c r="B140" s="2">
        <v>41815</v>
      </c>
      <c r="C140">
        <v>25</v>
      </c>
      <c r="D140" t="s">
        <v>137</v>
      </c>
      <c r="E140" t="s">
        <v>138</v>
      </c>
      <c r="F140" t="s">
        <v>99</v>
      </c>
      <c r="G140" t="s">
        <v>100</v>
      </c>
      <c r="H140">
        <v>99999</v>
      </c>
      <c r="I140" t="s">
        <v>30</v>
      </c>
      <c r="J140" t="s">
        <v>101</v>
      </c>
      <c r="K140" t="s">
        <v>45</v>
      </c>
      <c r="L140" s="2">
        <v>41817</v>
      </c>
      <c r="M140" t="s">
        <v>46</v>
      </c>
      <c r="N140" t="s">
        <v>139</v>
      </c>
      <c r="O140" t="s">
        <v>138</v>
      </c>
      <c r="P140" t="s">
        <v>99</v>
      </c>
      <c r="Q140" t="s">
        <v>100</v>
      </c>
      <c r="R140">
        <v>99999</v>
      </c>
      <c r="S140" t="s">
        <v>30</v>
      </c>
      <c r="T140" t="s">
        <v>79</v>
      </c>
      <c r="U140" t="s">
        <v>146</v>
      </c>
      <c r="V140" t="s">
        <v>65</v>
      </c>
      <c r="W140" s="3">
        <v>10</v>
      </c>
      <c r="X140">
        <v>49</v>
      </c>
      <c r="Y140" s="4">
        <v>490</v>
      </c>
      <c r="Z140" s="3">
        <v>47.04</v>
      </c>
    </row>
    <row r="141" spans="1:26" x14ac:dyDescent="0.25">
      <c r="A141">
        <v>1155</v>
      </c>
      <c r="B141" s="2">
        <v>41816</v>
      </c>
      <c r="C141">
        <v>26</v>
      </c>
      <c r="D141" t="s">
        <v>140</v>
      </c>
      <c r="E141" t="s">
        <v>141</v>
      </c>
      <c r="F141" t="s">
        <v>115</v>
      </c>
      <c r="G141" t="s">
        <v>116</v>
      </c>
      <c r="H141">
        <v>99999</v>
      </c>
      <c r="I141" t="s">
        <v>30</v>
      </c>
      <c r="J141" t="s">
        <v>94</v>
      </c>
      <c r="K141" t="s">
        <v>95</v>
      </c>
      <c r="L141" s="2">
        <v>41818</v>
      </c>
      <c r="M141" t="s">
        <v>62</v>
      </c>
      <c r="N141" t="s">
        <v>142</v>
      </c>
      <c r="O141" t="s">
        <v>141</v>
      </c>
      <c r="P141" t="s">
        <v>115</v>
      </c>
      <c r="Q141" t="s">
        <v>116</v>
      </c>
      <c r="R141">
        <v>99999</v>
      </c>
      <c r="S141" t="s">
        <v>30</v>
      </c>
      <c r="T141" t="s">
        <v>48</v>
      </c>
      <c r="U141" t="s">
        <v>147</v>
      </c>
      <c r="V141" t="s">
        <v>148</v>
      </c>
      <c r="W141" s="3">
        <v>21.35</v>
      </c>
      <c r="X141">
        <v>90</v>
      </c>
      <c r="Y141" s="4">
        <v>1921.5000000000002</v>
      </c>
      <c r="Z141" s="3">
        <v>186.38550000000004</v>
      </c>
    </row>
    <row r="142" spans="1:26" x14ac:dyDescent="0.25">
      <c r="A142">
        <v>1156</v>
      </c>
      <c r="B142" s="2">
        <v>41816</v>
      </c>
      <c r="C142">
        <v>26</v>
      </c>
      <c r="D142" t="s">
        <v>140</v>
      </c>
      <c r="E142" t="s">
        <v>141</v>
      </c>
      <c r="F142" t="s">
        <v>115</v>
      </c>
      <c r="G142" t="s">
        <v>116</v>
      </c>
      <c r="H142">
        <v>99999</v>
      </c>
      <c r="I142" t="s">
        <v>30</v>
      </c>
      <c r="J142" t="s">
        <v>94</v>
      </c>
      <c r="K142" t="s">
        <v>95</v>
      </c>
      <c r="L142" s="2">
        <v>41818</v>
      </c>
      <c r="M142" t="s">
        <v>62</v>
      </c>
      <c r="N142" t="s">
        <v>142</v>
      </c>
      <c r="O142" t="s">
        <v>141</v>
      </c>
      <c r="P142" t="s">
        <v>115</v>
      </c>
      <c r="Q142" t="s">
        <v>116</v>
      </c>
      <c r="R142">
        <v>99999</v>
      </c>
      <c r="S142" t="s">
        <v>30</v>
      </c>
      <c r="T142" t="s">
        <v>48</v>
      </c>
      <c r="U142" t="s">
        <v>80</v>
      </c>
      <c r="V142" t="s">
        <v>81</v>
      </c>
      <c r="W142" s="3">
        <v>9.65</v>
      </c>
      <c r="X142">
        <v>60</v>
      </c>
      <c r="Y142" s="4">
        <v>579</v>
      </c>
      <c r="Z142" s="3">
        <v>59.637000000000008</v>
      </c>
    </row>
    <row r="143" spans="1:26" x14ac:dyDescent="0.25">
      <c r="A143">
        <v>1157</v>
      </c>
      <c r="B143" s="2">
        <v>41816</v>
      </c>
      <c r="C143">
        <v>26</v>
      </c>
      <c r="D143" t="s">
        <v>140</v>
      </c>
      <c r="E143" t="s">
        <v>141</v>
      </c>
      <c r="F143" t="s">
        <v>115</v>
      </c>
      <c r="G143" t="s">
        <v>116</v>
      </c>
      <c r="H143">
        <v>99999</v>
      </c>
      <c r="I143" t="s">
        <v>30</v>
      </c>
      <c r="J143" t="s">
        <v>94</v>
      </c>
      <c r="K143" t="s">
        <v>95</v>
      </c>
      <c r="L143">
        <v>41818</v>
      </c>
      <c r="M143" t="s">
        <v>62</v>
      </c>
      <c r="N143" t="s">
        <v>142</v>
      </c>
      <c r="O143" t="s">
        <v>141</v>
      </c>
      <c r="P143" t="s">
        <v>115</v>
      </c>
      <c r="Q143" t="s">
        <v>116</v>
      </c>
      <c r="R143">
        <v>99999</v>
      </c>
      <c r="S143" t="s">
        <v>30</v>
      </c>
      <c r="T143" t="s">
        <v>48</v>
      </c>
      <c r="U143" t="s">
        <v>123</v>
      </c>
      <c r="V143" t="s">
        <v>124</v>
      </c>
      <c r="W143" s="3">
        <v>18.399999999999999</v>
      </c>
      <c r="X143">
        <v>39</v>
      </c>
      <c r="Y143" s="4">
        <v>717.59999999999991</v>
      </c>
      <c r="Z143" s="3">
        <v>71.759999999999991</v>
      </c>
    </row>
    <row r="144" spans="1:26" x14ac:dyDescent="0.25">
      <c r="A144">
        <v>1158</v>
      </c>
      <c r="B144" s="2">
        <v>41819</v>
      </c>
      <c r="C144">
        <v>29</v>
      </c>
      <c r="D144" t="s">
        <v>66</v>
      </c>
      <c r="E144" t="s">
        <v>67</v>
      </c>
      <c r="F144" t="s">
        <v>68</v>
      </c>
      <c r="G144" t="s">
        <v>69</v>
      </c>
      <c r="H144">
        <v>99999</v>
      </c>
      <c r="I144" t="s">
        <v>30</v>
      </c>
      <c r="J144" t="s">
        <v>70</v>
      </c>
      <c r="K144" t="s">
        <v>32</v>
      </c>
      <c r="L144">
        <v>41821</v>
      </c>
      <c r="M144" t="s">
        <v>33</v>
      </c>
      <c r="N144" t="s">
        <v>71</v>
      </c>
      <c r="O144" t="s">
        <v>67</v>
      </c>
      <c r="P144" t="s">
        <v>68</v>
      </c>
      <c r="Q144" t="s">
        <v>69</v>
      </c>
      <c r="R144">
        <v>99999</v>
      </c>
      <c r="S144" t="s">
        <v>30</v>
      </c>
      <c r="T144" t="s">
        <v>35</v>
      </c>
      <c r="U144" t="s">
        <v>36</v>
      </c>
      <c r="V144" t="s">
        <v>37</v>
      </c>
      <c r="W144" s="3">
        <v>14</v>
      </c>
      <c r="X144">
        <v>79</v>
      </c>
      <c r="Y144" s="4">
        <v>1106</v>
      </c>
      <c r="Z144" s="3">
        <v>113.91800000000001</v>
      </c>
    </row>
    <row r="145" spans="1:26" x14ac:dyDescent="0.25">
      <c r="A145">
        <v>1159</v>
      </c>
      <c r="B145" s="2">
        <v>41796</v>
      </c>
      <c r="C145">
        <v>6</v>
      </c>
      <c r="D145" t="s">
        <v>82</v>
      </c>
      <c r="E145" t="s">
        <v>83</v>
      </c>
      <c r="F145" t="s">
        <v>84</v>
      </c>
      <c r="G145" t="s">
        <v>85</v>
      </c>
      <c r="H145">
        <v>99999</v>
      </c>
      <c r="I145" t="s">
        <v>30</v>
      </c>
      <c r="J145" t="s">
        <v>86</v>
      </c>
      <c r="K145" t="s">
        <v>61</v>
      </c>
      <c r="L145">
        <v>41798</v>
      </c>
      <c r="M145" t="s">
        <v>62</v>
      </c>
      <c r="N145" t="s">
        <v>87</v>
      </c>
      <c r="O145" t="s">
        <v>83</v>
      </c>
      <c r="P145" t="s">
        <v>84</v>
      </c>
      <c r="Q145" t="s">
        <v>85</v>
      </c>
      <c r="R145">
        <v>99999</v>
      </c>
      <c r="S145" t="s">
        <v>30</v>
      </c>
      <c r="T145" t="s">
        <v>35</v>
      </c>
      <c r="U145" t="s">
        <v>72</v>
      </c>
      <c r="V145" t="s">
        <v>73</v>
      </c>
      <c r="W145" s="3">
        <v>12.75</v>
      </c>
      <c r="X145">
        <v>44</v>
      </c>
      <c r="Y145" s="4">
        <v>561</v>
      </c>
      <c r="Z145" s="3">
        <v>57.222000000000001</v>
      </c>
    </row>
    <row r="146" spans="1:26" x14ac:dyDescent="0.25">
      <c r="A146">
        <v>1161</v>
      </c>
      <c r="B146" s="2">
        <v>41794</v>
      </c>
      <c r="C146">
        <v>4</v>
      </c>
      <c r="D146" t="s">
        <v>40</v>
      </c>
      <c r="E146" t="s">
        <v>41</v>
      </c>
      <c r="F146" t="s">
        <v>42</v>
      </c>
      <c r="G146" t="s">
        <v>43</v>
      </c>
      <c r="H146">
        <v>99999</v>
      </c>
      <c r="I146" t="s">
        <v>30</v>
      </c>
      <c r="J146" t="s">
        <v>44</v>
      </c>
      <c r="K146" t="s">
        <v>45</v>
      </c>
      <c r="L146">
        <v>41796</v>
      </c>
      <c r="M146" t="s">
        <v>46</v>
      </c>
      <c r="N146" t="s">
        <v>47</v>
      </c>
      <c r="O146" t="s">
        <v>41</v>
      </c>
      <c r="P146" t="s">
        <v>42</v>
      </c>
      <c r="Q146" t="s">
        <v>43</v>
      </c>
      <c r="R146">
        <v>99999</v>
      </c>
      <c r="S146" t="s">
        <v>30</v>
      </c>
      <c r="T146" t="s">
        <v>48</v>
      </c>
      <c r="U146" t="s">
        <v>149</v>
      </c>
      <c r="V146" t="s">
        <v>110</v>
      </c>
      <c r="W146" s="3">
        <v>81</v>
      </c>
      <c r="X146">
        <v>98</v>
      </c>
      <c r="Y146" s="4">
        <v>7938</v>
      </c>
      <c r="Z146" s="3">
        <v>769.98599999999999</v>
      </c>
    </row>
    <row r="147" spans="1:26" x14ac:dyDescent="0.25">
      <c r="A147">
        <v>1162</v>
      </c>
      <c r="B147" s="2">
        <v>41794</v>
      </c>
      <c r="C147">
        <v>4</v>
      </c>
      <c r="D147" t="s">
        <v>40</v>
      </c>
      <c r="E147" t="s">
        <v>41</v>
      </c>
      <c r="F147" t="s">
        <v>42</v>
      </c>
      <c r="G147" t="s">
        <v>43</v>
      </c>
      <c r="H147">
        <v>99999</v>
      </c>
      <c r="I147" t="s">
        <v>30</v>
      </c>
      <c r="J147" t="s">
        <v>44</v>
      </c>
      <c r="K147" t="s">
        <v>45</v>
      </c>
      <c r="L147">
        <v>41796</v>
      </c>
      <c r="M147" t="s">
        <v>46</v>
      </c>
      <c r="N147" t="s">
        <v>47</v>
      </c>
      <c r="O147" t="s">
        <v>41</v>
      </c>
      <c r="P147" t="s">
        <v>42</v>
      </c>
      <c r="Q147" t="s">
        <v>43</v>
      </c>
      <c r="R147">
        <v>99999</v>
      </c>
      <c r="S147" t="s">
        <v>30</v>
      </c>
      <c r="T147" t="s">
        <v>48</v>
      </c>
      <c r="U147" t="s">
        <v>150</v>
      </c>
      <c r="V147" t="s">
        <v>151</v>
      </c>
      <c r="W147" s="3">
        <v>7</v>
      </c>
      <c r="X147">
        <v>61</v>
      </c>
      <c r="Y147" s="4">
        <v>427</v>
      </c>
      <c r="Z147" s="3">
        <v>42.273000000000003</v>
      </c>
    </row>
    <row r="148" spans="1:26" x14ac:dyDescent="0.25">
      <c r="A148">
        <v>1164</v>
      </c>
      <c r="B148" s="2">
        <v>41798</v>
      </c>
      <c r="C148">
        <v>8</v>
      </c>
      <c r="D148" t="s">
        <v>56</v>
      </c>
      <c r="E148" t="s">
        <v>57</v>
      </c>
      <c r="F148" t="s">
        <v>58</v>
      </c>
      <c r="G148" t="s">
        <v>59</v>
      </c>
      <c r="H148">
        <v>99999</v>
      </c>
      <c r="I148" t="s">
        <v>30</v>
      </c>
      <c r="J148" t="s">
        <v>60</v>
      </c>
      <c r="K148" t="s">
        <v>61</v>
      </c>
      <c r="L148" s="2">
        <v>41800</v>
      </c>
      <c r="M148" t="s">
        <v>62</v>
      </c>
      <c r="N148" t="s">
        <v>63</v>
      </c>
      <c r="O148" t="s">
        <v>57</v>
      </c>
      <c r="P148" t="s">
        <v>58</v>
      </c>
      <c r="Q148" t="s">
        <v>59</v>
      </c>
      <c r="R148">
        <v>99999</v>
      </c>
      <c r="S148" t="s">
        <v>30</v>
      </c>
      <c r="T148" t="s">
        <v>48</v>
      </c>
      <c r="U148" t="s">
        <v>133</v>
      </c>
      <c r="V148" t="s">
        <v>134</v>
      </c>
      <c r="W148" s="3">
        <v>34.799999999999997</v>
      </c>
      <c r="X148">
        <v>30</v>
      </c>
      <c r="Y148" s="4">
        <v>1044</v>
      </c>
      <c r="Z148" s="3">
        <v>109.62</v>
      </c>
    </row>
    <row r="149" spans="1:26" x14ac:dyDescent="0.25">
      <c r="A149">
        <v>1167</v>
      </c>
      <c r="B149" s="2">
        <v>41793</v>
      </c>
      <c r="C149">
        <v>3</v>
      </c>
      <c r="D149" t="s">
        <v>74</v>
      </c>
      <c r="E149" t="s">
        <v>75</v>
      </c>
      <c r="F149" t="s">
        <v>76</v>
      </c>
      <c r="G149" t="s">
        <v>77</v>
      </c>
      <c r="H149">
        <v>99999</v>
      </c>
      <c r="I149" t="s">
        <v>30</v>
      </c>
      <c r="J149" t="s">
        <v>31</v>
      </c>
      <c r="K149" t="s">
        <v>32</v>
      </c>
      <c r="L149" s="2">
        <v>41795</v>
      </c>
      <c r="M149" t="s">
        <v>33</v>
      </c>
      <c r="N149" t="s">
        <v>78</v>
      </c>
      <c r="O149" t="s">
        <v>75</v>
      </c>
      <c r="P149" t="s">
        <v>76</v>
      </c>
      <c r="Q149" t="s">
        <v>77</v>
      </c>
      <c r="R149">
        <v>99999</v>
      </c>
      <c r="S149" t="s">
        <v>30</v>
      </c>
      <c r="T149" t="s">
        <v>79</v>
      </c>
      <c r="U149" t="s">
        <v>135</v>
      </c>
      <c r="V149" t="s">
        <v>112</v>
      </c>
      <c r="W149" s="3">
        <v>10</v>
      </c>
      <c r="X149">
        <v>24</v>
      </c>
      <c r="Y149" s="4">
        <v>240</v>
      </c>
      <c r="Z149" s="3">
        <v>25.200000000000003</v>
      </c>
    </row>
    <row r="150" spans="1:26" x14ac:dyDescent="0.25">
      <c r="A150">
        <v>1168</v>
      </c>
      <c r="B150" s="2">
        <v>41793</v>
      </c>
      <c r="C150">
        <v>3</v>
      </c>
      <c r="D150" t="s">
        <v>74</v>
      </c>
      <c r="E150" t="s">
        <v>75</v>
      </c>
      <c r="F150" t="s">
        <v>76</v>
      </c>
      <c r="G150" t="s">
        <v>77</v>
      </c>
      <c r="H150">
        <v>99999</v>
      </c>
      <c r="I150" t="s">
        <v>30</v>
      </c>
      <c r="J150" t="s">
        <v>31</v>
      </c>
      <c r="K150" t="s">
        <v>32</v>
      </c>
      <c r="L150" s="2">
        <v>41795</v>
      </c>
      <c r="M150" t="s">
        <v>33</v>
      </c>
      <c r="N150" t="s">
        <v>78</v>
      </c>
      <c r="O150" t="s">
        <v>75</v>
      </c>
      <c r="P150" t="s">
        <v>76</v>
      </c>
      <c r="Q150" t="s">
        <v>77</v>
      </c>
      <c r="R150">
        <v>99999</v>
      </c>
      <c r="S150" t="s">
        <v>30</v>
      </c>
      <c r="T150" t="s">
        <v>79</v>
      </c>
      <c r="U150" t="s">
        <v>88</v>
      </c>
      <c r="V150" t="s">
        <v>89</v>
      </c>
      <c r="W150" s="3">
        <v>40</v>
      </c>
      <c r="X150">
        <v>28</v>
      </c>
      <c r="Y150" s="4">
        <v>1120</v>
      </c>
      <c r="Z150" s="3">
        <v>109.75999999999999</v>
      </c>
    </row>
    <row r="151" spans="1:26" x14ac:dyDescent="0.25">
      <c r="A151">
        <v>1172</v>
      </c>
      <c r="B151" s="2">
        <v>41800</v>
      </c>
      <c r="C151">
        <v>10</v>
      </c>
      <c r="D151" t="s">
        <v>97</v>
      </c>
      <c r="E151" t="s">
        <v>98</v>
      </c>
      <c r="F151" t="s">
        <v>99</v>
      </c>
      <c r="G151" t="s">
        <v>100</v>
      </c>
      <c r="H151">
        <v>99999</v>
      </c>
      <c r="I151" t="s">
        <v>30</v>
      </c>
      <c r="J151" t="s">
        <v>101</v>
      </c>
      <c r="K151" t="s">
        <v>45</v>
      </c>
      <c r="L151" s="2">
        <v>41802</v>
      </c>
      <c r="M151" t="s">
        <v>33</v>
      </c>
      <c r="N151" t="s">
        <v>102</v>
      </c>
      <c r="O151" t="s">
        <v>98</v>
      </c>
      <c r="P151" t="s">
        <v>99</v>
      </c>
      <c r="Q151" t="s">
        <v>100</v>
      </c>
      <c r="R151">
        <v>99999</v>
      </c>
      <c r="S151" t="s">
        <v>30</v>
      </c>
      <c r="T151" t="s">
        <v>48</v>
      </c>
      <c r="U151" t="s">
        <v>136</v>
      </c>
      <c r="V151" t="s">
        <v>39</v>
      </c>
      <c r="W151" s="3">
        <v>10</v>
      </c>
      <c r="X151">
        <v>74</v>
      </c>
      <c r="Y151" s="4">
        <v>740</v>
      </c>
      <c r="Z151" s="3">
        <v>71.78</v>
      </c>
    </row>
    <row r="152" spans="1:26" x14ac:dyDescent="0.25">
      <c r="A152">
        <v>1174</v>
      </c>
      <c r="B152" s="2">
        <v>41800</v>
      </c>
      <c r="C152">
        <v>10</v>
      </c>
      <c r="D152" t="s">
        <v>97</v>
      </c>
      <c r="E152" t="s">
        <v>98</v>
      </c>
      <c r="F152" t="s">
        <v>99</v>
      </c>
      <c r="G152" t="s">
        <v>100</v>
      </c>
      <c r="H152">
        <v>99999</v>
      </c>
      <c r="I152" t="s">
        <v>30</v>
      </c>
      <c r="J152" t="s">
        <v>101</v>
      </c>
      <c r="K152" t="s">
        <v>45</v>
      </c>
      <c r="L152" s="2"/>
      <c r="M152" t="s">
        <v>46</v>
      </c>
      <c r="N152" t="s">
        <v>102</v>
      </c>
      <c r="O152" t="s">
        <v>98</v>
      </c>
      <c r="P152" t="s">
        <v>99</v>
      </c>
      <c r="Q152" t="s">
        <v>100</v>
      </c>
      <c r="R152">
        <v>99999</v>
      </c>
      <c r="S152" t="s">
        <v>30</v>
      </c>
      <c r="U152" t="s">
        <v>38</v>
      </c>
      <c r="V152" t="s">
        <v>39</v>
      </c>
      <c r="W152" s="3">
        <v>3.5</v>
      </c>
      <c r="X152">
        <v>90</v>
      </c>
      <c r="Y152" s="4">
        <v>315</v>
      </c>
      <c r="Z152" s="3">
        <v>30.24</v>
      </c>
    </row>
    <row r="153" spans="1:26" x14ac:dyDescent="0.25">
      <c r="A153">
        <v>1175</v>
      </c>
      <c r="B153" s="2">
        <v>41801</v>
      </c>
      <c r="C153">
        <v>11</v>
      </c>
      <c r="D153" t="s">
        <v>113</v>
      </c>
      <c r="E153" t="s">
        <v>114</v>
      </c>
      <c r="F153" t="s">
        <v>115</v>
      </c>
      <c r="G153" t="s">
        <v>116</v>
      </c>
      <c r="H153">
        <v>99999</v>
      </c>
      <c r="I153" t="s">
        <v>30</v>
      </c>
      <c r="J153" t="s">
        <v>94</v>
      </c>
      <c r="K153" t="s">
        <v>95</v>
      </c>
      <c r="L153" s="2"/>
      <c r="M153" t="s">
        <v>62</v>
      </c>
      <c r="N153" t="s">
        <v>117</v>
      </c>
      <c r="O153" t="s">
        <v>114</v>
      </c>
      <c r="P153" t="s">
        <v>115</v>
      </c>
      <c r="Q153" t="s">
        <v>116</v>
      </c>
      <c r="R153">
        <v>99999</v>
      </c>
      <c r="S153" t="s">
        <v>30</v>
      </c>
      <c r="U153" t="s">
        <v>88</v>
      </c>
      <c r="V153" t="s">
        <v>89</v>
      </c>
      <c r="W153" s="3">
        <v>40</v>
      </c>
      <c r="X153">
        <v>27</v>
      </c>
      <c r="Y153" s="4">
        <v>1080</v>
      </c>
      <c r="Z153" s="3">
        <v>111.24000000000001</v>
      </c>
    </row>
    <row r="154" spans="1:26" x14ac:dyDescent="0.25">
      <c r="A154">
        <v>1176</v>
      </c>
      <c r="B154" s="2">
        <v>41791</v>
      </c>
      <c r="C154">
        <v>1</v>
      </c>
      <c r="D154" t="s">
        <v>118</v>
      </c>
      <c r="E154" t="s">
        <v>119</v>
      </c>
      <c r="F154" t="s">
        <v>120</v>
      </c>
      <c r="G154" t="s">
        <v>121</v>
      </c>
      <c r="H154">
        <v>99999</v>
      </c>
      <c r="I154" t="s">
        <v>30</v>
      </c>
      <c r="J154" t="s">
        <v>60</v>
      </c>
      <c r="K154" t="s">
        <v>61</v>
      </c>
      <c r="L154" s="2"/>
      <c r="M154" t="s">
        <v>62</v>
      </c>
      <c r="N154" t="s">
        <v>122</v>
      </c>
      <c r="O154" t="s">
        <v>119</v>
      </c>
      <c r="P154" t="s">
        <v>120</v>
      </c>
      <c r="Q154" t="s">
        <v>121</v>
      </c>
      <c r="R154">
        <v>99999</v>
      </c>
      <c r="S154" t="s">
        <v>30</v>
      </c>
      <c r="U154" t="s">
        <v>123</v>
      </c>
      <c r="V154" t="s">
        <v>124</v>
      </c>
      <c r="W154" s="3">
        <v>18.399999999999999</v>
      </c>
      <c r="X154">
        <v>71</v>
      </c>
      <c r="Y154" s="4">
        <v>1306.3999999999999</v>
      </c>
      <c r="Z154" s="3">
        <v>137.172</v>
      </c>
    </row>
    <row r="155" spans="1:26" x14ac:dyDescent="0.25">
      <c r="A155">
        <v>1177</v>
      </c>
      <c r="B155" s="2">
        <v>41818</v>
      </c>
      <c r="C155">
        <v>28</v>
      </c>
      <c r="D155" t="s">
        <v>90</v>
      </c>
      <c r="E155" t="s">
        <v>91</v>
      </c>
      <c r="F155" t="s">
        <v>92</v>
      </c>
      <c r="G155" t="s">
        <v>93</v>
      </c>
      <c r="H155">
        <v>99999</v>
      </c>
      <c r="I155" t="s">
        <v>30</v>
      </c>
      <c r="J155" t="s">
        <v>94</v>
      </c>
      <c r="K155" t="s">
        <v>95</v>
      </c>
      <c r="L155" s="2">
        <v>41820</v>
      </c>
      <c r="M155" t="s">
        <v>62</v>
      </c>
      <c r="N155" t="s">
        <v>96</v>
      </c>
      <c r="O155" t="s">
        <v>91</v>
      </c>
      <c r="P155" t="s">
        <v>92</v>
      </c>
      <c r="Q155" t="s">
        <v>93</v>
      </c>
      <c r="R155">
        <v>99999</v>
      </c>
      <c r="S155" t="s">
        <v>30</v>
      </c>
      <c r="T155" t="s">
        <v>48</v>
      </c>
      <c r="U155" t="s">
        <v>55</v>
      </c>
      <c r="V155" t="s">
        <v>37</v>
      </c>
      <c r="W155" s="3">
        <v>46</v>
      </c>
      <c r="X155">
        <v>74</v>
      </c>
      <c r="Y155" s="4">
        <v>3404</v>
      </c>
      <c r="Z155" s="3">
        <v>340.40000000000003</v>
      </c>
    </row>
    <row r="156" spans="1:26" x14ac:dyDescent="0.25">
      <c r="A156">
        <v>1178</v>
      </c>
      <c r="B156" s="2">
        <v>41799</v>
      </c>
      <c r="C156">
        <v>9</v>
      </c>
      <c r="D156" t="s">
        <v>125</v>
      </c>
      <c r="E156" t="s">
        <v>126</v>
      </c>
      <c r="F156" t="s">
        <v>127</v>
      </c>
      <c r="G156" t="s">
        <v>128</v>
      </c>
      <c r="H156">
        <v>99999</v>
      </c>
      <c r="I156" t="s">
        <v>30</v>
      </c>
      <c r="J156" t="s">
        <v>129</v>
      </c>
      <c r="K156" t="s">
        <v>32</v>
      </c>
      <c r="L156" s="2">
        <v>41801</v>
      </c>
      <c r="M156" t="s">
        <v>46</v>
      </c>
      <c r="N156" t="s">
        <v>130</v>
      </c>
      <c r="O156" t="s">
        <v>126</v>
      </c>
      <c r="P156" t="s">
        <v>127</v>
      </c>
      <c r="Q156" t="s">
        <v>128</v>
      </c>
      <c r="R156">
        <v>99999</v>
      </c>
      <c r="S156" t="s">
        <v>30</v>
      </c>
      <c r="T156" t="s">
        <v>35</v>
      </c>
      <c r="U156" t="s">
        <v>80</v>
      </c>
      <c r="V156" t="s">
        <v>81</v>
      </c>
      <c r="W156" s="3">
        <v>9.65</v>
      </c>
      <c r="X156">
        <v>76</v>
      </c>
      <c r="Y156" s="4">
        <v>733.4</v>
      </c>
      <c r="Z156" s="3">
        <v>72.6066</v>
      </c>
    </row>
    <row r="157" spans="1:26" x14ac:dyDescent="0.25">
      <c r="A157">
        <v>1179</v>
      </c>
      <c r="B157" s="2">
        <v>41796</v>
      </c>
      <c r="C157">
        <v>6</v>
      </c>
      <c r="D157" t="s">
        <v>82</v>
      </c>
      <c r="E157" t="s">
        <v>83</v>
      </c>
      <c r="F157" t="s">
        <v>84</v>
      </c>
      <c r="G157" t="s">
        <v>85</v>
      </c>
      <c r="H157">
        <v>99999</v>
      </c>
      <c r="I157" t="s">
        <v>30</v>
      </c>
      <c r="J157" t="s">
        <v>86</v>
      </c>
      <c r="K157" t="s">
        <v>61</v>
      </c>
      <c r="L157" s="2">
        <v>41798</v>
      </c>
      <c r="M157" t="s">
        <v>33</v>
      </c>
      <c r="N157" t="s">
        <v>87</v>
      </c>
      <c r="O157" t="s">
        <v>83</v>
      </c>
      <c r="P157" t="s">
        <v>84</v>
      </c>
      <c r="Q157" t="s">
        <v>85</v>
      </c>
      <c r="R157">
        <v>99999</v>
      </c>
      <c r="S157" t="s">
        <v>30</v>
      </c>
      <c r="T157" t="s">
        <v>48</v>
      </c>
      <c r="U157" t="s">
        <v>72</v>
      </c>
      <c r="V157" t="s">
        <v>73</v>
      </c>
      <c r="W157" s="3">
        <v>12.75</v>
      </c>
      <c r="X157">
        <v>96</v>
      </c>
      <c r="Y157" s="4">
        <v>1224</v>
      </c>
      <c r="Z157" s="3">
        <v>123.62400000000001</v>
      </c>
    </row>
    <row r="158" spans="1:26" x14ac:dyDescent="0.25">
      <c r="A158">
        <v>1180</v>
      </c>
      <c r="B158" s="2">
        <v>41798</v>
      </c>
      <c r="C158">
        <v>8</v>
      </c>
      <c r="D158" t="s">
        <v>56</v>
      </c>
      <c r="E158" t="s">
        <v>57</v>
      </c>
      <c r="F158" t="s">
        <v>58</v>
      </c>
      <c r="G158" t="s">
        <v>59</v>
      </c>
      <c r="H158">
        <v>99999</v>
      </c>
      <c r="I158" t="s">
        <v>30</v>
      </c>
      <c r="J158" t="s">
        <v>60</v>
      </c>
      <c r="K158" t="s">
        <v>61</v>
      </c>
      <c r="L158" s="2">
        <v>41800</v>
      </c>
      <c r="M158" t="s">
        <v>33</v>
      </c>
      <c r="N158" t="s">
        <v>63</v>
      </c>
      <c r="O158" t="s">
        <v>57</v>
      </c>
      <c r="P158" t="s">
        <v>58</v>
      </c>
      <c r="Q158" t="s">
        <v>59</v>
      </c>
      <c r="R158">
        <v>99999</v>
      </c>
      <c r="S158" t="s">
        <v>30</v>
      </c>
      <c r="T158" t="s">
        <v>35</v>
      </c>
      <c r="U158" t="s">
        <v>72</v>
      </c>
      <c r="V158" t="s">
        <v>73</v>
      </c>
      <c r="W158" s="3">
        <v>12.75</v>
      </c>
      <c r="X158">
        <v>92</v>
      </c>
      <c r="Y158" s="4">
        <v>1173</v>
      </c>
      <c r="Z158" s="3">
        <v>116.12700000000001</v>
      </c>
    </row>
    <row r="159" spans="1:26" x14ac:dyDescent="0.25">
      <c r="A159">
        <v>1181</v>
      </c>
      <c r="B159" s="2">
        <v>41815</v>
      </c>
      <c r="C159">
        <v>25</v>
      </c>
      <c r="D159" t="s">
        <v>137</v>
      </c>
      <c r="E159" t="s">
        <v>138</v>
      </c>
      <c r="F159" t="s">
        <v>99</v>
      </c>
      <c r="G159" t="s">
        <v>100</v>
      </c>
      <c r="H159">
        <v>99999</v>
      </c>
      <c r="I159" t="s">
        <v>30</v>
      </c>
      <c r="J159" t="s">
        <v>101</v>
      </c>
      <c r="K159" t="s">
        <v>45</v>
      </c>
      <c r="L159" s="2">
        <v>41817</v>
      </c>
      <c r="M159" t="s">
        <v>46</v>
      </c>
      <c r="N159" t="s">
        <v>139</v>
      </c>
      <c r="O159" t="s">
        <v>138</v>
      </c>
      <c r="P159" t="s">
        <v>99</v>
      </c>
      <c r="Q159" t="s">
        <v>100</v>
      </c>
      <c r="R159">
        <v>99999</v>
      </c>
      <c r="S159" t="s">
        <v>30</v>
      </c>
      <c r="T159" t="s">
        <v>79</v>
      </c>
      <c r="U159" t="s">
        <v>111</v>
      </c>
      <c r="V159" t="s">
        <v>112</v>
      </c>
      <c r="W159" s="3">
        <v>22</v>
      </c>
      <c r="X159">
        <v>93</v>
      </c>
      <c r="Y159" s="4">
        <v>2046</v>
      </c>
      <c r="Z159" s="3">
        <v>200.50800000000001</v>
      </c>
    </row>
    <row r="160" spans="1:26" x14ac:dyDescent="0.25">
      <c r="A160">
        <v>1182</v>
      </c>
      <c r="B160" s="2">
        <v>41816</v>
      </c>
      <c r="C160">
        <v>26</v>
      </c>
      <c r="D160" t="s">
        <v>140</v>
      </c>
      <c r="E160" t="s">
        <v>141</v>
      </c>
      <c r="F160" t="s">
        <v>115</v>
      </c>
      <c r="G160" t="s">
        <v>116</v>
      </c>
      <c r="H160">
        <v>99999</v>
      </c>
      <c r="I160" t="s">
        <v>30</v>
      </c>
      <c r="J160" t="s">
        <v>94</v>
      </c>
      <c r="K160" t="s">
        <v>95</v>
      </c>
      <c r="L160" s="2">
        <v>41818</v>
      </c>
      <c r="M160" t="s">
        <v>62</v>
      </c>
      <c r="N160" t="s">
        <v>142</v>
      </c>
      <c r="O160" t="s">
        <v>141</v>
      </c>
      <c r="P160" t="s">
        <v>115</v>
      </c>
      <c r="Q160" t="s">
        <v>116</v>
      </c>
      <c r="R160">
        <v>99999</v>
      </c>
      <c r="S160" t="s">
        <v>30</v>
      </c>
      <c r="T160" t="s">
        <v>48</v>
      </c>
      <c r="U160" t="s">
        <v>109</v>
      </c>
      <c r="V160" t="s">
        <v>110</v>
      </c>
      <c r="W160" s="3">
        <v>25</v>
      </c>
      <c r="X160">
        <v>18</v>
      </c>
      <c r="Y160" s="4">
        <v>450</v>
      </c>
      <c r="Z160" s="3">
        <v>42.75</v>
      </c>
    </row>
    <row r="161" spans="1:26" x14ac:dyDescent="0.25">
      <c r="A161">
        <v>1183</v>
      </c>
      <c r="B161" s="2">
        <v>41819</v>
      </c>
      <c r="C161">
        <v>29</v>
      </c>
      <c r="D161" t="s">
        <v>66</v>
      </c>
      <c r="E161" t="s">
        <v>67</v>
      </c>
      <c r="F161" t="s">
        <v>68</v>
      </c>
      <c r="G161" t="s">
        <v>69</v>
      </c>
      <c r="H161">
        <v>99999</v>
      </c>
      <c r="I161" t="s">
        <v>30</v>
      </c>
      <c r="J161" t="s">
        <v>70</v>
      </c>
      <c r="K161" t="s">
        <v>32</v>
      </c>
      <c r="L161" s="2">
        <v>41821</v>
      </c>
      <c r="M161" t="s">
        <v>33</v>
      </c>
      <c r="N161" t="s">
        <v>71</v>
      </c>
      <c r="O161" t="s">
        <v>67</v>
      </c>
      <c r="P161" t="s">
        <v>68</v>
      </c>
      <c r="Q161" t="s">
        <v>69</v>
      </c>
      <c r="R161">
        <v>99999</v>
      </c>
      <c r="S161" t="s">
        <v>30</v>
      </c>
      <c r="T161" t="s">
        <v>35</v>
      </c>
      <c r="U161" t="s">
        <v>143</v>
      </c>
      <c r="V161" t="s">
        <v>144</v>
      </c>
      <c r="W161">
        <v>39</v>
      </c>
      <c r="X161">
        <v>98</v>
      </c>
      <c r="Y161" s="4">
        <v>3822</v>
      </c>
      <c r="Z161" s="3">
        <v>397.48800000000006</v>
      </c>
    </row>
    <row r="162" spans="1:26" x14ac:dyDescent="0.25">
      <c r="A162">
        <v>1184</v>
      </c>
      <c r="B162" s="2">
        <v>41796</v>
      </c>
      <c r="C162">
        <v>6</v>
      </c>
      <c r="D162" t="s">
        <v>82</v>
      </c>
      <c r="E162" t="s">
        <v>83</v>
      </c>
      <c r="F162" t="s">
        <v>84</v>
      </c>
      <c r="G162" t="s">
        <v>85</v>
      </c>
      <c r="H162">
        <v>99999</v>
      </c>
      <c r="I162" t="s">
        <v>30</v>
      </c>
      <c r="J162" t="s">
        <v>86</v>
      </c>
      <c r="K162" t="s">
        <v>61</v>
      </c>
      <c r="L162" s="2">
        <v>41798</v>
      </c>
      <c r="M162" t="s">
        <v>62</v>
      </c>
      <c r="N162" t="s">
        <v>87</v>
      </c>
      <c r="O162" t="s">
        <v>83</v>
      </c>
      <c r="P162" t="s">
        <v>84</v>
      </c>
      <c r="Q162" t="s">
        <v>85</v>
      </c>
      <c r="R162">
        <v>99999</v>
      </c>
      <c r="S162" t="s">
        <v>30</v>
      </c>
      <c r="T162" t="s">
        <v>35</v>
      </c>
      <c r="U162" t="s">
        <v>49</v>
      </c>
      <c r="V162" t="s">
        <v>39</v>
      </c>
      <c r="W162">
        <v>30</v>
      </c>
      <c r="X162">
        <v>46</v>
      </c>
      <c r="Y162" s="4">
        <v>1380</v>
      </c>
      <c r="Z162" s="3">
        <v>135.24</v>
      </c>
    </row>
    <row r="163" spans="1:26" x14ac:dyDescent="0.25">
      <c r="A163">
        <v>1185</v>
      </c>
      <c r="B163" s="2">
        <v>41796</v>
      </c>
      <c r="C163">
        <v>6</v>
      </c>
      <c r="D163" t="s">
        <v>82</v>
      </c>
      <c r="E163" t="s">
        <v>83</v>
      </c>
      <c r="F163" t="s">
        <v>84</v>
      </c>
      <c r="G163" t="s">
        <v>85</v>
      </c>
      <c r="H163">
        <v>99999</v>
      </c>
      <c r="I163" t="s">
        <v>30</v>
      </c>
      <c r="J163" t="s">
        <v>86</v>
      </c>
      <c r="K163" t="s">
        <v>61</v>
      </c>
      <c r="L163" s="2">
        <v>41798</v>
      </c>
      <c r="M163" t="s">
        <v>62</v>
      </c>
      <c r="N163" t="s">
        <v>87</v>
      </c>
      <c r="O163" t="s">
        <v>83</v>
      </c>
      <c r="P163" t="s">
        <v>84</v>
      </c>
      <c r="Q163" t="s">
        <v>85</v>
      </c>
      <c r="R163">
        <v>99999</v>
      </c>
      <c r="S163" t="s">
        <v>30</v>
      </c>
      <c r="T163" t="s">
        <v>35</v>
      </c>
      <c r="U163" t="s">
        <v>50</v>
      </c>
      <c r="V163" t="s">
        <v>39</v>
      </c>
      <c r="W163">
        <v>53</v>
      </c>
      <c r="X163">
        <v>14</v>
      </c>
      <c r="Y163" s="4">
        <v>742</v>
      </c>
      <c r="Z163" s="3">
        <v>74.2</v>
      </c>
    </row>
    <row r="164" spans="1:26" x14ac:dyDescent="0.25">
      <c r="A164">
        <v>1186</v>
      </c>
      <c r="B164" s="2">
        <v>41794</v>
      </c>
      <c r="C164">
        <v>4</v>
      </c>
      <c r="D164" t="s">
        <v>40</v>
      </c>
      <c r="E164" t="s">
        <v>41</v>
      </c>
      <c r="F164" t="s">
        <v>42</v>
      </c>
      <c r="G164" t="s">
        <v>43</v>
      </c>
      <c r="H164">
        <v>99999</v>
      </c>
      <c r="I164" t="s">
        <v>30</v>
      </c>
      <c r="J164" t="s">
        <v>44</v>
      </c>
      <c r="K164" t="s">
        <v>45</v>
      </c>
      <c r="L164" s="2"/>
      <c r="N164" t="s">
        <v>47</v>
      </c>
      <c r="O164" t="s">
        <v>41</v>
      </c>
      <c r="P164" t="s">
        <v>42</v>
      </c>
      <c r="Q164" t="s">
        <v>43</v>
      </c>
      <c r="R164">
        <v>99999</v>
      </c>
      <c r="S164" t="s">
        <v>30</v>
      </c>
      <c r="U164" t="s">
        <v>145</v>
      </c>
      <c r="V164" t="s">
        <v>132</v>
      </c>
      <c r="W164">
        <v>38</v>
      </c>
      <c r="X164">
        <v>85</v>
      </c>
      <c r="Y164" s="4">
        <v>3230</v>
      </c>
      <c r="Z164" s="3">
        <v>319.77</v>
      </c>
    </row>
    <row r="165" spans="1:26" x14ac:dyDescent="0.25">
      <c r="A165">
        <v>1187</v>
      </c>
      <c r="B165" s="2">
        <v>41793</v>
      </c>
      <c r="C165">
        <v>3</v>
      </c>
      <c r="D165" t="s">
        <v>74</v>
      </c>
      <c r="E165" t="s">
        <v>75</v>
      </c>
      <c r="F165" t="s">
        <v>76</v>
      </c>
      <c r="G165" t="s">
        <v>77</v>
      </c>
      <c r="H165">
        <v>99999</v>
      </c>
      <c r="I165" t="s">
        <v>30</v>
      </c>
      <c r="J165" t="s">
        <v>31</v>
      </c>
      <c r="K165" t="s">
        <v>32</v>
      </c>
      <c r="L165" s="2"/>
      <c r="N165" t="s">
        <v>78</v>
      </c>
      <c r="O165" t="s">
        <v>75</v>
      </c>
      <c r="P165" t="s">
        <v>76</v>
      </c>
      <c r="Q165" t="s">
        <v>77</v>
      </c>
      <c r="R165">
        <v>99999</v>
      </c>
      <c r="S165" t="s">
        <v>30</v>
      </c>
      <c r="U165" t="s">
        <v>103</v>
      </c>
      <c r="V165" t="s">
        <v>37</v>
      </c>
      <c r="W165">
        <v>2.99</v>
      </c>
      <c r="X165">
        <v>88</v>
      </c>
      <c r="Y165" s="4">
        <v>263.12</v>
      </c>
      <c r="Z165" s="3">
        <v>25.522639999999999</v>
      </c>
    </row>
    <row r="166" spans="1:26" x14ac:dyDescent="0.25">
      <c r="A166">
        <v>1188</v>
      </c>
      <c r="B166" s="2">
        <v>41821</v>
      </c>
      <c r="C166">
        <v>1</v>
      </c>
      <c r="D166" t="s">
        <v>118</v>
      </c>
      <c r="E166" t="s">
        <v>119</v>
      </c>
      <c r="F166" t="s">
        <v>120</v>
      </c>
      <c r="G166" t="s">
        <v>121</v>
      </c>
      <c r="H166">
        <v>99999</v>
      </c>
      <c r="I166" t="s">
        <v>30</v>
      </c>
      <c r="J166" t="s">
        <v>60</v>
      </c>
      <c r="K166" t="s">
        <v>61</v>
      </c>
      <c r="L166" s="2"/>
      <c r="N166" t="s">
        <v>122</v>
      </c>
      <c r="O166" t="s">
        <v>119</v>
      </c>
      <c r="P166" t="s">
        <v>120</v>
      </c>
      <c r="Q166" t="s">
        <v>121</v>
      </c>
      <c r="R166">
        <v>99999</v>
      </c>
      <c r="S166" t="s">
        <v>30</v>
      </c>
      <c r="U166" t="s">
        <v>103</v>
      </c>
      <c r="V166" t="s">
        <v>37</v>
      </c>
      <c r="W166">
        <v>2.99</v>
      </c>
      <c r="X166">
        <v>81</v>
      </c>
      <c r="Y166" s="4">
        <v>242.19000000000003</v>
      </c>
      <c r="Z166" s="3">
        <v>23.976810000000004</v>
      </c>
    </row>
    <row r="167" spans="1:26" x14ac:dyDescent="0.25">
      <c r="A167">
        <v>1189</v>
      </c>
      <c r="B167" s="2">
        <v>41848</v>
      </c>
      <c r="C167">
        <v>28</v>
      </c>
      <c r="D167" t="s">
        <v>90</v>
      </c>
      <c r="E167" t="s">
        <v>91</v>
      </c>
      <c r="F167" t="s">
        <v>92</v>
      </c>
      <c r="G167" t="s">
        <v>93</v>
      </c>
      <c r="H167">
        <v>99999</v>
      </c>
      <c r="I167" t="s">
        <v>30</v>
      </c>
      <c r="J167" t="s">
        <v>94</v>
      </c>
      <c r="K167" t="s">
        <v>95</v>
      </c>
      <c r="L167" s="2">
        <v>41850</v>
      </c>
      <c r="M167" t="s">
        <v>62</v>
      </c>
      <c r="N167" t="s">
        <v>96</v>
      </c>
      <c r="O167" t="s">
        <v>91</v>
      </c>
      <c r="P167" t="s">
        <v>92</v>
      </c>
      <c r="Q167" t="s">
        <v>93</v>
      </c>
      <c r="R167">
        <v>99999</v>
      </c>
      <c r="S167" t="s">
        <v>30</v>
      </c>
      <c r="T167" t="s">
        <v>48</v>
      </c>
      <c r="U167" t="s">
        <v>80</v>
      </c>
      <c r="V167" t="s">
        <v>81</v>
      </c>
      <c r="W167">
        <v>9.65</v>
      </c>
      <c r="X167">
        <v>33</v>
      </c>
      <c r="Y167" s="4">
        <v>318.45</v>
      </c>
      <c r="Z167" s="3">
        <v>30.252749999999999</v>
      </c>
    </row>
    <row r="168" spans="1:26" x14ac:dyDescent="0.25">
      <c r="A168">
        <v>1190</v>
      </c>
      <c r="B168" s="2">
        <v>41848</v>
      </c>
      <c r="C168">
        <v>28</v>
      </c>
      <c r="D168" t="s">
        <v>90</v>
      </c>
      <c r="E168" t="s">
        <v>91</v>
      </c>
      <c r="F168" t="s">
        <v>92</v>
      </c>
      <c r="G168" t="s">
        <v>93</v>
      </c>
      <c r="H168">
        <v>99999</v>
      </c>
      <c r="I168" t="s">
        <v>30</v>
      </c>
      <c r="J168" t="s">
        <v>94</v>
      </c>
      <c r="K168" t="s">
        <v>95</v>
      </c>
      <c r="L168" s="2">
        <v>41850</v>
      </c>
      <c r="M168" t="s">
        <v>62</v>
      </c>
      <c r="N168" t="s">
        <v>96</v>
      </c>
      <c r="O168" t="s">
        <v>91</v>
      </c>
      <c r="P168" t="s">
        <v>92</v>
      </c>
      <c r="Q168" t="s">
        <v>93</v>
      </c>
      <c r="R168">
        <v>99999</v>
      </c>
      <c r="S168" t="s">
        <v>30</v>
      </c>
      <c r="T168" t="s">
        <v>48</v>
      </c>
      <c r="U168" t="s">
        <v>123</v>
      </c>
      <c r="V168" t="s">
        <v>124</v>
      </c>
      <c r="W168">
        <v>18.399999999999999</v>
      </c>
      <c r="X168">
        <v>47</v>
      </c>
      <c r="Y168" s="4">
        <v>864.8</v>
      </c>
      <c r="Z168" s="3">
        <v>90.804000000000002</v>
      </c>
    </row>
    <row r="169" spans="1:26" x14ac:dyDescent="0.25">
      <c r="A169">
        <v>1191</v>
      </c>
      <c r="B169" s="2">
        <v>41829</v>
      </c>
      <c r="C169">
        <v>9</v>
      </c>
      <c r="D169" t="s">
        <v>125</v>
      </c>
      <c r="E169" t="s">
        <v>126</v>
      </c>
      <c r="F169" t="s">
        <v>127</v>
      </c>
      <c r="G169" t="s">
        <v>128</v>
      </c>
      <c r="H169">
        <v>99999</v>
      </c>
      <c r="I169" t="s">
        <v>30</v>
      </c>
      <c r="J169" t="s">
        <v>129</v>
      </c>
      <c r="K169" t="s">
        <v>32</v>
      </c>
      <c r="L169" s="2">
        <v>41831</v>
      </c>
      <c r="M169" t="s">
        <v>46</v>
      </c>
      <c r="N169" t="s">
        <v>130</v>
      </c>
      <c r="O169" t="s">
        <v>126</v>
      </c>
      <c r="P169" t="s">
        <v>127</v>
      </c>
      <c r="Q169" t="s">
        <v>128</v>
      </c>
      <c r="R169">
        <v>99999</v>
      </c>
      <c r="S169" t="s">
        <v>30</v>
      </c>
      <c r="T169" t="s">
        <v>35</v>
      </c>
      <c r="U169" t="s">
        <v>131</v>
      </c>
      <c r="V169" t="s">
        <v>132</v>
      </c>
      <c r="W169">
        <v>19.5</v>
      </c>
      <c r="X169">
        <v>61</v>
      </c>
      <c r="Y169" s="4">
        <v>1189.5</v>
      </c>
      <c r="Z169" s="3">
        <v>123.70800000000001</v>
      </c>
    </row>
    <row r="170" spans="1:26" x14ac:dyDescent="0.25">
      <c r="A170">
        <v>1192</v>
      </c>
      <c r="B170" s="2">
        <v>41829</v>
      </c>
      <c r="C170">
        <v>9</v>
      </c>
      <c r="D170" t="s">
        <v>125</v>
      </c>
      <c r="E170" t="s">
        <v>126</v>
      </c>
      <c r="F170" t="s">
        <v>127</v>
      </c>
      <c r="G170" t="s">
        <v>128</v>
      </c>
      <c r="H170">
        <v>99999</v>
      </c>
      <c r="I170" t="s">
        <v>30</v>
      </c>
      <c r="J170" t="s">
        <v>129</v>
      </c>
      <c r="K170" t="s">
        <v>32</v>
      </c>
      <c r="L170" s="2">
        <v>41831</v>
      </c>
      <c r="M170" t="s">
        <v>46</v>
      </c>
      <c r="N170" t="s">
        <v>130</v>
      </c>
      <c r="O170" t="s">
        <v>126</v>
      </c>
      <c r="P170" t="s">
        <v>127</v>
      </c>
      <c r="Q170" t="s">
        <v>128</v>
      </c>
      <c r="R170">
        <v>99999</v>
      </c>
      <c r="S170" t="s">
        <v>30</v>
      </c>
      <c r="T170" t="s">
        <v>35</v>
      </c>
      <c r="U170" t="s">
        <v>133</v>
      </c>
      <c r="V170" t="s">
        <v>134</v>
      </c>
      <c r="W170">
        <v>34.799999999999997</v>
      </c>
      <c r="X170">
        <v>27</v>
      </c>
      <c r="Y170" s="4">
        <v>939.59999999999991</v>
      </c>
      <c r="Z170" s="3">
        <v>95.839199999999991</v>
      </c>
    </row>
    <row r="171" spans="1:26" x14ac:dyDescent="0.25">
      <c r="A171">
        <v>1193</v>
      </c>
      <c r="B171" s="2">
        <v>41826</v>
      </c>
      <c r="C171">
        <v>6</v>
      </c>
      <c r="D171" t="s">
        <v>82</v>
      </c>
      <c r="E171" t="s">
        <v>83</v>
      </c>
      <c r="F171" t="s">
        <v>84</v>
      </c>
      <c r="G171" t="s">
        <v>85</v>
      </c>
      <c r="H171">
        <v>99999</v>
      </c>
      <c r="I171" t="s">
        <v>30</v>
      </c>
      <c r="J171" t="s">
        <v>86</v>
      </c>
      <c r="K171" t="s">
        <v>61</v>
      </c>
      <c r="L171" s="2">
        <v>41828</v>
      </c>
      <c r="M171" t="s">
        <v>33</v>
      </c>
      <c r="N171" t="s">
        <v>87</v>
      </c>
      <c r="O171" t="s">
        <v>83</v>
      </c>
      <c r="P171" t="s">
        <v>84</v>
      </c>
      <c r="Q171" t="s">
        <v>85</v>
      </c>
      <c r="R171">
        <v>99999</v>
      </c>
      <c r="S171" t="s">
        <v>30</v>
      </c>
      <c r="T171" t="s">
        <v>48</v>
      </c>
      <c r="U171" t="s">
        <v>36</v>
      </c>
      <c r="V171" t="s">
        <v>37</v>
      </c>
      <c r="W171">
        <v>14</v>
      </c>
      <c r="X171">
        <v>84</v>
      </c>
      <c r="Y171" s="4">
        <v>1176</v>
      </c>
      <c r="Z171" s="3">
        <v>118.77600000000001</v>
      </c>
    </row>
    <row r="172" spans="1:26" x14ac:dyDescent="0.25">
      <c r="A172">
        <v>1194</v>
      </c>
      <c r="B172" s="2">
        <v>41828</v>
      </c>
      <c r="C172">
        <v>8</v>
      </c>
      <c r="D172" t="s">
        <v>56</v>
      </c>
      <c r="E172" t="s">
        <v>57</v>
      </c>
      <c r="F172" t="s">
        <v>58</v>
      </c>
      <c r="G172" t="s">
        <v>59</v>
      </c>
      <c r="H172">
        <v>99999</v>
      </c>
      <c r="I172" t="s">
        <v>30</v>
      </c>
      <c r="J172" t="s">
        <v>60</v>
      </c>
      <c r="K172" t="s">
        <v>61</v>
      </c>
      <c r="L172" s="2">
        <v>41830</v>
      </c>
      <c r="M172" t="s">
        <v>33</v>
      </c>
      <c r="N172" t="s">
        <v>63</v>
      </c>
      <c r="O172" t="s">
        <v>57</v>
      </c>
      <c r="P172" t="s">
        <v>58</v>
      </c>
      <c r="Q172" t="s">
        <v>59</v>
      </c>
      <c r="R172">
        <v>99999</v>
      </c>
      <c r="S172" t="s">
        <v>30</v>
      </c>
      <c r="T172" t="s">
        <v>35</v>
      </c>
      <c r="U172" t="s">
        <v>88</v>
      </c>
      <c r="V172" t="s">
        <v>89</v>
      </c>
      <c r="W172">
        <v>40</v>
      </c>
      <c r="X172">
        <v>91</v>
      </c>
      <c r="Y172" s="4">
        <v>3640</v>
      </c>
      <c r="Z172" s="3">
        <v>360.36</v>
      </c>
    </row>
    <row r="173" spans="1:26" x14ac:dyDescent="0.25">
      <c r="A173">
        <v>1195</v>
      </c>
      <c r="B173" s="2">
        <v>41828</v>
      </c>
      <c r="C173">
        <v>8</v>
      </c>
      <c r="D173" t="s">
        <v>56</v>
      </c>
      <c r="E173" t="s">
        <v>57</v>
      </c>
      <c r="F173" t="s">
        <v>58</v>
      </c>
      <c r="G173" t="s">
        <v>59</v>
      </c>
      <c r="H173">
        <v>99999</v>
      </c>
      <c r="I173" t="s">
        <v>30</v>
      </c>
      <c r="J173" t="s">
        <v>60</v>
      </c>
      <c r="K173" t="s">
        <v>61</v>
      </c>
      <c r="L173" s="2">
        <v>41830</v>
      </c>
      <c r="M173" t="s">
        <v>33</v>
      </c>
      <c r="N173" t="s">
        <v>63</v>
      </c>
      <c r="O173" t="s">
        <v>57</v>
      </c>
      <c r="P173" t="s">
        <v>58</v>
      </c>
      <c r="Q173" t="s">
        <v>59</v>
      </c>
      <c r="R173">
        <v>99999</v>
      </c>
      <c r="S173" t="s">
        <v>30</v>
      </c>
      <c r="T173" t="s">
        <v>35</v>
      </c>
      <c r="U173" t="s">
        <v>64</v>
      </c>
      <c r="V173" t="s">
        <v>65</v>
      </c>
      <c r="W173">
        <v>9.1999999999999993</v>
      </c>
      <c r="X173">
        <v>36</v>
      </c>
      <c r="Y173" s="4">
        <v>331.2</v>
      </c>
      <c r="Z173" s="3">
        <v>34.444800000000001</v>
      </c>
    </row>
    <row r="174" spans="1:26" x14ac:dyDescent="0.25">
      <c r="A174">
        <v>1196</v>
      </c>
      <c r="B174" s="2">
        <v>41845</v>
      </c>
      <c r="C174">
        <v>25</v>
      </c>
      <c r="D174" t="s">
        <v>137</v>
      </c>
      <c r="E174" t="s">
        <v>138</v>
      </c>
      <c r="F174" t="s">
        <v>99</v>
      </c>
      <c r="G174" t="s">
        <v>100</v>
      </c>
      <c r="H174">
        <v>99999</v>
      </c>
      <c r="I174" t="s">
        <v>30</v>
      </c>
      <c r="J174" t="s">
        <v>101</v>
      </c>
      <c r="K174" t="s">
        <v>45</v>
      </c>
      <c r="L174">
        <v>41847</v>
      </c>
      <c r="M174" t="s">
        <v>46</v>
      </c>
      <c r="N174" t="s">
        <v>139</v>
      </c>
      <c r="O174" t="s">
        <v>138</v>
      </c>
      <c r="P174" t="s">
        <v>99</v>
      </c>
      <c r="Q174" t="s">
        <v>100</v>
      </c>
      <c r="R174">
        <v>99999</v>
      </c>
      <c r="S174" t="s">
        <v>30</v>
      </c>
      <c r="T174" t="s">
        <v>79</v>
      </c>
      <c r="U174" t="s">
        <v>146</v>
      </c>
      <c r="V174" t="s">
        <v>65</v>
      </c>
      <c r="W174">
        <v>10</v>
      </c>
      <c r="X174">
        <v>34</v>
      </c>
      <c r="Y174" s="4">
        <v>340</v>
      </c>
      <c r="Z174" s="3">
        <v>34.340000000000003</v>
      </c>
    </row>
    <row r="175" spans="1:26" x14ac:dyDescent="0.25">
      <c r="A175">
        <v>1197</v>
      </c>
      <c r="B175" s="2">
        <v>41846</v>
      </c>
      <c r="C175">
        <v>26</v>
      </c>
      <c r="D175" t="s">
        <v>140</v>
      </c>
      <c r="E175" t="s">
        <v>141</v>
      </c>
      <c r="F175" t="s">
        <v>115</v>
      </c>
      <c r="G175" t="s">
        <v>116</v>
      </c>
      <c r="H175">
        <v>99999</v>
      </c>
      <c r="I175" t="s">
        <v>30</v>
      </c>
      <c r="J175" t="s">
        <v>94</v>
      </c>
      <c r="K175" t="s">
        <v>95</v>
      </c>
      <c r="L175">
        <v>41848</v>
      </c>
      <c r="M175" t="s">
        <v>62</v>
      </c>
      <c r="N175" t="s">
        <v>142</v>
      </c>
      <c r="O175" t="s">
        <v>141</v>
      </c>
      <c r="P175" t="s">
        <v>115</v>
      </c>
      <c r="Q175" t="s">
        <v>116</v>
      </c>
      <c r="R175">
        <v>99999</v>
      </c>
      <c r="S175" t="s">
        <v>30</v>
      </c>
      <c r="T175" t="s">
        <v>48</v>
      </c>
      <c r="U175" t="s">
        <v>147</v>
      </c>
      <c r="V175" t="s">
        <v>148</v>
      </c>
      <c r="W175">
        <v>21.35</v>
      </c>
      <c r="X175">
        <v>81</v>
      </c>
      <c r="Y175" s="4">
        <v>1729.3500000000001</v>
      </c>
      <c r="Z175" s="3">
        <v>178.12305000000003</v>
      </c>
    </row>
    <row r="176" spans="1:26" x14ac:dyDescent="0.25">
      <c r="A176">
        <v>1198</v>
      </c>
      <c r="B176" s="2">
        <v>41846</v>
      </c>
      <c r="C176">
        <v>26</v>
      </c>
      <c r="D176" t="s">
        <v>140</v>
      </c>
      <c r="E176" t="s">
        <v>141</v>
      </c>
      <c r="F176" t="s">
        <v>115</v>
      </c>
      <c r="G176" t="s">
        <v>116</v>
      </c>
      <c r="H176">
        <v>99999</v>
      </c>
      <c r="I176" t="s">
        <v>30</v>
      </c>
      <c r="J176" t="s">
        <v>94</v>
      </c>
      <c r="K176" t="s">
        <v>95</v>
      </c>
      <c r="L176">
        <v>41848</v>
      </c>
      <c r="M176" t="s">
        <v>62</v>
      </c>
      <c r="N176" t="s">
        <v>142</v>
      </c>
      <c r="O176" t="s">
        <v>141</v>
      </c>
      <c r="P176" t="s">
        <v>115</v>
      </c>
      <c r="Q176" t="s">
        <v>116</v>
      </c>
      <c r="R176">
        <v>99999</v>
      </c>
      <c r="S176" t="s">
        <v>30</v>
      </c>
      <c r="T176" t="s">
        <v>48</v>
      </c>
      <c r="U176" t="s">
        <v>80</v>
      </c>
      <c r="V176" t="s">
        <v>81</v>
      </c>
      <c r="W176">
        <v>9.65</v>
      </c>
      <c r="X176">
        <v>25</v>
      </c>
      <c r="Y176" s="4">
        <v>241.25</v>
      </c>
      <c r="Z176" s="3">
        <v>23.401250000000001</v>
      </c>
    </row>
    <row r="177" spans="1:26" x14ac:dyDescent="0.25">
      <c r="A177">
        <v>1199</v>
      </c>
      <c r="B177" s="2">
        <v>41846</v>
      </c>
      <c r="C177">
        <v>26</v>
      </c>
      <c r="D177" t="s">
        <v>140</v>
      </c>
      <c r="E177" t="s">
        <v>141</v>
      </c>
      <c r="F177" t="s">
        <v>115</v>
      </c>
      <c r="G177" t="s">
        <v>116</v>
      </c>
      <c r="H177">
        <v>99999</v>
      </c>
      <c r="I177" t="s">
        <v>30</v>
      </c>
      <c r="J177" t="s">
        <v>94</v>
      </c>
      <c r="K177" t="s">
        <v>95</v>
      </c>
      <c r="L177">
        <v>41848</v>
      </c>
      <c r="M177" t="s">
        <v>62</v>
      </c>
      <c r="N177" t="s">
        <v>142</v>
      </c>
      <c r="O177" t="s">
        <v>141</v>
      </c>
      <c r="P177" t="s">
        <v>115</v>
      </c>
      <c r="Q177" t="s">
        <v>116</v>
      </c>
      <c r="R177">
        <v>99999</v>
      </c>
      <c r="S177" t="s">
        <v>30</v>
      </c>
      <c r="T177" t="s">
        <v>48</v>
      </c>
      <c r="U177" t="s">
        <v>123</v>
      </c>
      <c r="V177" t="s">
        <v>124</v>
      </c>
      <c r="W177">
        <v>18.399999999999999</v>
      </c>
      <c r="X177">
        <v>12</v>
      </c>
      <c r="Y177" s="4">
        <v>220.79999999999998</v>
      </c>
      <c r="Z177" s="3">
        <v>22.08</v>
      </c>
    </row>
    <row r="178" spans="1:26" x14ac:dyDescent="0.25">
      <c r="A178">
        <v>1200</v>
      </c>
      <c r="B178" s="2">
        <v>41849</v>
      </c>
      <c r="C178">
        <v>29</v>
      </c>
      <c r="D178" t="s">
        <v>66</v>
      </c>
      <c r="E178" t="s">
        <v>67</v>
      </c>
      <c r="F178" t="s">
        <v>68</v>
      </c>
      <c r="G178" t="s">
        <v>69</v>
      </c>
      <c r="H178">
        <v>99999</v>
      </c>
      <c r="I178" t="s">
        <v>30</v>
      </c>
      <c r="J178" t="s">
        <v>70</v>
      </c>
      <c r="K178" t="s">
        <v>32</v>
      </c>
      <c r="L178" s="2">
        <v>41851</v>
      </c>
      <c r="M178" t="s">
        <v>33</v>
      </c>
      <c r="N178" t="s">
        <v>71</v>
      </c>
      <c r="O178" t="s">
        <v>67</v>
      </c>
      <c r="P178" t="s">
        <v>68</v>
      </c>
      <c r="Q178" t="s">
        <v>69</v>
      </c>
      <c r="R178">
        <v>99999</v>
      </c>
      <c r="S178" t="s">
        <v>30</v>
      </c>
      <c r="T178" t="s">
        <v>35</v>
      </c>
      <c r="U178" t="s">
        <v>36</v>
      </c>
      <c r="V178" t="s">
        <v>37</v>
      </c>
      <c r="W178">
        <v>14</v>
      </c>
      <c r="X178">
        <v>23</v>
      </c>
      <c r="Y178" s="4">
        <v>322</v>
      </c>
      <c r="Z178" s="3">
        <v>30.912000000000003</v>
      </c>
    </row>
    <row r="179" spans="1:26" x14ac:dyDescent="0.25">
      <c r="A179">
        <v>1201</v>
      </c>
      <c r="B179" s="2">
        <v>41826</v>
      </c>
      <c r="C179">
        <v>6</v>
      </c>
      <c r="D179" t="s">
        <v>82</v>
      </c>
      <c r="E179" t="s">
        <v>83</v>
      </c>
      <c r="F179" t="s">
        <v>84</v>
      </c>
      <c r="G179" t="s">
        <v>85</v>
      </c>
      <c r="H179">
        <v>99999</v>
      </c>
      <c r="I179" t="s">
        <v>30</v>
      </c>
      <c r="J179" t="s">
        <v>86</v>
      </c>
      <c r="K179" t="s">
        <v>61</v>
      </c>
      <c r="L179" s="2">
        <v>41828</v>
      </c>
      <c r="M179" t="s">
        <v>62</v>
      </c>
      <c r="N179" t="s">
        <v>87</v>
      </c>
      <c r="O179" t="s">
        <v>83</v>
      </c>
      <c r="P179" t="s">
        <v>84</v>
      </c>
      <c r="Q179" t="s">
        <v>85</v>
      </c>
      <c r="R179">
        <v>99999</v>
      </c>
      <c r="S179" t="s">
        <v>30</v>
      </c>
      <c r="T179" t="s">
        <v>35</v>
      </c>
      <c r="U179" t="s">
        <v>72</v>
      </c>
      <c r="V179" t="s">
        <v>73</v>
      </c>
      <c r="W179">
        <v>12.75</v>
      </c>
      <c r="X179">
        <v>76</v>
      </c>
      <c r="Y179" s="4">
        <v>969</v>
      </c>
      <c r="Z179" s="3">
        <v>97.869</v>
      </c>
    </row>
    <row r="180" spans="1:26" x14ac:dyDescent="0.25">
      <c r="A180">
        <v>1203</v>
      </c>
      <c r="B180" s="2">
        <v>41824</v>
      </c>
      <c r="C180">
        <v>4</v>
      </c>
      <c r="D180" t="s">
        <v>40</v>
      </c>
      <c r="E180" t="s">
        <v>41</v>
      </c>
      <c r="F180" t="s">
        <v>42</v>
      </c>
      <c r="G180" t="s">
        <v>43</v>
      </c>
      <c r="H180">
        <v>99999</v>
      </c>
      <c r="I180" t="s">
        <v>30</v>
      </c>
      <c r="J180" t="s">
        <v>44</v>
      </c>
      <c r="K180" t="s">
        <v>45</v>
      </c>
      <c r="L180" s="2">
        <v>41826</v>
      </c>
      <c r="M180" t="s">
        <v>46</v>
      </c>
      <c r="N180" t="s">
        <v>47</v>
      </c>
      <c r="O180" t="s">
        <v>41</v>
      </c>
      <c r="P180" t="s">
        <v>42</v>
      </c>
      <c r="Q180" t="s">
        <v>43</v>
      </c>
      <c r="R180">
        <v>99999</v>
      </c>
      <c r="S180" t="s">
        <v>30</v>
      </c>
      <c r="T180" t="s">
        <v>48</v>
      </c>
      <c r="U180" t="s">
        <v>149</v>
      </c>
      <c r="V180" t="s">
        <v>110</v>
      </c>
      <c r="W180">
        <v>81</v>
      </c>
      <c r="X180">
        <v>55</v>
      </c>
      <c r="Y180" s="4">
        <v>4455</v>
      </c>
      <c r="Z180" s="3">
        <v>445.5</v>
      </c>
    </row>
    <row r="181" spans="1:26" x14ac:dyDescent="0.25">
      <c r="A181">
        <v>1204</v>
      </c>
      <c r="B181" s="2">
        <v>41824</v>
      </c>
      <c r="C181">
        <v>4</v>
      </c>
      <c r="D181" t="s">
        <v>40</v>
      </c>
      <c r="E181" t="s">
        <v>41</v>
      </c>
      <c r="F181" t="s">
        <v>42</v>
      </c>
      <c r="G181" t="s">
        <v>43</v>
      </c>
      <c r="H181">
        <v>99999</v>
      </c>
      <c r="I181" t="s">
        <v>30</v>
      </c>
      <c r="J181" t="s">
        <v>44</v>
      </c>
      <c r="K181" t="s">
        <v>45</v>
      </c>
      <c r="L181" s="2">
        <v>41826</v>
      </c>
      <c r="M181" t="s">
        <v>46</v>
      </c>
      <c r="N181" t="s">
        <v>47</v>
      </c>
      <c r="O181" t="s">
        <v>41</v>
      </c>
      <c r="P181" t="s">
        <v>42</v>
      </c>
      <c r="Q181" t="s">
        <v>43</v>
      </c>
      <c r="R181">
        <v>99999</v>
      </c>
      <c r="S181" t="s">
        <v>30</v>
      </c>
      <c r="T181" t="s">
        <v>48</v>
      </c>
      <c r="U181" t="s">
        <v>150</v>
      </c>
      <c r="V181" t="s">
        <v>151</v>
      </c>
      <c r="W181">
        <v>7</v>
      </c>
      <c r="X181">
        <v>19</v>
      </c>
      <c r="Y181" s="4">
        <v>133</v>
      </c>
      <c r="Z181" s="3">
        <v>12.901</v>
      </c>
    </row>
    <row r="182" spans="1:26" x14ac:dyDescent="0.25">
      <c r="A182">
        <v>1206</v>
      </c>
      <c r="B182" s="2">
        <v>41828</v>
      </c>
      <c r="C182">
        <v>8</v>
      </c>
      <c r="D182" t="s">
        <v>56</v>
      </c>
      <c r="E182" t="s">
        <v>57</v>
      </c>
      <c r="F182" t="s">
        <v>58</v>
      </c>
      <c r="G182" t="s">
        <v>59</v>
      </c>
      <c r="H182">
        <v>99999</v>
      </c>
      <c r="I182" t="s">
        <v>30</v>
      </c>
      <c r="J182" t="s">
        <v>60</v>
      </c>
      <c r="K182" t="s">
        <v>61</v>
      </c>
      <c r="L182" s="2">
        <v>41830</v>
      </c>
      <c r="M182" t="s">
        <v>62</v>
      </c>
      <c r="N182" t="s">
        <v>63</v>
      </c>
      <c r="O182" t="s">
        <v>57</v>
      </c>
      <c r="P182" t="s">
        <v>58</v>
      </c>
      <c r="Q182" t="s">
        <v>59</v>
      </c>
      <c r="R182">
        <v>99999</v>
      </c>
      <c r="S182" t="s">
        <v>30</v>
      </c>
      <c r="T182" t="s">
        <v>48</v>
      </c>
      <c r="U182" t="s">
        <v>133</v>
      </c>
      <c r="V182" t="s">
        <v>134</v>
      </c>
      <c r="W182">
        <v>34.799999999999997</v>
      </c>
      <c r="X182">
        <v>27</v>
      </c>
      <c r="Y182" s="4">
        <v>939.59999999999991</v>
      </c>
      <c r="Z182" s="3">
        <v>89.261999999999986</v>
      </c>
    </row>
    <row r="183" spans="1:26" x14ac:dyDescent="0.25">
      <c r="A183">
        <v>1209</v>
      </c>
      <c r="B183" s="2">
        <v>41823</v>
      </c>
      <c r="C183">
        <v>3</v>
      </c>
      <c r="D183" t="s">
        <v>74</v>
      </c>
      <c r="E183" t="s">
        <v>75</v>
      </c>
      <c r="F183" t="s">
        <v>76</v>
      </c>
      <c r="G183" t="s">
        <v>77</v>
      </c>
      <c r="H183">
        <v>99999</v>
      </c>
      <c r="I183" t="s">
        <v>30</v>
      </c>
      <c r="J183" t="s">
        <v>31</v>
      </c>
      <c r="K183" t="s">
        <v>32</v>
      </c>
      <c r="L183" s="2">
        <v>41825</v>
      </c>
      <c r="M183" t="s">
        <v>33</v>
      </c>
      <c r="N183" t="s">
        <v>78</v>
      </c>
      <c r="O183" t="s">
        <v>75</v>
      </c>
      <c r="P183" t="s">
        <v>76</v>
      </c>
      <c r="Q183" t="s">
        <v>77</v>
      </c>
      <c r="R183">
        <v>99999</v>
      </c>
      <c r="S183" t="s">
        <v>30</v>
      </c>
      <c r="T183" t="s">
        <v>79</v>
      </c>
      <c r="U183" t="s">
        <v>135</v>
      </c>
      <c r="V183" t="s">
        <v>112</v>
      </c>
      <c r="W183">
        <v>10</v>
      </c>
      <c r="X183">
        <v>99</v>
      </c>
      <c r="Y183" s="4">
        <v>990</v>
      </c>
      <c r="Z183" s="3">
        <v>95.039999999999992</v>
      </c>
    </row>
    <row r="184" spans="1:26" x14ac:dyDescent="0.25">
      <c r="A184">
        <v>1210</v>
      </c>
      <c r="B184" s="2">
        <v>41823</v>
      </c>
      <c r="C184">
        <v>3</v>
      </c>
      <c r="D184" t="s">
        <v>74</v>
      </c>
      <c r="E184" t="s">
        <v>75</v>
      </c>
      <c r="F184" t="s">
        <v>76</v>
      </c>
      <c r="G184" t="s">
        <v>77</v>
      </c>
      <c r="H184">
        <v>99999</v>
      </c>
      <c r="I184" t="s">
        <v>30</v>
      </c>
      <c r="J184" t="s">
        <v>31</v>
      </c>
      <c r="K184" t="s">
        <v>32</v>
      </c>
      <c r="L184" s="2">
        <v>41825</v>
      </c>
      <c r="M184" t="s">
        <v>33</v>
      </c>
      <c r="N184" t="s">
        <v>78</v>
      </c>
      <c r="O184" t="s">
        <v>75</v>
      </c>
      <c r="P184" t="s">
        <v>76</v>
      </c>
      <c r="Q184" t="s">
        <v>77</v>
      </c>
      <c r="R184">
        <v>99999</v>
      </c>
      <c r="S184" t="s">
        <v>30</v>
      </c>
      <c r="T184" t="s">
        <v>79</v>
      </c>
      <c r="U184" t="s">
        <v>88</v>
      </c>
      <c r="V184" t="s">
        <v>89</v>
      </c>
      <c r="W184">
        <v>40</v>
      </c>
      <c r="X184">
        <v>10</v>
      </c>
      <c r="Y184" s="4">
        <v>400</v>
      </c>
      <c r="Z184" s="3">
        <v>40</v>
      </c>
    </row>
    <row r="185" spans="1:26" x14ac:dyDescent="0.25">
      <c r="A185">
        <v>1214</v>
      </c>
      <c r="B185" s="2">
        <v>41830</v>
      </c>
      <c r="C185">
        <v>10</v>
      </c>
      <c r="D185" t="s">
        <v>97</v>
      </c>
      <c r="E185" t="s">
        <v>98</v>
      </c>
      <c r="F185" t="s">
        <v>99</v>
      </c>
      <c r="G185" t="s">
        <v>100</v>
      </c>
      <c r="H185">
        <v>99999</v>
      </c>
      <c r="I185" t="s">
        <v>30</v>
      </c>
      <c r="J185" t="s">
        <v>101</v>
      </c>
      <c r="K185" t="s">
        <v>45</v>
      </c>
      <c r="L185" s="2">
        <v>41832</v>
      </c>
      <c r="M185" t="s">
        <v>33</v>
      </c>
      <c r="N185" t="s">
        <v>102</v>
      </c>
      <c r="O185" t="s">
        <v>98</v>
      </c>
      <c r="P185" t="s">
        <v>99</v>
      </c>
      <c r="Q185" t="s">
        <v>100</v>
      </c>
      <c r="R185">
        <v>99999</v>
      </c>
      <c r="S185" t="s">
        <v>30</v>
      </c>
      <c r="T185" t="s">
        <v>48</v>
      </c>
      <c r="U185" t="s">
        <v>136</v>
      </c>
      <c r="V185" t="s">
        <v>39</v>
      </c>
      <c r="W185">
        <v>10</v>
      </c>
      <c r="X185">
        <v>80</v>
      </c>
      <c r="Y185" s="4">
        <v>800</v>
      </c>
      <c r="Z185" s="3">
        <v>77.599999999999994</v>
      </c>
    </row>
    <row r="186" spans="1:26" x14ac:dyDescent="0.25">
      <c r="A186">
        <v>1216</v>
      </c>
      <c r="B186" s="2">
        <v>41830</v>
      </c>
      <c r="C186">
        <v>10</v>
      </c>
      <c r="D186" t="s">
        <v>97</v>
      </c>
      <c r="E186" t="s">
        <v>98</v>
      </c>
      <c r="F186" t="s">
        <v>99</v>
      </c>
      <c r="G186" t="s">
        <v>100</v>
      </c>
      <c r="H186">
        <v>99999</v>
      </c>
      <c r="I186" t="s">
        <v>30</v>
      </c>
      <c r="J186" t="s">
        <v>101</v>
      </c>
      <c r="K186" t="s">
        <v>45</v>
      </c>
      <c r="L186" s="2"/>
      <c r="M186" t="s">
        <v>46</v>
      </c>
      <c r="N186" t="s">
        <v>102</v>
      </c>
      <c r="O186" t="s">
        <v>98</v>
      </c>
      <c r="P186" t="s">
        <v>99</v>
      </c>
      <c r="Q186" t="s">
        <v>100</v>
      </c>
      <c r="R186">
        <v>99999</v>
      </c>
      <c r="S186" t="s">
        <v>30</v>
      </c>
      <c r="U186" t="s">
        <v>38</v>
      </c>
      <c r="V186" t="s">
        <v>39</v>
      </c>
      <c r="W186">
        <v>3.5</v>
      </c>
      <c r="X186">
        <v>27</v>
      </c>
      <c r="Y186" s="4">
        <v>94.5</v>
      </c>
      <c r="Z186" s="3">
        <v>9.072000000000001</v>
      </c>
    </row>
    <row r="187" spans="1:26" x14ac:dyDescent="0.25">
      <c r="A187">
        <v>1217</v>
      </c>
      <c r="B187" s="2">
        <v>41831</v>
      </c>
      <c r="C187">
        <v>11</v>
      </c>
      <c r="D187" t="s">
        <v>113</v>
      </c>
      <c r="E187" t="s">
        <v>114</v>
      </c>
      <c r="F187" t="s">
        <v>115</v>
      </c>
      <c r="G187" t="s">
        <v>116</v>
      </c>
      <c r="H187">
        <v>99999</v>
      </c>
      <c r="I187" t="s">
        <v>30</v>
      </c>
      <c r="J187" t="s">
        <v>94</v>
      </c>
      <c r="K187" t="s">
        <v>95</v>
      </c>
      <c r="M187" t="s">
        <v>62</v>
      </c>
      <c r="N187" t="s">
        <v>117</v>
      </c>
      <c r="O187" t="s">
        <v>114</v>
      </c>
      <c r="P187" t="s">
        <v>115</v>
      </c>
      <c r="Q187" t="s">
        <v>116</v>
      </c>
      <c r="R187">
        <v>99999</v>
      </c>
      <c r="S187" t="s">
        <v>30</v>
      </c>
      <c r="U187" t="s">
        <v>88</v>
      </c>
      <c r="V187" t="s">
        <v>89</v>
      </c>
      <c r="W187">
        <v>40</v>
      </c>
      <c r="X187">
        <v>97</v>
      </c>
      <c r="Y187" s="4">
        <v>3880</v>
      </c>
      <c r="Z187" s="3">
        <v>380.24</v>
      </c>
    </row>
    <row r="188" spans="1:26" x14ac:dyDescent="0.25">
      <c r="A188">
        <v>1218</v>
      </c>
      <c r="B188" s="2">
        <v>41821</v>
      </c>
      <c r="C188">
        <v>1</v>
      </c>
      <c r="D188" t="s">
        <v>118</v>
      </c>
      <c r="E188" t="s">
        <v>119</v>
      </c>
      <c r="F188" t="s">
        <v>120</v>
      </c>
      <c r="G188" t="s">
        <v>121</v>
      </c>
      <c r="H188">
        <v>99999</v>
      </c>
      <c r="I188" t="s">
        <v>30</v>
      </c>
      <c r="J188" t="s">
        <v>60</v>
      </c>
      <c r="K188" t="s">
        <v>61</v>
      </c>
      <c r="M188" t="s">
        <v>62</v>
      </c>
      <c r="N188" t="s">
        <v>122</v>
      </c>
      <c r="O188" t="s">
        <v>119</v>
      </c>
      <c r="P188" t="s">
        <v>120</v>
      </c>
      <c r="Q188" t="s">
        <v>121</v>
      </c>
      <c r="R188">
        <v>99999</v>
      </c>
      <c r="S188" t="s">
        <v>30</v>
      </c>
      <c r="U188" t="s">
        <v>123</v>
      </c>
      <c r="V188" t="s">
        <v>124</v>
      </c>
      <c r="W188">
        <v>18.399999999999999</v>
      </c>
      <c r="X188">
        <v>42</v>
      </c>
      <c r="Y188" s="4">
        <v>772.8</v>
      </c>
      <c r="Z188" s="3">
        <v>80.371200000000002</v>
      </c>
    </row>
    <row r="189" spans="1:26" x14ac:dyDescent="0.25">
      <c r="A189">
        <v>1219</v>
      </c>
      <c r="B189" s="2">
        <v>41848</v>
      </c>
      <c r="C189">
        <v>28</v>
      </c>
      <c r="D189" t="s">
        <v>90</v>
      </c>
      <c r="E189" t="s">
        <v>91</v>
      </c>
      <c r="F189" t="s">
        <v>92</v>
      </c>
      <c r="G189" t="s">
        <v>93</v>
      </c>
      <c r="H189">
        <v>99999</v>
      </c>
      <c r="I189" t="s">
        <v>30</v>
      </c>
      <c r="J189" t="s">
        <v>94</v>
      </c>
      <c r="K189" t="s">
        <v>95</v>
      </c>
      <c r="L189">
        <v>41850</v>
      </c>
      <c r="M189" t="s">
        <v>62</v>
      </c>
      <c r="N189" t="s">
        <v>96</v>
      </c>
      <c r="O189" t="s">
        <v>91</v>
      </c>
      <c r="P189" t="s">
        <v>92</v>
      </c>
      <c r="Q189" t="s">
        <v>93</v>
      </c>
      <c r="R189">
        <v>99999</v>
      </c>
      <c r="S189" t="s">
        <v>30</v>
      </c>
      <c r="T189" t="s">
        <v>48</v>
      </c>
      <c r="U189" t="s">
        <v>55</v>
      </c>
      <c r="V189" t="s">
        <v>37</v>
      </c>
      <c r="W189" s="3">
        <v>46</v>
      </c>
      <c r="X189">
        <v>24</v>
      </c>
      <c r="Y189" s="4">
        <v>1104</v>
      </c>
      <c r="Z189" s="3">
        <v>105.98399999999999</v>
      </c>
    </row>
    <row r="190" spans="1:26" x14ac:dyDescent="0.25">
      <c r="A190">
        <v>1220</v>
      </c>
      <c r="B190" s="2">
        <v>41829</v>
      </c>
      <c r="C190">
        <v>9</v>
      </c>
      <c r="D190" t="s">
        <v>125</v>
      </c>
      <c r="E190" t="s">
        <v>126</v>
      </c>
      <c r="F190" t="s">
        <v>127</v>
      </c>
      <c r="G190" t="s">
        <v>128</v>
      </c>
      <c r="H190">
        <v>99999</v>
      </c>
      <c r="I190" t="s">
        <v>30</v>
      </c>
      <c r="J190" t="s">
        <v>129</v>
      </c>
      <c r="K190" t="s">
        <v>32</v>
      </c>
      <c r="L190" s="2">
        <v>41831</v>
      </c>
      <c r="M190" t="s">
        <v>46</v>
      </c>
      <c r="N190" t="s">
        <v>130</v>
      </c>
      <c r="O190" t="s">
        <v>126</v>
      </c>
      <c r="P190" t="s">
        <v>127</v>
      </c>
      <c r="Q190" t="s">
        <v>128</v>
      </c>
      <c r="R190">
        <v>99999</v>
      </c>
      <c r="S190" t="s">
        <v>30</v>
      </c>
      <c r="T190" t="s">
        <v>35</v>
      </c>
      <c r="U190" t="s">
        <v>80</v>
      </c>
      <c r="V190" t="s">
        <v>81</v>
      </c>
      <c r="W190" s="3">
        <v>9.65</v>
      </c>
      <c r="X190">
        <v>90</v>
      </c>
      <c r="Y190" s="4">
        <v>868.5</v>
      </c>
      <c r="Z190" s="3">
        <v>83.376000000000005</v>
      </c>
    </row>
    <row r="191" spans="1:26" x14ac:dyDescent="0.25">
      <c r="A191">
        <v>1221</v>
      </c>
      <c r="B191" s="2">
        <v>41826</v>
      </c>
      <c r="C191">
        <v>6</v>
      </c>
      <c r="D191" t="s">
        <v>82</v>
      </c>
      <c r="E191" t="s">
        <v>83</v>
      </c>
      <c r="F191" t="s">
        <v>84</v>
      </c>
      <c r="G191" t="s">
        <v>85</v>
      </c>
      <c r="H191">
        <v>99999</v>
      </c>
      <c r="I191" t="s">
        <v>30</v>
      </c>
      <c r="J191" t="s">
        <v>86</v>
      </c>
      <c r="K191" t="s">
        <v>61</v>
      </c>
      <c r="L191" s="2">
        <v>41828</v>
      </c>
      <c r="M191" t="s">
        <v>33</v>
      </c>
      <c r="N191" t="s">
        <v>87</v>
      </c>
      <c r="O191" t="s">
        <v>83</v>
      </c>
      <c r="P191" t="s">
        <v>84</v>
      </c>
      <c r="Q191" t="s">
        <v>85</v>
      </c>
      <c r="R191">
        <v>99999</v>
      </c>
      <c r="S191" t="s">
        <v>30</v>
      </c>
      <c r="T191" t="s">
        <v>48</v>
      </c>
      <c r="U191" t="s">
        <v>72</v>
      </c>
      <c r="V191" t="s">
        <v>73</v>
      </c>
      <c r="W191" s="3">
        <v>12.75</v>
      </c>
      <c r="X191">
        <v>28</v>
      </c>
      <c r="Y191" s="4">
        <v>357</v>
      </c>
      <c r="Z191" s="3">
        <v>35.700000000000003</v>
      </c>
    </row>
    <row r="192" spans="1:26" x14ac:dyDescent="0.25">
      <c r="A192">
        <v>1222</v>
      </c>
      <c r="B192" s="2">
        <v>41879</v>
      </c>
      <c r="C192">
        <v>28</v>
      </c>
      <c r="D192" t="s">
        <v>90</v>
      </c>
      <c r="E192" t="s">
        <v>91</v>
      </c>
      <c r="F192" t="s">
        <v>92</v>
      </c>
      <c r="G192" t="s">
        <v>93</v>
      </c>
      <c r="H192">
        <v>99999</v>
      </c>
      <c r="I192" t="s">
        <v>30</v>
      </c>
      <c r="J192" t="s">
        <v>94</v>
      </c>
      <c r="K192" t="s">
        <v>95</v>
      </c>
      <c r="L192" s="2">
        <v>41881</v>
      </c>
      <c r="M192" t="s">
        <v>62</v>
      </c>
      <c r="N192" t="s">
        <v>96</v>
      </c>
      <c r="O192" t="s">
        <v>91</v>
      </c>
      <c r="P192" t="s">
        <v>92</v>
      </c>
      <c r="Q192" t="s">
        <v>93</v>
      </c>
      <c r="R192">
        <v>99999</v>
      </c>
      <c r="S192" t="s">
        <v>30</v>
      </c>
      <c r="T192" t="s">
        <v>35</v>
      </c>
      <c r="U192" t="s">
        <v>55</v>
      </c>
      <c r="V192" t="s">
        <v>37</v>
      </c>
      <c r="W192" s="3">
        <v>46</v>
      </c>
      <c r="X192">
        <v>28</v>
      </c>
      <c r="Y192" s="4">
        <v>1288</v>
      </c>
      <c r="Z192" s="3">
        <v>133.95200000000003</v>
      </c>
    </row>
    <row r="193" spans="1:26" x14ac:dyDescent="0.25">
      <c r="A193">
        <v>1223</v>
      </c>
      <c r="B193" s="2">
        <v>41859</v>
      </c>
      <c r="C193">
        <v>8</v>
      </c>
      <c r="D193" t="s">
        <v>56</v>
      </c>
      <c r="E193" t="s">
        <v>57</v>
      </c>
      <c r="F193" t="s">
        <v>58</v>
      </c>
      <c r="G193" t="s">
        <v>59</v>
      </c>
      <c r="H193">
        <v>99999</v>
      </c>
      <c r="I193" t="s">
        <v>30</v>
      </c>
      <c r="J193" t="s">
        <v>60</v>
      </c>
      <c r="K193" t="s">
        <v>61</v>
      </c>
      <c r="L193" s="2">
        <v>41861</v>
      </c>
      <c r="M193" t="s">
        <v>62</v>
      </c>
      <c r="N193" t="s">
        <v>63</v>
      </c>
      <c r="O193" t="s">
        <v>57</v>
      </c>
      <c r="P193" t="s">
        <v>58</v>
      </c>
      <c r="Q193" t="s">
        <v>59</v>
      </c>
      <c r="R193">
        <v>99999</v>
      </c>
      <c r="S193" t="s">
        <v>30</v>
      </c>
      <c r="T193" t="s">
        <v>35</v>
      </c>
      <c r="U193" t="s">
        <v>72</v>
      </c>
      <c r="V193" t="s">
        <v>73</v>
      </c>
      <c r="W193" s="3">
        <v>12.75</v>
      </c>
      <c r="X193">
        <v>57</v>
      </c>
      <c r="Y193" s="4">
        <v>726.75</v>
      </c>
      <c r="Z193" s="3">
        <v>69.768000000000001</v>
      </c>
    </row>
    <row r="194" spans="1:26" x14ac:dyDescent="0.25">
      <c r="A194">
        <v>1224</v>
      </c>
      <c r="B194" s="2">
        <v>41861</v>
      </c>
      <c r="C194">
        <v>10</v>
      </c>
      <c r="D194" t="s">
        <v>97</v>
      </c>
      <c r="E194" t="s">
        <v>98</v>
      </c>
      <c r="F194" t="s">
        <v>99</v>
      </c>
      <c r="G194" t="s">
        <v>100</v>
      </c>
      <c r="H194">
        <v>99999</v>
      </c>
      <c r="I194" t="s">
        <v>30</v>
      </c>
      <c r="J194" t="s">
        <v>101</v>
      </c>
      <c r="K194" t="s">
        <v>45</v>
      </c>
      <c r="L194" s="2">
        <v>41863</v>
      </c>
      <c r="M194" t="s">
        <v>33</v>
      </c>
      <c r="N194" t="s">
        <v>102</v>
      </c>
      <c r="O194" t="s">
        <v>98</v>
      </c>
      <c r="P194" t="s">
        <v>99</v>
      </c>
      <c r="Q194" t="s">
        <v>100</v>
      </c>
      <c r="R194">
        <v>99999</v>
      </c>
      <c r="S194" t="s">
        <v>30</v>
      </c>
      <c r="T194" t="s">
        <v>48</v>
      </c>
      <c r="U194" t="s">
        <v>103</v>
      </c>
      <c r="V194" t="s">
        <v>37</v>
      </c>
      <c r="W194" s="3">
        <v>2.99</v>
      </c>
      <c r="X194">
        <v>23</v>
      </c>
      <c r="Y194" s="4">
        <v>68.77000000000001</v>
      </c>
      <c r="Z194" s="3">
        <v>6.6706900000000013</v>
      </c>
    </row>
    <row r="195" spans="1:26" x14ac:dyDescent="0.25">
      <c r="A195">
        <v>1225</v>
      </c>
      <c r="B195" s="2">
        <v>41858</v>
      </c>
      <c r="C195">
        <v>7</v>
      </c>
      <c r="D195" t="s">
        <v>104</v>
      </c>
      <c r="E195" t="s">
        <v>105</v>
      </c>
      <c r="F195" t="s">
        <v>106</v>
      </c>
      <c r="G195" t="s">
        <v>107</v>
      </c>
      <c r="H195">
        <v>99999</v>
      </c>
      <c r="I195" t="s">
        <v>30</v>
      </c>
      <c r="J195" t="s">
        <v>60</v>
      </c>
      <c r="K195" t="s">
        <v>61</v>
      </c>
      <c r="L195" s="2"/>
      <c r="N195" t="s">
        <v>108</v>
      </c>
      <c r="O195" t="s">
        <v>105</v>
      </c>
      <c r="P195" t="s">
        <v>106</v>
      </c>
      <c r="Q195" t="s">
        <v>107</v>
      </c>
      <c r="R195">
        <v>99999</v>
      </c>
      <c r="S195" t="s">
        <v>30</v>
      </c>
      <c r="U195" t="s">
        <v>55</v>
      </c>
      <c r="V195" t="s">
        <v>37</v>
      </c>
      <c r="W195" s="3">
        <v>46</v>
      </c>
      <c r="X195">
        <v>86</v>
      </c>
      <c r="Y195" s="4">
        <v>3956</v>
      </c>
      <c r="Z195" s="3">
        <v>399.55600000000004</v>
      </c>
    </row>
    <row r="196" spans="1:26" x14ac:dyDescent="0.25">
      <c r="A196">
        <v>1226</v>
      </c>
      <c r="B196" s="2">
        <v>41861</v>
      </c>
      <c r="C196">
        <v>10</v>
      </c>
      <c r="D196" t="s">
        <v>97</v>
      </c>
      <c r="E196" t="s">
        <v>98</v>
      </c>
      <c r="F196" t="s">
        <v>99</v>
      </c>
      <c r="G196" t="s">
        <v>100</v>
      </c>
      <c r="H196">
        <v>99999</v>
      </c>
      <c r="I196" t="s">
        <v>30</v>
      </c>
      <c r="J196" t="s">
        <v>101</v>
      </c>
      <c r="K196" t="s">
        <v>45</v>
      </c>
      <c r="L196" s="2">
        <v>41863</v>
      </c>
      <c r="M196" t="s">
        <v>46</v>
      </c>
      <c r="N196" t="s">
        <v>102</v>
      </c>
      <c r="O196" t="s">
        <v>98</v>
      </c>
      <c r="P196" t="s">
        <v>99</v>
      </c>
      <c r="Q196" t="s">
        <v>100</v>
      </c>
      <c r="R196">
        <v>99999</v>
      </c>
      <c r="S196" t="s">
        <v>30</v>
      </c>
      <c r="U196" t="s">
        <v>109</v>
      </c>
      <c r="V196" t="s">
        <v>110</v>
      </c>
      <c r="W196" s="3">
        <v>25</v>
      </c>
      <c r="X196">
        <v>47</v>
      </c>
      <c r="Y196" s="4">
        <v>1175</v>
      </c>
      <c r="Z196" s="3">
        <v>116.325</v>
      </c>
    </row>
    <row r="197" spans="1:26" x14ac:dyDescent="0.25">
      <c r="A197">
        <v>1227</v>
      </c>
      <c r="B197" s="2">
        <v>41861</v>
      </c>
      <c r="C197">
        <v>10</v>
      </c>
      <c r="D197" t="s">
        <v>97</v>
      </c>
      <c r="E197" t="s">
        <v>98</v>
      </c>
      <c r="F197" t="s">
        <v>99</v>
      </c>
      <c r="G197" t="s">
        <v>100</v>
      </c>
      <c r="H197">
        <v>99999</v>
      </c>
      <c r="I197" t="s">
        <v>30</v>
      </c>
      <c r="J197" t="s">
        <v>101</v>
      </c>
      <c r="K197" t="s">
        <v>45</v>
      </c>
      <c r="L197" s="2">
        <v>41863</v>
      </c>
      <c r="M197" t="s">
        <v>46</v>
      </c>
      <c r="N197" t="s">
        <v>102</v>
      </c>
      <c r="O197" t="s">
        <v>98</v>
      </c>
      <c r="P197" t="s">
        <v>99</v>
      </c>
      <c r="Q197" t="s">
        <v>100</v>
      </c>
      <c r="R197">
        <v>99999</v>
      </c>
      <c r="S197" t="s">
        <v>30</v>
      </c>
      <c r="U197" t="s">
        <v>111</v>
      </c>
      <c r="V197" t="s">
        <v>112</v>
      </c>
      <c r="W197" s="3">
        <v>22</v>
      </c>
      <c r="X197">
        <v>97</v>
      </c>
      <c r="Y197" s="4">
        <v>2134</v>
      </c>
      <c r="Z197" s="3">
        <v>221.93600000000001</v>
      </c>
    </row>
    <row r="198" spans="1:26" x14ac:dyDescent="0.25">
      <c r="A198">
        <v>1228</v>
      </c>
      <c r="B198" s="2">
        <v>41861</v>
      </c>
      <c r="C198">
        <v>10</v>
      </c>
      <c r="D198" t="s">
        <v>97</v>
      </c>
      <c r="E198" t="s">
        <v>98</v>
      </c>
      <c r="F198" t="s">
        <v>99</v>
      </c>
      <c r="G198" t="s">
        <v>100</v>
      </c>
      <c r="H198">
        <v>99999</v>
      </c>
      <c r="I198" t="s">
        <v>30</v>
      </c>
      <c r="J198" t="s">
        <v>101</v>
      </c>
      <c r="K198" t="s">
        <v>45</v>
      </c>
      <c r="L198" s="2">
        <v>41863</v>
      </c>
      <c r="M198" t="s">
        <v>46</v>
      </c>
      <c r="N198" t="s">
        <v>102</v>
      </c>
      <c r="O198" t="s">
        <v>98</v>
      </c>
      <c r="P198" t="s">
        <v>99</v>
      </c>
      <c r="Q198" t="s">
        <v>100</v>
      </c>
      <c r="R198">
        <v>99999</v>
      </c>
      <c r="S198" t="s">
        <v>30</v>
      </c>
      <c r="U198" t="s">
        <v>64</v>
      </c>
      <c r="V198" t="s">
        <v>65</v>
      </c>
      <c r="W198" s="3">
        <v>9.1999999999999993</v>
      </c>
      <c r="X198">
        <v>96</v>
      </c>
      <c r="Y198" s="4">
        <v>883.19999999999993</v>
      </c>
      <c r="Z198" s="3">
        <v>86.553599999999989</v>
      </c>
    </row>
    <row r="199" spans="1:26" x14ac:dyDescent="0.25">
      <c r="A199">
        <v>1229</v>
      </c>
      <c r="B199" s="2">
        <v>41862</v>
      </c>
      <c r="C199">
        <v>11</v>
      </c>
      <c r="D199" t="s">
        <v>113</v>
      </c>
      <c r="E199" t="s">
        <v>114</v>
      </c>
      <c r="F199" t="s">
        <v>115</v>
      </c>
      <c r="G199" t="s">
        <v>116</v>
      </c>
      <c r="H199">
        <v>99999</v>
      </c>
      <c r="I199" t="s">
        <v>30</v>
      </c>
      <c r="J199" t="s">
        <v>94</v>
      </c>
      <c r="K199" t="s">
        <v>95</v>
      </c>
      <c r="L199" s="2"/>
      <c r="M199" t="s">
        <v>62</v>
      </c>
      <c r="N199" t="s">
        <v>117</v>
      </c>
      <c r="O199" t="s">
        <v>114</v>
      </c>
      <c r="P199" t="s">
        <v>115</v>
      </c>
      <c r="Q199" t="s">
        <v>116</v>
      </c>
      <c r="R199">
        <v>99999</v>
      </c>
      <c r="S199" t="s">
        <v>30</v>
      </c>
      <c r="U199" t="s">
        <v>38</v>
      </c>
      <c r="V199" t="s">
        <v>39</v>
      </c>
      <c r="W199" s="3">
        <v>3.5</v>
      </c>
      <c r="X199">
        <v>31</v>
      </c>
      <c r="Y199" s="4">
        <v>108.5</v>
      </c>
      <c r="Z199" s="3">
        <v>10.850000000000001</v>
      </c>
    </row>
    <row r="200" spans="1:26" x14ac:dyDescent="0.25">
      <c r="A200">
        <v>1230</v>
      </c>
      <c r="B200" s="2">
        <v>41862</v>
      </c>
      <c r="C200">
        <v>11</v>
      </c>
      <c r="D200" t="s">
        <v>113</v>
      </c>
      <c r="E200" t="s">
        <v>114</v>
      </c>
      <c r="F200" t="s">
        <v>115</v>
      </c>
      <c r="G200" t="s">
        <v>116</v>
      </c>
      <c r="H200">
        <v>99999</v>
      </c>
      <c r="I200" t="s">
        <v>30</v>
      </c>
      <c r="J200" t="s">
        <v>94</v>
      </c>
      <c r="K200" t="s">
        <v>95</v>
      </c>
      <c r="L200" s="2"/>
      <c r="M200" t="s">
        <v>62</v>
      </c>
      <c r="N200" t="s">
        <v>117</v>
      </c>
      <c r="O200" t="s">
        <v>114</v>
      </c>
      <c r="P200" t="s">
        <v>115</v>
      </c>
      <c r="Q200" t="s">
        <v>116</v>
      </c>
      <c r="R200">
        <v>99999</v>
      </c>
      <c r="S200" t="s">
        <v>30</v>
      </c>
      <c r="U200" t="s">
        <v>103</v>
      </c>
      <c r="V200" t="s">
        <v>37</v>
      </c>
      <c r="W200" s="3">
        <v>2.99</v>
      </c>
      <c r="X200">
        <v>52</v>
      </c>
      <c r="Y200" s="4">
        <v>155.48000000000002</v>
      </c>
      <c r="Z200" s="3">
        <v>16.014440000000004</v>
      </c>
    </row>
    <row r="201" spans="1:26" x14ac:dyDescent="0.25">
      <c r="A201">
        <v>1231</v>
      </c>
      <c r="B201" s="2">
        <v>41852</v>
      </c>
      <c r="C201">
        <v>1</v>
      </c>
      <c r="D201" t="s">
        <v>118</v>
      </c>
      <c r="E201" t="s">
        <v>119</v>
      </c>
      <c r="F201" t="s">
        <v>120</v>
      </c>
      <c r="G201" t="s">
        <v>121</v>
      </c>
      <c r="H201">
        <v>99999</v>
      </c>
      <c r="I201" t="s">
        <v>30</v>
      </c>
      <c r="J201" t="s">
        <v>60</v>
      </c>
      <c r="K201" t="s">
        <v>61</v>
      </c>
      <c r="L201" s="2"/>
      <c r="N201" t="s">
        <v>122</v>
      </c>
      <c r="O201" t="s">
        <v>119</v>
      </c>
      <c r="P201" t="s">
        <v>120</v>
      </c>
      <c r="Q201" t="s">
        <v>121</v>
      </c>
      <c r="R201">
        <v>99999</v>
      </c>
      <c r="S201" t="s">
        <v>30</v>
      </c>
      <c r="U201" t="s">
        <v>54</v>
      </c>
      <c r="V201" t="s">
        <v>37</v>
      </c>
      <c r="W201" s="3">
        <v>18</v>
      </c>
      <c r="X201">
        <v>91</v>
      </c>
      <c r="Y201" s="4">
        <v>1638</v>
      </c>
      <c r="Z201" s="3">
        <v>158.886</v>
      </c>
    </row>
    <row r="202" spans="1:26" x14ac:dyDescent="0.25">
      <c r="A202">
        <v>1232</v>
      </c>
      <c r="B202" s="2">
        <v>41852</v>
      </c>
      <c r="C202">
        <v>1</v>
      </c>
      <c r="D202" t="s">
        <v>118</v>
      </c>
      <c r="E202" t="s">
        <v>119</v>
      </c>
      <c r="F202" t="s">
        <v>120</v>
      </c>
      <c r="G202" t="s">
        <v>121</v>
      </c>
      <c r="H202">
        <v>99999</v>
      </c>
      <c r="I202" t="s">
        <v>30</v>
      </c>
      <c r="J202" t="s">
        <v>60</v>
      </c>
      <c r="K202" t="s">
        <v>61</v>
      </c>
      <c r="L202" s="2"/>
      <c r="N202" t="s">
        <v>122</v>
      </c>
      <c r="O202" t="s">
        <v>119</v>
      </c>
      <c r="P202" t="s">
        <v>120</v>
      </c>
      <c r="Q202" t="s">
        <v>121</v>
      </c>
      <c r="R202">
        <v>99999</v>
      </c>
      <c r="S202" t="s">
        <v>30</v>
      </c>
      <c r="U202" t="s">
        <v>55</v>
      </c>
      <c r="V202" t="s">
        <v>37</v>
      </c>
      <c r="W202" s="3">
        <v>46</v>
      </c>
      <c r="X202">
        <v>14</v>
      </c>
      <c r="Y202" s="4">
        <v>644</v>
      </c>
      <c r="Z202" s="3">
        <v>63.756000000000007</v>
      </c>
    </row>
    <row r="203" spans="1:26" x14ac:dyDescent="0.25">
      <c r="A203">
        <v>1233</v>
      </c>
      <c r="B203" s="2">
        <v>41852</v>
      </c>
      <c r="C203">
        <v>1</v>
      </c>
      <c r="D203" t="s">
        <v>118</v>
      </c>
      <c r="E203" t="s">
        <v>119</v>
      </c>
      <c r="F203" t="s">
        <v>120</v>
      </c>
      <c r="G203" t="s">
        <v>121</v>
      </c>
      <c r="H203">
        <v>99999</v>
      </c>
      <c r="I203" t="s">
        <v>30</v>
      </c>
      <c r="J203" t="s">
        <v>60</v>
      </c>
      <c r="K203" t="s">
        <v>61</v>
      </c>
      <c r="L203" s="2"/>
      <c r="N203" t="s">
        <v>122</v>
      </c>
      <c r="O203" t="s">
        <v>119</v>
      </c>
      <c r="P203" t="s">
        <v>120</v>
      </c>
      <c r="Q203" t="s">
        <v>121</v>
      </c>
      <c r="R203">
        <v>99999</v>
      </c>
      <c r="S203" t="s">
        <v>30</v>
      </c>
      <c r="U203" t="s">
        <v>103</v>
      </c>
      <c r="V203" t="s">
        <v>37</v>
      </c>
      <c r="W203">
        <v>2.99</v>
      </c>
      <c r="X203">
        <v>44</v>
      </c>
      <c r="Y203" s="4">
        <v>131.56</v>
      </c>
      <c r="Z203" s="3">
        <v>13.287560000000001</v>
      </c>
    </row>
    <row r="204" spans="1:26" x14ac:dyDescent="0.25">
      <c r="A204">
        <v>1234</v>
      </c>
      <c r="B204" s="2">
        <v>41879</v>
      </c>
      <c r="C204">
        <v>28</v>
      </c>
      <c r="D204" t="s">
        <v>90</v>
      </c>
      <c r="E204" t="s">
        <v>91</v>
      </c>
      <c r="F204" t="s">
        <v>92</v>
      </c>
      <c r="G204" t="s">
        <v>93</v>
      </c>
      <c r="H204">
        <v>99999</v>
      </c>
      <c r="I204" t="s">
        <v>30</v>
      </c>
      <c r="J204" t="s">
        <v>94</v>
      </c>
      <c r="K204" t="s">
        <v>95</v>
      </c>
      <c r="L204" s="2">
        <v>41881</v>
      </c>
      <c r="M204" t="s">
        <v>62</v>
      </c>
      <c r="N204" t="s">
        <v>96</v>
      </c>
      <c r="O204" t="s">
        <v>91</v>
      </c>
      <c r="P204" t="s">
        <v>92</v>
      </c>
      <c r="Q204" t="s">
        <v>93</v>
      </c>
      <c r="R204">
        <v>99999</v>
      </c>
      <c r="S204" t="s">
        <v>30</v>
      </c>
      <c r="T204" t="s">
        <v>48</v>
      </c>
      <c r="U204" t="s">
        <v>80</v>
      </c>
      <c r="V204" t="s">
        <v>81</v>
      </c>
      <c r="W204">
        <v>9.65</v>
      </c>
      <c r="X204">
        <v>97</v>
      </c>
      <c r="Y204" s="4">
        <v>936.05000000000007</v>
      </c>
      <c r="Z204" s="3">
        <v>95.477100000000021</v>
      </c>
    </row>
    <row r="205" spans="1:26" x14ac:dyDescent="0.25">
      <c r="A205">
        <v>1235</v>
      </c>
      <c r="B205" s="2">
        <v>41879</v>
      </c>
      <c r="C205">
        <v>28</v>
      </c>
      <c r="D205" t="s">
        <v>90</v>
      </c>
      <c r="E205" t="s">
        <v>91</v>
      </c>
      <c r="F205" t="s">
        <v>92</v>
      </c>
      <c r="G205" t="s">
        <v>93</v>
      </c>
      <c r="H205">
        <v>99999</v>
      </c>
      <c r="I205" t="s">
        <v>30</v>
      </c>
      <c r="J205" t="s">
        <v>94</v>
      </c>
      <c r="K205" t="s">
        <v>95</v>
      </c>
      <c r="L205" s="2">
        <v>41881</v>
      </c>
      <c r="M205" t="s">
        <v>62</v>
      </c>
      <c r="N205" t="s">
        <v>96</v>
      </c>
      <c r="O205" t="s">
        <v>91</v>
      </c>
      <c r="P205" t="s">
        <v>92</v>
      </c>
      <c r="Q205" t="s">
        <v>93</v>
      </c>
      <c r="R205">
        <v>99999</v>
      </c>
      <c r="S205" t="s">
        <v>30</v>
      </c>
      <c r="T205" t="s">
        <v>48</v>
      </c>
      <c r="U205" t="s">
        <v>123</v>
      </c>
      <c r="V205" t="s">
        <v>124</v>
      </c>
      <c r="W205">
        <v>18.399999999999999</v>
      </c>
      <c r="X205">
        <v>80</v>
      </c>
      <c r="Y205" s="4">
        <v>1472</v>
      </c>
      <c r="Z205" s="3">
        <v>150.14400000000003</v>
      </c>
    </row>
    <row r="206" spans="1:26" x14ac:dyDescent="0.25">
      <c r="A206">
        <v>1236</v>
      </c>
      <c r="B206" s="2">
        <v>41860</v>
      </c>
      <c r="C206">
        <v>9</v>
      </c>
      <c r="D206" t="s">
        <v>125</v>
      </c>
      <c r="E206" t="s">
        <v>126</v>
      </c>
      <c r="F206" t="s">
        <v>127</v>
      </c>
      <c r="G206" t="s">
        <v>128</v>
      </c>
      <c r="H206">
        <v>99999</v>
      </c>
      <c r="I206" t="s">
        <v>30</v>
      </c>
      <c r="J206" t="s">
        <v>129</v>
      </c>
      <c r="K206" t="s">
        <v>32</v>
      </c>
      <c r="L206" s="2">
        <v>41862</v>
      </c>
      <c r="M206" t="s">
        <v>46</v>
      </c>
      <c r="N206" t="s">
        <v>130</v>
      </c>
      <c r="O206" t="s">
        <v>126</v>
      </c>
      <c r="P206" t="s">
        <v>127</v>
      </c>
      <c r="Q206" t="s">
        <v>128</v>
      </c>
      <c r="R206">
        <v>99999</v>
      </c>
      <c r="S206" t="s">
        <v>30</v>
      </c>
      <c r="T206" t="s">
        <v>35</v>
      </c>
      <c r="U206" t="s">
        <v>131</v>
      </c>
      <c r="V206" t="s">
        <v>132</v>
      </c>
      <c r="W206">
        <v>19.5</v>
      </c>
      <c r="X206">
        <v>66</v>
      </c>
      <c r="Y206" s="4">
        <v>1287</v>
      </c>
      <c r="Z206" s="3">
        <v>132.56100000000001</v>
      </c>
    </row>
    <row r="207" spans="1:26" x14ac:dyDescent="0.25">
      <c r="A207">
        <v>1237</v>
      </c>
      <c r="B207" s="2">
        <v>41860</v>
      </c>
      <c r="C207">
        <v>9</v>
      </c>
      <c r="D207" t="s">
        <v>125</v>
      </c>
      <c r="E207" t="s">
        <v>126</v>
      </c>
      <c r="F207" t="s">
        <v>127</v>
      </c>
      <c r="G207" t="s">
        <v>128</v>
      </c>
      <c r="H207">
        <v>99999</v>
      </c>
      <c r="I207" t="s">
        <v>30</v>
      </c>
      <c r="J207" t="s">
        <v>129</v>
      </c>
      <c r="K207" t="s">
        <v>32</v>
      </c>
      <c r="L207" s="2">
        <v>41862</v>
      </c>
      <c r="M207" t="s">
        <v>46</v>
      </c>
      <c r="N207" t="s">
        <v>130</v>
      </c>
      <c r="O207" t="s">
        <v>126</v>
      </c>
      <c r="P207" t="s">
        <v>127</v>
      </c>
      <c r="Q207" t="s">
        <v>128</v>
      </c>
      <c r="R207">
        <v>99999</v>
      </c>
      <c r="S207" t="s">
        <v>30</v>
      </c>
      <c r="T207" t="s">
        <v>35</v>
      </c>
      <c r="U207" t="s">
        <v>133</v>
      </c>
      <c r="V207" t="s">
        <v>134</v>
      </c>
      <c r="W207">
        <v>34.799999999999997</v>
      </c>
      <c r="X207">
        <v>32</v>
      </c>
      <c r="Y207" s="4">
        <v>1113.5999999999999</v>
      </c>
      <c r="Z207" s="3">
        <v>111.36</v>
      </c>
    </row>
    <row r="208" spans="1:26" x14ac:dyDescent="0.25">
      <c r="A208">
        <v>1238</v>
      </c>
      <c r="B208" s="2">
        <v>41857</v>
      </c>
      <c r="C208">
        <v>6</v>
      </c>
      <c r="D208" t="s">
        <v>82</v>
      </c>
      <c r="E208" t="s">
        <v>83</v>
      </c>
      <c r="F208" t="s">
        <v>84</v>
      </c>
      <c r="G208" t="s">
        <v>85</v>
      </c>
      <c r="H208">
        <v>99999</v>
      </c>
      <c r="I208" t="s">
        <v>30</v>
      </c>
      <c r="J208" t="s">
        <v>86</v>
      </c>
      <c r="K208" t="s">
        <v>61</v>
      </c>
      <c r="L208" s="2">
        <v>41859</v>
      </c>
      <c r="M208" t="s">
        <v>33</v>
      </c>
      <c r="N208" t="s">
        <v>87</v>
      </c>
      <c r="O208" t="s">
        <v>83</v>
      </c>
      <c r="P208" t="s">
        <v>84</v>
      </c>
      <c r="Q208" t="s">
        <v>85</v>
      </c>
      <c r="R208">
        <v>99999</v>
      </c>
      <c r="S208" t="s">
        <v>30</v>
      </c>
      <c r="T208" t="s">
        <v>48</v>
      </c>
      <c r="U208" t="s">
        <v>36</v>
      </c>
      <c r="V208" t="s">
        <v>37</v>
      </c>
      <c r="W208">
        <v>14</v>
      </c>
      <c r="X208">
        <v>52</v>
      </c>
      <c r="Y208" s="4">
        <v>728</v>
      </c>
      <c r="Z208" s="3">
        <v>72.8</v>
      </c>
    </row>
    <row r="209" spans="1:26" x14ac:dyDescent="0.25">
      <c r="A209">
        <v>1239</v>
      </c>
      <c r="B209" s="2">
        <v>41859</v>
      </c>
      <c r="C209">
        <v>8</v>
      </c>
      <c r="D209" t="s">
        <v>56</v>
      </c>
      <c r="E209" t="s">
        <v>57</v>
      </c>
      <c r="F209" t="s">
        <v>58</v>
      </c>
      <c r="G209" t="s">
        <v>59</v>
      </c>
      <c r="H209">
        <v>99999</v>
      </c>
      <c r="I209" t="s">
        <v>30</v>
      </c>
      <c r="J209" t="s">
        <v>60</v>
      </c>
      <c r="K209" t="s">
        <v>61</v>
      </c>
      <c r="L209" s="2">
        <v>41861</v>
      </c>
      <c r="M209" t="s">
        <v>33</v>
      </c>
      <c r="N209" t="s">
        <v>63</v>
      </c>
      <c r="O209" t="s">
        <v>57</v>
      </c>
      <c r="P209" t="s">
        <v>58</v>
      </c>
      <c r="Q209" t="s">
        <v>59</v>
      </c>
      <c r="R209">
        <v>99999</v>
      </c>
      <c r="S209" t="s">
        <v>30</v>
      </c>
      <c r="T209" t="s">
        <v>35</v>
      </c>
      <c r="U209" t="s">
        <v>88</v>
      </c>
      <c r="V209" t="s">
        <v>89</v>
      </c>
      <c r="W209">
        <v>40</v>
      </c>
      <c r="X209">
        <v>78</v>
      </c>
      <c r="Y209" s="4">
        <v>3120</v>
      </c>
      <c r="Z209" s="3">
        <v>318.24</v>
      </c>
    </row>
    <row r="210" spans="1:26" x14ac:dyDescent="0.25">
      <c r="A210">
        <v>1240</v>
      </c>
      <c r="B210" s="2">
        <v>41859</v>
      </c>
      <c r="C210">
        <v>8</v>
      </c>
      <c r="D210" t="s">
        <v>56</v>
      </c>
      <c r="E210" t="s">
        <v>57</v>
      </c>
      <c r="F210" t="s">
        <v>58</v>
      </c>
      <c r="G210" t="s">
        <v>59</v>
      </c>
      <c r="H210">
        <v>99999</v>
      </c>
      <c r="I210" t="s">
        <v>30</v>
      </c>
      <c r="J210" t="s">
        <v>60</v>
      </c>
      <c r="K210" t="s">
        <v>61</v>
      </c>
      <c r="L210" s="2">
        <v>41861</v>
      </c>
      <c r="M210" t="s">
        <v>33</v>
      </c>
      <c r="N210" t="s">
        <v>63</v>
      </c>
      <c r="O210" t="s">
        <v>57</v>
      </c>
      <c r="P210" t="s">
        <v>58</v>
      </c>
      <c r="Q210" t="s">
        <v>59</v>
      </c>
      <c r="R210">
        <v>99999</v>
      </c>
      <c r="S210" t="s">
        <v>30</v>
      </c>
      <c r="T210" t="s">
        <v>35</v>
      </c>
      <c r="U210" t="s">
        <v>64</v>
      </c>
      <c r="V210" t="s">
        <v>65</v>
      </c>
      <c r="W210">
        <v>9.1999999999999993</v>
      </c>
      <c r="X210">
        <v>54</v>
      </c>
      <c r="Y210" s="4">
        <v>496.79999999999995</v>
      </c>
      <c r="Z210" s="3">
        <v>49.183199999999999</v>
      </c>
    </row>
    <row r="211" spans="1:26" x14ac:dyDescent="0.25">
      <c r="A211">
        <v>1241</v>
      </c>
      <c r="B211" s="2">
        <v>41876</v>
      </c>
      <c r="C211">
        <v>25</v>
      </c>
      <c r="D211" t="s">
        <v>137</v>
      </c>
      <c r="E211" t="s">
        <v>138</v>
      </c>
      <c r="F211" t="s">
        <v>99</v>
      </c>
      <c r="G211" t="s">
        <v>100</v>
      </c>
      <c r="H211">
        <v>99999</v>
      </c>
      <c r="I211" t="s">
        <v>30</v>
      </c>
      <c r="J211" t="s">
        <v>101</v>
      </c>
      <c r="K211" t="s">
        <v>45</v>
      </c>
      <c r="L211" s="2">
        <v>41878</v>
      </c>
      <c r="M211" t="s">
        <v>46</v>
      </c>
      <c r="N211" t="s">
        <v>139</v>
      </c>
      <c r="O211" t="s">
        <v>138</v>
      </c>
      <c r="P211" t="s">
        <v>99</v>
      </c>
      <c r="Q211" t="s">
        <v>100</v>
      </c>
      <c r="R211">
        <v>99999</v>
      </c>
      <c r="S211" t="s">
        <v>30</v>
      </c>
      <c r="T211" t="s">
        <v>79</v>
      </c>
      <c r="U211" t="s">
        <v>146</v>
      </c>
      <c r="V211" t="s">
        <v>65</v>
      </c>
      <c r="W211">
        <v>10</v>
      </c>
      <c r="X211">
        <v>55</v>
      </c>
      <c r="Y211" s="4">
        <v>550</v>
      </c>
      <c r="Z211" s="3">
        <v>52.25</v>
      </c>
    </row>
    <row r="212" spans="1:26" x14ac:dyDescent="0.25">
      <c r="A212">
        <v>1242</v>
      </c>
      <c r="B212" s="2">
        <v>41877</v>
      </c>
      <c r="C212">
        <v>26</v>
      </c>
      <c r="D212" t="s">
        <v>140</v>
      </c>
      <c r="E212" t="s">
        <v>141</v>
      </c>
      <c r="F212" t="s">
        <v>115</v>
      </c>
      <c r="G212" t="s">
        <v>116</v>
      </c>
      <c r="H212">
        <v>99999</v>
      </c>
      <c r="I212" t="s">
        <v>30</v>
      </c>
      <c r="J212" t="s">
        <v>94</v>
      </c>
      <c r="K212" t="s">
        <v>95</v>
      </c>
      <c r="L212" s="2">
        <v>41879</v>
      </c>
      <c r="M212" t="s">
        <v>62</v>
      </c>
      <c r="N212" t="s">
        <v>142</v>
      </c>
      <c r="O212" t="s">
        <v>141</v>
      </c>
      <c r="P212" t="s">
        <v>115</v>
      </c>
      <c r="Q212" t="s">
        <v>116</v>
      </c>
      <c r="R212">
        <v>99999</v>
      </c>
      <c r="S212" t="s">
        <v>30</v>
      </c>
      <c r="T212" t="s">
        <v>48</v>
      </c>
      <c r="U212" t="s">
        <v>147</v>
      </c>
      <c r="V212" t="s">
        <v>148</v>
      </c>
      <c r="W212">
        <v>21.35</v>
      </c>
      <c r="X212">
        <v>60</v>
      </c>
      <c r="Y212" s="4">
        <v>1281</v>
      </c>
      <c r="Z212" s="3">
        <v>129.381</v>
      </c>
    </row>
    <row r="213" spans="1:26" x14ac:dyDescent="0.25">
      <c r="A213">
        <v>1243</v>
      </c>
      <c r="B213" s="2">
        <v>41877</v>
      </c>
      <c r="C213">
        <v>26</v>
      </c>
      <c r="D213" t="s">
        <v>140</v>
      </c>
      <c r="E213" t="s">
        <v>141</v>
      </c>
      <c r="F213" t="s">
        <v>115</v>
      </c>
      <c r="G213" t="s">
        <v>116</v>
      </c>
      <c r="H213">
        <v>99999</v>
      </c>
      <c r="I213" t="s">
        <v>30</v>
      </c>
      <c r="J213" t="s">
        <v>94</v>
      </c>
      <c r="K213" t="s">
        <v>95</v>
      </c>
      <c r="L213" s="2">
        <v>41879</v>
      </c>
      <c r="M213" t="s">
        <v>62</v>
      </c>
      <c r="N213" t="s">
        <v>142</v>
      </c>
      <c r="O213" t="s">
        <v>141</v>
      </c>
      <c r="P213" t="s">
        <v>115</v>
      </c>
      <c r="Q213" t="s">
        <v>116</v>
      </c>
      <c r="R213">
        <v>99999</v>
      </c>
      <c r="S213" t="s">
        <v>30</v>
      </c>
      <c r="T213" t="s">
        <v>48</v>
      </c>
      <c r="U213" t="s">
        <v>80</v>
      </c>
      <c r="V213" t="s">
        <v>81</v>
      </c>
      <c r="W213">
        <v>9.65</v>
      </c>
      <c r="X213">
        <v>19</v>
      </c>
      <c r="Y213" s="4">
        <v>183.35</v>
      </c>
      <c r="Z213" s="3">
        <v>17.41825</v>
      </c>
    </row>
    <row r="214" spans="1:26" x14ac:dyDescent="0.25">
      <c r="A214">
        <v>1244</v>
      </c>
      <c r="B214" s="2">
        <v>41877</v>
      </c>
      <c r="C214">
        <v>26</v>
      </c>
      <c r="D214" t="s">
        <v>140</v>
      </c>
      <c r="E214" t="s">
        <v>141</v>
      </c>
      <c r="F214" t="s">
        <v>115</v>
      </c>
      <c r="G214" t="s">
        <v>116</v>
      </c>
      <c r="H214">
        <v>99999</v>
      </c>
      <c r="I214" t="s">
        <v>30</v>
      </c>
      <c r="J214" t="s">
        <v>94</v>
      </c>
      <c r="K214" t="s">
        <v>95</v>
      </c>
      <c r="L214" s="2">
        <v>41879</v>
      </c>
      <c r="M214" t="s">
        <v>62</v>
      </c>
      <c r="N214" t="s">
        <v>142</v>
      </c>
      <c r="O214" t="s">
        <v>141</v>
      </c>
      <c r="P214" t="s">
        <v>115</v>
      </c>
      <c r="Q214" t="s">
        <v>116</v>
      </c>
      <c r="R214">
        <v>99999</v>
      </c>
      <c r="S214" t="s">
        <v>30</v>
      </c>
      <c r="T214" t="s">
        <v>48</v>
      </c>
      <c r="U214" t="s">
        <v>123</v>
      </c>
      <c r="V214" t="s">
        <v>124</v>
      </c>
      <c r="W214">
        <v>18.399999999999999</v>
      </c>
      <c r="X214">
        <v>66</v>
      </c>
      <c r="Y214" s="4">
        <v>1214.3999999999999</v>
      </c>
      <c r="Z214" s="3">
        <v>125.08320000000001</v>
      </c>
    </row>
    <row r="215" spans="1:26" x14ac:dyDescent="0.25">
      <c r="A215">
        <v>1245</v>
      </c>
      <c r="B215" s="2">
        <v>41880</v>
      </c>
      <c r="C215">
        <v>29</v>
      </c>
      <c r="D215" t="s">
        <v>66</v>
      </c>
      <c r="E215" t="s">
        <v>67</v>
      </c>
      <c r="F215" t="s">
        <v>68</v>
      </c>
      <c r="G215" t="s">
        <v>69</v>
      </c>
      <c r="H215">
        <v>99999</v>
      </c>
      <c r="I215" t="s">
        <v>30</v>
      </c>
      <c r="J215" t="s">
        <v>70</v>
      </c>
      <c r="K215" t="s">
        <v>32</v>
      </c>
      <c r="L215" s="2">
        <v>41882</v>
      </c>
      <c r="M215" t="s">
        <v>33</v>
      </c>
      <c r="N215" t="s">
        <v>71</v>
      </c>
      <c r="O215" t="s">
        <v>67</v>
      </c>
      <c r="P215" t="s">
        <v>68</v>
      </c>
      <c r="Q215" t="s">
        <v>69</v>
      </c>
      <c r="R215">
        <v>99999</v>
      </c>
      <c r="S215" t="s">
        <v>30</v>
      </c>
      <c r="T215" t="s">
        <v>35</v>
      </c>
      <c r="U215" t="s">
        <v>36</v>
      </c>
      <c r="V215" t="s">
        <v>37</v>
      </c>
      <c r="W215">
        <v>14</v>
      </c>
      <c r="X215">
        <v>42</v>
      </c>
      <c r="Y215" s="4">
        <v>588</v>
      </c>
      <c r="Z215" s="3">
        <v>59.388000000000005</v>
      </c>
    </row>
    <row r="216" spans="1:26" x14ac:dyDescent="0.25">
      <c r="A216">
        <v>1246</v>
      </c>
      <c r="B216" s="2">
        <v>41857</v>
      </c>
      <c r="C216">
        <v>6</v>
      </c>
      <c r="D216" t="s">
        <v>82</v>
      </c>
      <c r="E216" t="s">
        <v>83</v>
      </c>
      <c r="F216" t="s">
        <v>84</v>
      </c>
      <c r="G216" t="s">
        <v>85</v>
      </c>
      <c r="H216">
        <v>99999</v>
      </c>
      <c r="I216" t="s">
        <v>30</v>
      </c>
      <c r="J216" t="s">
        <v>86</v>
      </c>
      <c r="K216" t="s">
        <v>61</v>
      </c>
      <c r="L216">
        <v>41859</v>
      </c>
      <c r="M216" t="s">
        <v>62</v>
      </c>
      <c r="N216" t="s">
        <v>87</v>
      </c>
      <c r="O216" t="s">
        <v>83</v>
      </c>
      <c r="P216" t="s">
        <v>84</v>
      </c>
      <c r="Q216" t="s">
        <v>85</v>
      </c>
      <c r="R216">
        <v>99999</v>
      </c>
      <c r="S216" t="s">
        <v>30</v>
      </c>
      <c r="T216" t="s">
        <v>35</v>
      </c>
      <c r="U216" t="s">
        <v>72</v>
      </c>
      <c r="V216" t="s">
        <v>73</v>
      </c>
      <c r="W216">
        <v>12.75</v>
      </c>
      <c r="X216">
        <v>72</v>
      </c>
      <c r="Y216" s="4">
        <v>918</v>
      </c>
      <c r="Z216" s="3">
        <v>89.046000000000006</v>
      </c>
    </row>
    <row r="217" spans="1:26" x14ac:dyDescent="0.25">
      <c r="A217">
        <v>1248</v>
      </c>
      <c r="B217" s="2">
        <v>41855</v>
      </c>
      <c r="C217">
        <v>4</v>
      </c>
      <c r="D217" t="s">
        <v>40</v>
      </c>
      <c r="E217" t="s">
        <v>41</v>
      </c>
      <c r="F217" t="s">
        <v>42</v>
      </c>
      <c r="G217" t="s">
        <v>43</v>
      </c>
      <c r="H217">
        <v>99999</v>
      </c>
      <c r="I217" t="s">
        <v>30</v>
      </c>
      <c r="J217" t="s">
        <v>44</v>
      </c>
      <c r="K217" t="s">
        <v>45</v>
      </c>
      <c r="L217">
        <v>41857</v>
      </c>
      <c r="M217" t="s">
        <v>46</v>
      </c>
      <c r="N217" t="s">
        <v>47</v>
      </c>
      <c r="O217" t="s">
        <v>41</v>
      </c>
      <c r="P217" t="s">
        <v>42</v>
      </c>
      <c r="Q217" t="s">
        <v>43</v>
      </c>
      <c r="R217">
        <v>99999</v>
      </c>
      <c r="S217" t="s">
        <v>30</v>
      </c>
      <c r="T217" t="s">
        <v>48</v>
      </c>
      <c r="U217" t="s">
        <v>149</v>
      </c>
      <c r="V217" t="s">
        <v>110</v>
      </c>
      <c r="W217">
        <v>81</v>
      </c>
      <c r="X217">
        <v>32</v>
      </c>
      <c r="Y217" s="4">
        <v>2592</v>
      </c>
      <c r="Z217" s="3">
        <v>251.42399999999998</v>
      </c>
    </row>
    <row r="218" spans="1:26" x14ac:dyDescent="0.25">
      <c r="A218">
        <v>1249</v>
      </c>
      <c r="B218" s="2">
        <v>41855</v>
      </c>
      <c r="C218">
        <v>4</v>
      </c>
      <c r="D218" t="s">
        <v>40</v>
      </c>
      <c r="E218" t="s">
        <v>41</v>
      </c>
      <c r="F218" t="s">
        <v>42</v>
      </c>
      <c r="G218" t="s">
        <v>43</v>
      </c>
      <c r="H218">
        <v>99999</v>
      </c>
      <c r="I218" t="s">
        <v>30</v>
      </c>
      <c r="J218" t="s">
        <v>44</v>
      </c>
      <c r="K218" t="s">
        <v>45</v>
      </c>
      <c r="L218">
        <v>41857</v>
      </c>
      <c r="M218" t="s">
        <v>46</v>
      </c>
      <c r="N218" t="s">
        <v>47</v>
      </c>
      <c r="O218" t="s">
        <v>41</v>
      </c>
      <c r="P218" t="s">
        <v>42</v>
      </c>
      <c r="Q218" t="s">
        <v>43</v>
      </c>
      <c r="R218">
        <v>99999</v>
      </c>
      <c r="S218" t="s">
        <v>30</v>
      </c>
      <c r="T218" t="s">
        <v>48</v>
      </c>
      <c r="U218" t="s">
        <v>150</v>
      </c>
      <c r="V218" t="s">
        <v>151</v>
      </c>
      <c r="W218">
        <v>7</v>
      </c>
      <c r="X218">
        <v>76</v>
      </c>
      <c r="Y218" s="4">
        <v>532</v>
      </c>
      <c r="Z218" s="3">
        <v>53.732000000000006</v>
      </c>
    </row>
    <row r="219" spans="1:26" x14ac:dyDescent="0.25">
      <c r="A219">
        <v>1250</v>
      </c>
      <c r="B219" s="2">
        <v>41892</v>
      </c>
      <c r="C219">
        <v>10</v>
      </c>
      <c r="D219" t="s">
        <v>97</v>
      </c>
      <c r="E219" t="s">
        <v>98</v>
      </c>
      <c r="F219" t="s">
        <v>99</v>
      </c>
      <c r="G219" t="s">
        <v>100</v>
      </c>
      <c r="H219">
        <v>99999</v>
      </c>
      <c r="I219" t="s">
        <v>30</v>
      </c>
      <c r="J219" t="s">
        <v>101</v>
      </c>
      <c r="K219" t="s">
        <v>45</v>
      </c>
      <c r="L219">
        <v>41894</v>
      </c>
      <c r="M219" t="s">
        <v>46</v>
      </c>
      <c r="N219" t="s">
        <v>102</v>
      </c>
      <c r="O219" t="s">
        <v>98</v>
      </c>
      <c r="P219" t="s">
        <v>99</v>
      </c>
      <c r="Q219" t="s">
        <v>100</v>
      </c>
      <c r="R219">
        <v>99999</v>
      </c>
      <c r="S219" t="s">
        <v>30</v>
      </c>
      <c r="U219" t="s">
        <v>64</v>
      </c>
      <c r="V219" t="s">
        <v>65</v>
      </c>
      <c r="W219">
        <v>9.1999999999999993</v>
      </c>
      <c r="X219">
        <v>83</v>
      </c>
      <c r="Y219" s="4">
        <v>763.59999999999991</v>
      </c>
      <c r="Z219" s="3">
        <v>74.832799999999992</v>
      </c>
    </row>
    <row r="220" spans="1:26" x14ac:dyDescent="0.25">
      <c r="A220">
        <v>1251</v>
      </c>
      <c r="B220" s="2">
        <v>41893</v>
      </c>
      <c r="C220">
        <v>11</v>
      </c>
      <c r="D220" t="s">
        <v>113</v>
      </c>
      <c r="E220" t="s">
        <v>114</v>
      </c>
      <c r="F220" t="s">
        <v>115</v>
      </c>
      <c r="G220" t="s">
        <v>116</v>
      </c>
      <c r="H220">
        <v>99999</v>
      </c>
      <c r="I220" t="s">
        <v>30</v>
      </c>
      <c r="J220" t="s">
        <v>94</v>
      </c>
      <c r="K220" t="s">
        <v>95</v>
      </c>
      <c r="L220" s="2"/>
      <c r="M220" t="s">
        <v>62</v>
      </c>
      <c r="N220" t="s">
        <v>117</v>
      </c>
      <c r="O220" t="s">
        <v>114</v>
      </c>
      <c r="P220" t="s">
        <v>115</v>
      </c>
      <c r="Q220" t="s">
        <v>116</v>
      </c>
      <c r="R220">
        <v>99999</v>
      </c>
      <c r="S220" t="s">
        <v>30</v>
      </c>
      <c r="U220" t="s">
        <v>38</v>
      </c>
      <c r="V220" t="s">
        <v>39</v>
      </c>
      <c r="W220">
        <v>3.5</v>
      </c>
      <c r="X220">
        <v>91</v>
      </c>
      <c r="Y220" s="4">
        <v>318.5</v>
      </c>
      <c r="Z220" s="3">
        <v>31.213000000000001</v>
      </c>
    </row>
    <row r="221" spans="1:26" x14ac:dyDescent="0.25">
      <c r="A221">
        <v>1252</v>
      </c>
      <c r="B221" s="2">
        <v>41893</v>
      </c>
      <c r="C221">
        <v>11</v>
      </c>
      <c r="D221" t="s">
        <v>113</v>
      </c>
      <c r="E221" t="s">
        <v>114</v>
      </c>
      <c r="F221" t="s">
        <v>115</v>
      </c>
      <c r="G221" t="s">
        <v>116</v>
      </c>
      <c r="H221">
        <v>99999</v>
      </c>
      <c r="I221" t="s">
        <v>30</v>
      </c>
      <c r="J221" t="s">
        <v>94</v>
      </c>
      <c r="K221" t="s">
        <v>95</v>
      </c>
      <c r="L221" s="2"/>
      <c r="M221" t="s">
        <v>62</v>
      </c>
      <c r="N221" t="s">
        <v>117</v>
      </c>
      <c r="O221" t="s">
        <v>114</v>
      </c>
      <c r="P221" t="s">
        <v>115</v>
      </c>
      <c r="Q221" t="s">
        <v>116</v>
      </c>
      <c r="R221">
        <v>99999</v>
      </c>
      <c r="S221" t="s">
        <v>30</v>
      </c>
      <c r="U221" t="s">
        <v>103</v>
      </c>
      <c r="V221" t="s">
        <v>37</v>
      </c>
      <c r="W221">
        <v>2.99</v>
      </c>
      <c r="X221">
        <v>64</v>
      </c>
      <c r="Y221" s="4">
        <v>191.36</v>
      </c>
      <c r="Z221" s="3">
        <v>19.518720000000002</v>
      </c>
    </row>
    <row r="222" spans="1:26" x14ac:dyDescent="0.25">
      <c r="A222">
        <v>1253</v>
      </c>
      <c r="B222" s="2">
        <v>41883</v>
      </c>
      <c r="C222">
        <v>1</v>
      </c>
      <c r="D222" t="s">
        <v>118</v>
      </c>
      <c r="E222" t="s">
        <v>119</v>
      </c>
      <c r="F222" t="s">
        <v>120</v>
      </c>
      <c r="G222" t="s">
        <v>121</v>
      </c>
      <c r="H222">
        <v>99999</v>
      </c>
      <c r="I222" t="s">
        <v>30</v>
      </c>
      <c r="J222" t="s">
        <v>60</v>
      </c>
      <c r="K222" t="s">
        <v>61</v>
      </c>
      <c r="L222" s="2"/>
      <c r="N222" t="s">
        <v>122</v>
      </c>
      <c r="O222" t="s">
        <v>119</v>
      </c>
      <c r="P222" t="s">
        <v>120</v>
      </c>
      <c r="Q222" t="s">
        <v>121</v>
      </c>
      <c r="R222">
        <v>99999</v>
      </c>
      <c r="S222" t="s">
        <v>30</v>
      </c>
      <c r="U222" t="s">
        <v>54</v>
      </c>
      <c r="V222" t="s">
        <v>37</v>
      </c>
      <c r="W222">
        <v>18</v>
      </c>
      <c r="X222">
        <v>58</v>
      </c>
      <c r="Y222" s="4">
        <v>1044</v>
      </c>
      <c r="Z222" s="3">
        <v>103.35600000000001</v>
      </c>
    </row>
    <row r="223" spans="1:26" x14ac:dyDescent="0.25">
      <c r="A223">
        <v>1254</v>
      </c>
      <c r="B223" s="2">
        <v>41883</v>
      </c>
      <c r="C223">
        <v>1</v>
      </c>
      <c r="D223" t="s">
        <v>118</v>
      </c>
      <c r="E223" t="s">
        <v>119</v>
      </c>
      <c r="F223" t="s">
        <v>120</v>
      </c>
      <c r="G223" t="s">
        <v>121</v>
      </c>
      <c r="H223">
        <v>99999</v>
      </c>
      <c r="I223" t="s">
        <v>30</v>
      </c>
      <c r="J223" t="s">
        <v>60</v>
      </c>
      <c r="K223" t="s">
        <v>61</v>
      </c>
      <c r="L223" s="2"/>
      <c r="N223" t="s">
        <v>122</v>
      </c>
      <c r="O223" t="s">
        <v>119</v>
      </c>
      <c r="P223" t="s">
        <v>120</v>
      </c>
      <c r="Q223" t="s">
        <v>121</v>
      </c>
      <c r="R223">
        <v>99999</v>
      </c>
      <c r="S223" t="s">
        <v>30</v>
      </c>
      <c r="U223" t="s">
        <v>55</v>
      </c>
      <c r="V223" t="s">
        <v>37</v>
      </c>
      <c r="W223" s="3">
        <v>46</v>
      </c>
      <c r="X223">
        <v>97</v>
      </c>
      <c r="Y223" s="4">
        <v>4462</v>
      </c>
      <c r="Z223" s="3">
        <v>464.04800000000006</v>
      </c>
    </row>
    <row r="224" spans="1:26" x14ac:dyDescent="0.25">
      <c r="A224">
        <v>1255</v>
      </c>
      <c r="B224" s="2">
        <v>41883</v>
      </c>
      <c r="C224">
        <v>1</v>
      </c>
      <c r="D224" t="s">
        <v>118</v>
      </c>
      <c r="E224" t="s">
        <v>119</v>
      </c>
      <c r="F224" t="s">
        <v>120</v>
      </c>
      <c r="G224" t="s">
        <v>121</v>
      </c>
      <c r="H224">
        <v>99999</v>
      </c>
      <c r="I224" t="s">
        <v>30</v>
      </c>
      <c r="J224" t="s">
        <v>60</v>
      </c>
      <c r="K224" t="s">
        <v>61</v>
      </c>
      <c r="L224" s="2"/>
      <c r="N224" t="s">
        <v>122</v>
      </c>
      <c r="O224" t="s">
        <v>119</v>
      </c>
      <c r="P224" t="s">
        <v>120</v>
      </c>
      <c r="Q224" t="s">
        <v>121</v>
      </c>
      <c r="R224">
        <v>99999</v>
      </c>
      <c r="S224" t="s">
        <v>30</v>
      </c>
      <c r="U224" t="s">
        <v>103</v>
      </c>
      <c r="V224" t="s">
        <v>37</v>
      </c>
      <c r="W224" s="3">
        <v>2.99</v>
      </c>
      <c r="X224">
        <v>14</v>
      </c>
      <c r="Y224" s="4">
        <v>41.86</v>
      </c>
      <c r="Z224" s="3">
        <v>4.35344</v>
      </c>
    </row>
    <row r="225" spans="1:26" x14ac:dyDescent="0.25">
      <c r="A225">
        <v>1256</v>
      </c>
      <c r="B225" s="2">
        <v>41910</v>
      </c>
      <c r="C225">
        <v>28</v>
      </c>
      <c r="D225" t="s">
        <v>90</v>
      </c>
      <c r="E225" t="s">
        <v>91</v>
      </c>
      <c r="F225" t="s">
        <v>92</v>
      </c>
      <c r="G225" t="s">
        <v>93</v>
      </c>
      <c r="H225">
        <v>99999</v>
      </c>
      <c r="I225" t="s">
        <v>30</v>
      </c>
      <c r="J225" t="s">
        <v>94</v>
      </c>
      <c r="K225" t="s">
        <v>95</v>
      </c>
      <c r="L225" s="2">
        <v>41912</v>
      </c>
      <c r="M225" t="s">
        <v>62</v>
      </c>
      <c r="N225" t="s">
        <v>96</v>
      </c>
      <c r="O225" t="s">
        <v>91</v>
      </c>
      <c r="P225" t="s">
        <v>92</v>
      </c>
      <c r="Q225" t="s">
        <v>93</v>
      </c>
      <c r="R225">
        <v>99999</v>
      </c>
      <c r="S225" t="s">
        <v>30</v>
      </c>
      <c r="T225" t="s">
        <v>48</v>
      </c>
      <c r="U225" t="s">
        <v>80</v>
      </c>
      <c r="V225" t="s">
        <v>81</v>
      </c>
      <c r="W225" s="3">
        <v>9.65</v>
      </c>
      <c r="X225">
        <v>68</v>
      </c>
      <c r="Y225" s="4">
        <v>656.2</v>
      </c>
      <c r="Z225" s="3">
        <v>64.307600000000008</v>
      </c>
    </row>
    <row r="226" spans="1:26" x14ac:dyDescent="0.25">
      <c r="A226">
        <v>1257</v>
      </c>
      <c r="B226" s="2">
        <v>41910</v>
      </c>
      <c r="C226">
        <v>28</v>
      </c>
      <c r="D226" t="s">
        <v>90</v>
      </c>
      <c r="E226" t="s">
        <v>91</v>
      </c>
      <c r="F226" t="s">
        <v>92</v>
      </c>
      <c r="G226" t="s">
        <v>93</v>
      </c>
      <c r="H226">
        <v>99999</v>
      </c>
      <c r="I226" t="s">
        <v>30</v>
      </c>
      <c r="J226" t="s">
        <v>94</v>
      </c>
      <c r="K226" t="s">
        <v>95</v>
      </c>
      <c r="L226">
        <v>41912</v>
      </c>
      <c r="M226" t="s">
        <v>62</v>
      </c>
      <c r="N226" t="s">
        <v>96</v>
      </c>
      <c r="O226" t="s">
        <v>91</v>
      </c>
      <c r="P226" t="s">
        <v>92</v>
      </c>
      <c r="Q226" t="s">
        <v>93</v>
      </c>
      <c r="R226">
        <v>99999</v>
      </c>
      <c r="S226" t="s">
        <v>30</v>
      </c>
      <c r="T226" t="s">
        <v>48</v>
      </c>
      <c r="U226" t="s">
        <v>123</v>
      </c>
      <c r="V226" t="s">
        <v>124</v>
      </c>
      <c r="W226" s="3">
        <v>18.399999999999999</v>
      </c>
      <c r="X226">
        <v>32</v>
      </c>
      <c r="Y226" s="4">
        <v>588.79999999999995</v>
      </c>
      <c r="Z226" s="3">
        <v>58.879999999999995</v>
      </c>
    </row>
    <row r="227" spans="1:26" x14ac:dyDescent="0.25">
      <c r="A227">
        <v>1258</v>
      </c>
      <c r="B227" s="2">
        <v>41891</v>
      </c>
      <c r="C227">
        <v>9</v>
      </c>
      <c r="D227" t="s">
        <v>125</v>
      </c>
      <c r="E227" t="s">
        <v>126</v>
      </c>
      <c r="F227" t="s">
        <v>127</v>
      </c>
      <c r="G227" t="s">
        <v>128</v>
      </c>
      <c r="H227">
        <v>99999</v>
      </c>
      <c r="I227" t="s">
        <v>30</v>
      </c>
      <c r="J227" t="s">
        <v>129</v>
      </c>
      <c r="K227" t="s">
        <v>32</v>
      </c>
      <c r="L227" s="2">
        <v>41893</v>
      </c>
      <c r="M227" t="s">
        <v>46</v>
      </c>
      <c r="N227" t="s">
        <v>130</v>
      </c>
      <c r="O227" t="s">
        <v>126</v>
      </c>
      <c r="P227" t="s">
        <v>127</v>
      </c>
      <c r="Q227" t="s">
        <v>128</v>
      </c>
      <c r="R227">
        <v>99999</v>
      </c>
      <c r="S227" t="s">
        <v>30</v>
      </c>
      <c r="T227" t="s">
        <v>35</v>
      </c>
      <c r="U227" t="s">
        <v>131</v>
      </c>
      <c r="V227" t="s">
        <v>132</v>
      </c>
      <c r="W227" s="3">
        <v>19.5</v>
      </c>
      <c r="X227">
        <v>48</v>
      </c>
      <c r="Y227" s="4">
        <v>936</v>
      </c>
      <c r="Z227" s="3">
        <v>94.536000000000016</v>
      </c>
    </row>
    <row r="228" spans="1:26" x14ac:dyDescent="0.25">
      <c r="A228">
        <v>1259</v>
      </c>
      <c r="B228" s="2">
        <v>41891</v>
      </c>
      <c r="C228">
        <v>9</v>
      </c>
      <c r="D228" t="s">
        <v>125</v>
      </c>
      <c r="E228" t="s">
        <v>126</v>
      </c>
      <c r="F228" t="s">
        <v>127</v>
      </c>
      <c r="G228" t="s">
        <v>128</v>
      </c>
      <c r="H228">
        <v>99999</v>
      </c>
      <c r="I228" t="s">
        <v>30</v>
      </c>
      <c r="J228" t="s">
        <v>129</v>
      </c>
      <c r="K228" t="s">
        <v>32</v>
      </c>
      <c r="L228" s="2">
        <v>41893</v>
      </c>
      <c r="M228" t="s">
        <v>46</v>
      </c>
      <c r="N228" t="s">
        <v>130</v>
      </c>
      <c r="O228" t="s">
        <v>126</v>
      </c>
      <c r="P228" t="s">
        <v>127</v>
      </c>
      <c r="Q228" t="s">
        <v>128</v>
      </c>
      <c r="R228">
        <v>99999</v>
      </c>
      <c r="S228" t="s">
        <v>30</v>
      </c>
      <c r="T228" t="s">
        <v>35</v>
      </c>
      <c r="U228" t="s">
        <v>133</v>
      </c>
      <c r="V228" t="s">
        <v>134</v>
      </c>
      <c r="W228" s="3">
        <v>34.799999999999997</v>
      </c>
      <c r="X228">
        <v>57</v>
      </c>
      <c r="Y228" s="4">
        <v>1983.6</v>
      </c>
      <c r="Z228" s="3">
        <v>194.39280000000002</v>
      </c>
    </row>
    <row r="229" spans="1:26" x14ac:dyDescent="0.25">
      <c r="A229">
        <v>1260</v>
      </c>
      <c r="B229" s="2">
        <v>41888</v>
      </c>
      <c r="C229">
        <v>6</v>
      </c>
      <c r="D229" t="s">
        <v>82</v>
      </c>
      <c r="E229" t="s">
        <v>83</v>
      </c>
      <c r="F229" t="s">
        <v>84</v>
      </c>
      <c r="G229" t="s">
        <v>85</v>
      </c>
      <c r="H229">
        <v>99999</v>
      </c>
      <c r="I229" t="s">
        <v>30</v>
      </c>
      <c r="J229" t="s">
        <v>86</v>
      </c>
      <c r="K229" t="s">
        <v>61</v>
      </c>
      <c r="L229" s="2">
        <v>41890</v>
      </c>
      <c r="M229" t="s">
        <v>33</v>
      </c>
      <c r="N229" t="s">
        <v>87</v>
      </c>
      <c r="O229" t="s">
        <v>83</v>
      </c>
      <c r="P229" t="s">
        <v>84</v>
      </c>
      <c r="Q229" t="s">
        <v>85</v>
      </c>
      <c r="R229">
        <v>99999</v>
      </c>
      <c r="S229" t="s">
        <v>30</v>
      </c>
      <c r="T229" t="s">
        <v>48</v>
      </c>
      <c r="U229" t="s">
        <v>36</v>
      </c>
      <c r="V229" t="s">
        <v>37</v>
      </c>
      <c r="W229" s="3">
        <v>14</v>
      </c>
      <c r="X229">
        <v>67</v>
      </c>
      <c r="Y229" s="4">
        <v>938</v>
      </c>
      <c r="Z229" s="3">
        <v>98.490000000000009</v>
      </c>
    </row>
    <row r="230" spans="1:26" x14ac:dyDescent="0.25">
      <c r="A230">
        <v>1261</v>
      </c>
      <c r="B230" s="2">
        <v>41890</v>
      </c>
      <c r="C230">
        <v>8</v>
      </c>
      <c r="D230" t="s">
        <v>56</v>
      </c>
      <c r="E230" t="s">
        <v>57</v>
      </c>
      <c r="F230" t="s">
        <v>58</v>
      </c>
      <c r="G230" t="s">
        <v>59</v>
      </c>
      <c r="H230">
        <v>99999</v>
      </c>
      <c r="I230" t="s">
        <v>30</v>
      </c>
      <c r="J230" t="s">
        <v>60</v>
      </c>
      <c r="K230" t="s">
        <v>61</v>
      </c>
      <c r="L230">
        <v>41892</v>
      </c>
      <c r="M230" t="s">
        <v>33</v>
      </c>
      <c r="N230" t="s">
        <v>63</v>
      </c>
      <c r="O230" t="s">
        <v>57</v>
      </c>
      <c r="P230" t="s">
        <v>58</v>
      </c>
      <c r="Q230" t="s">
        <v>59</v>
      </c>
      <c r="R230">
        <v>99999</v>
      </c>
      <c r="S230" t="s">
        <v>30</v>
      </c>
      <c r="T230" t="s">
        <v>35</v>
      </c>
      <c r="U230" t="s">
        <v>88</v>
      </c>
      <c r="V230" t="s">
        <v>89</v>
      </c>
      <c r="W230" s="3">
        <v>40</v>
      </c>
      <c r="X230">
        <v>48</v>
      </c>
      <c r="Y230" s="4">
        <v>1920</v>
      </c>
      <c r="Z230" s="3">
        <v>188.16</v>
      </c>
    </row>
    <row r="231" spans="1:26" x14ac:dyDescent="0.25">
      <c r="A231">
        <v>1262</v>
      </c>
      <c r="B231" s="2">
        <v>41890</v>
      </c>
      <c r="C231">
        <v>8</v>
      </c>
      <c r="D231" t="s">
        <v>56</v>
      </c>
      <c r="E231" t="s">
        <v>57</v>
      </c>
      <c r="F231" t="s">
        <v>58</v>
      </c>
      <c r="G231" t="s">
        <v>59</v>
      </c>
      <c r="H231">
        <v>99999</v>
      </c>
      <c r="I231" t="s">
        <v>30</v>
      </c>
      <c r="J231" t="s">
        <v>60</v>
      </c>
      <c r="K231" t="s">
        <v>61</v>
      </c>
      <c r="L231">
        <v>41892</v>
      </c>
      <c r="M231" t="s">
        <v>33</v>
      </c>
      <c r="N231" t="s">
        <v>63</v>
      </c>
      <c r="O231" t="s">
        <v>57</v>
      </c>
      <c r="P231" t="s">
        <v>58</v>
      </c>
      <c r="Q231" t="s">
        <v>59</v>
      </c>
      <c r="R231">
        <v>99999</v>
      </c>
      <c r="S231" t="s">
        <v>30</v>
      </c>
      <c r="T231" t="s">
        <v>35</v>
      </c>
      <c r="U231" t="s">
        <v>64</v>
      </c>
      <c r="V231" t="s">
        <v>65</v>
      </c>
      <c r="W231" s="3">
        <v>9.1999999999999993</v>
      </c>
      <c r="X231">
        <v>77</v>
      </c>
      <c r="Y231" s="4">
        <v>708.4</v>
      </c>
      <c r="Z231" s="3">
        <v>72.256799999999998</v>
      </c>
    </row>
    <row r="232" spans="1:26" x14ac:dyDescent="0.25">
      <c r="A232">
        <v>1263</v>
      </c>
      <c r="B232" s="2">
        <v>41907</v>
      </c>
      <c r="C232">
        <v>25</v>
      </c>
      <c r="D232" t="s">
        <v>137</v>
      </c>
      <c r="E232" t="s">
        <v>138</v>
      </c>
      <c r="F232" t="s">
        <v>99</v>
      </c>
      <c r="G232" t="s">
        <v>100</v>
      </c>
      <c r="H232">
        <v>99999</v>
      </c>
      <c r="I232" t="s">
        <v>30</v>
      </c>
      <c r="J232" t="s">
        <v>101</v>
      </c>
      <c r="K232" t="s">
        <v>45</v>
      </c>
      <c r="L232">
        <v>41909</v>
      </c>
      <c r="M232" t="s">
        <v>46</v>
      </c>
      <c r="N232" t="s">
        <v>139</v>
      </c>
      <c r="O232" t="s">
        <v>138</v>
      </c>
      <c r="P232" t="s">
        <v>99</v>
      </c>
      <c r="Q232" t="s">
        <v>100</v>
      </c>
      <c r="R232">
        <v>99999</v>
      </c>
      <c r="S232" t="s">
        <v>30</v>
      </c>
      <c r="T232" t="s">
        <v>79</v>
      </c>
      <c r="U232" t="s">
        <v>146</v>
      </c>
      <c r="V232" t="s">
        <v>65</v>
      </c>
      <c r="W232" s="3">
        <v>10</v>
      </c>
      <c r="X232">
        <v>94</v>
      </c>
      <c r="Y232" s="4">
        <v>940</v>
      </c>
      <c r="Z232" s="3">
        <v>97.76</v>
      </c>
    </row>
    <row r="233" spans="1:26" x14ac:dyDescent="0.25">
      <c r="A233">
        <v>1264</v>
      </c>
      <c r="B233" s="2">
        <v>41908</v>
      </c>
      <c r="C233">
        <v>26</v>
      </c>
      <c r="D233" t="s">
        <v>140</v>
      </c>
      <c r="E233" t="s">
        <v>141</v>
      </c>
      <c r="F233" t="s">
        <v>115</v>
      </c>
      <c r="G233" t="s">
        <v>116</v>
      </c>
      <c r="H233">
        <v>99999</v>
      </c>
      <c r="I233" t="s">
        <v>30</v>
      </c>
      <c r="J233" t="s">
        <v>94</v>
      </c>
      <c r="K233" t="s">
        <v>95</v>
      </c>
      <c r="L233">
        <v>41910</v>
      </c>
      <c r="M233" t="s">
        <v>62</v>
      </c>
      <c r="N233" t="s">
        <v>142</v>
      </c>
      <c r="O233" t="s">
        <v>141</v>
      </c>
      <c r="P233" t="s">
        <v>115</v>
      </c>
      <c r="Q233" t="s">
        <v>116</v>
      </c>
      <c r="R233">
        <v>99999</v>
      </c>
      <c r="S233" t="s">
        <v>30</v>
      </c>
      <c r="T233" t="s">
        <v>48</v>
      </c>
      <c r="U233" t="s">
        <v>147</v>
      </c>
      <c r="V233" t="s">
        <v>148</v>
      </c>
      <c r="W233" s="3">
        <v>21.35</v>
      </c>
      <c r="X233">
        <v>54</v>
      </c>
      <c r="Y233" s="4">
        <v>1152.9000000000001</v>
      </c>
      <c r="Z233" s="3">
        <v>121.05450000000003</v>
      </c>
    </row>
    <row r="234" spans="1:26" x14ac:dyDescent="0.25">
      <c r="A234">
        <v>1265</v>
      </c>
      <c r="B234" s="2">
        <v>41908</v>
      </c>
      <c r="C234">
        <v>26</v>
      </c>
      <c r="D234" t="s">
        <v>140</v>
      </c>
      <c r="E234" t="s">
        <v>141</v>
      </c>
      <c r="F234" t="s">
        <v>115</v>
      </c>
      <c r="G234" t="s">
        <v>116</v>
      </c>
      <c r="H234">
        <v>99999</v>
      </c>
      <c r="I234" t="s">
        <v>30</v>
      </c>
      <c r="J234" t="s">
        <v>94</v>
      </c>
      <c r="K234" t="s">
        <v>95</v>
      </c>
      <c r="L234">
        <v>41910</v>
      </c>
      <c r="M234" t="s">
        <v>62</v>
      </c>
      <c r="N234" t="s">
        <v>142</v>
      </c>
      <c r="O234" t="s">
        <v>141</v>
      </c>
      <c r="P234" t="s">
        <v>115</v>
      </c>
      <c r="Q234" t="s">
        <v>116</v>
      </c>
      <c r="R234">
        <v>99999</v>
      </c>
      <c r="S234" t="s">
        <v>30</v>
      </c>
      <c r="T234" t="s">
        <v>48</v>
      </c>
      <c r="U234" t="s">
        <v>80</v>
      </c>
      <c r="V234" t="s">
        <v>81</v>
      </c>
      <c r="W234" s="3">
        <v>9.65</v>
      </c>
      <c r="X234">
        <v>43</v>
      </c>
      <c r="Y234" s="4">
        <v>414.95</v>
      </c>
      <c r="Z234" s="3">
        <v>40.250150000000005</v>
      </c>
    </row>
    <row r="235" spans="1:26" x14ac:dyDescent="0.25">
      <c r="A235">
        <v>1266</v>
      </c>
      <c r="B235" s="2">
        <v>41908</v>
      </c>
      <c r="C235">
        <v>26</v>
      </c>
      <c r="D235" t="s">
        <v>140</v>
      </c>
      <c r="E235" t="s">
        <v>141</v>
      </c>
      <c r="F235" t="s">
        <v>115</v>
      </c>
      <c r="G235" t="s">
        <v>116</v>
      </c>
      <c r="H235">
        <v>99999</v>
      </c>
      <c r="I235" t="s">
        <v>30</v>
      </c>
      <c r="J235" t="s">
        <v>94</v>
      </c>
      <c r="K235" t="s">
        <v>95</v>
      </c>
      <c r="L235" s="2">
        <v>41910</v>
      </c>
      <c r="M235" t="s">
        <v>62</v>
      </c>
      <c r="N235" t="s">
        <v>142</v>
      </c>
      <c r="O235" t="s">
        <v>141</v>
      </c>
      <c r="P235" t="s">
        <v>115</v>
      </c>
      <c r="Q235" t="s">
        <v>116</v>
      </c>
      <c r="R235">
        <v>99999</v>
      </c>
      <c r="S235" t="s">
        <v>30</v>
      </c>
      <c r="T235" t="s">
        <v>48</v>
      </c>
      <c r="U235" t="s">
        <v>123</v>
      </c>
      <c r="V235" t="s">
        <v>124</v>
      </c>
      <c r="W235" s="3">
        <v>18.399999999999999</v>
      </c>
      <c r="X235">
        <v>71</v>
      </c>
      <c r="Y235" s="4">
        <v>1306.3999999999999</v>
      </c>
      <c r="Z235" s="3">
        <v>134.55919999999998</v>
      </c>
    </row>
    <row r="236" spans="1:26" x14ac:dyDescent="0.25">
      <c r="A236">
        <v>1267</v>
      </c>
      <c r="B236" s="2">
        <v>41911</v>
      </c>
      <c r="C236">
        <v>29</v>
      </c>
      <c r="D236" t="s">
        <v>66</v>
      </c>
      <c r="E236" t="s">
        <v>67</v>
      </c>
      <c r="F236" t="s">
        <v>68</v>
      </c>
      <c r="G236" t="s">
        <v>69</v>
      </c>
      <c r="H236">
        <v>99999</v>
      </c>
      <c r="I236" t="s">
        <v>30</v>
      </c>
      <c r="J236" t="s">
        <v>70</v>
      </c>
      <c r="K236" t="s">
        <v>32</v>
      </c>
      <c r="L236" s="2">
        <v>41913</v>
      </c>
      <c r="M236" t="s">
        <v>33</v>
      </c>
      <c r="N236" t="s">
        <v>71</v>
      </c>
      <c r="O236" t="s">
        <v>67</v>
      </c>
      <c r="P236" t="s">
        <v>68</v>
      </c>
      <c r="Q236" t="s">
        <v>69</v>
      </c>
      <c r="R236">
        <v>99999</v>
      </c>
      <c r="S236" t="s">
        <v>30</v>
      </c>
      <c r="T236" t="s">
        <v>35</v>
      </c>
      <c r="U236" t="s">
        <v>36</v>
      </c>
      <c r="V236" t="s">
        <v>37</v>
      </c>
      <c r="W236" s="3">
        <v>14</v>
      </c>
      <c r="X236">
        <v>50</v>
      </c>
      <c r="Y236" s="4">
        <v>700</v>
      </c>
      <c r="Z236" s="3">
        <v>67.2</v>
      </c>
    </row>
    <row r="237" spans="1:26" x14ac:dyDescent="0.25">
      <c r="A237">
        <v>1268</v>
      </c>
      <c r="B237" s="2">
        <v>41888</v>
      </c>
      <c r="C237">
        <v>6</v>
      </c>
      <c r="D237" t="s">
        <v>82</v>
      </c>
      <c r="E237" t="s">
        <v>83</v>
      </c>
      <c r="F237" t="s">
        <v>84</v>
      </c>
      <c r="G237" t="s">
        <v>85</v>
      </c>
      <c r="H237">
        <v>99999</v>
      </c>
      <c r="I237" t="s">
        <v>30</v>
      </c>
      <c r="J237" t="s">
        <v>86</v>
      </c>
      <c r="K237" t="s">
        <v>61</v>
      </c>
      <c r="L237" s="2">
        <v>41890</v>
      </c>
      <c r="M237" t="s">
        <v>62</v>
      </c>
      <c r="N237" t="s">
        <v>87</v>
      </c>
      <c r="O237" t="s">
        <v>83</v>
      </c>
      <c r="P237" t="s">
        <v>84</v>
      </c>
      <c r="Q237" t="s">
        <v>85</v>
      </c>
      <c r="R237">
        <v>99999</v>
      </c>
      <c r="S237" t="s">
        <v>30</v>
      </c>
      <c r="T237" t="s">
        <v>35</v>
      </c>
      <c r="U237" t="s">
        <v>72</v>
      </c>
      <c r="V237" t="s">
        <v>73</v>
      </c>
      <c r="W237" s="3">
        <v>12.75</v>
      </c>
      <c r="X237">
        <v>96</v>
      </c>
      <c r="Y237" s="4">
        <v>1224</v>
      </c>
      <c r="Z237" s="3">
        <v>119.952</v>
      </c>
    </row>
    <row r="238" spans="1:26" x14ac:dyDescent="0.25">
      <c r="A238">
        <v>1270</v>
      </c>
      <c r="B238" s="2">
        <v>41886</v>
      </c>
      <c r="C238">
        <v>4</v>
      </c>
      <c r="D238" t="s">
        <v>40</v>
      </c>
      <c r="E238" t="s">
        <v>41</v>
      </c>
      <c r="F238" t="s">
        <v>42</v>
      </c>
      <c r="G238" t="s">
        <v>43</v>
      </c>
      <c r="H238">
        <v>99999</v>
      </c>
      <c r="I238" t="s">
        <v>30</v>
      </c>
      <c r="J238" t="s">
        <v>44</v>
      </c>
      <c r="K238" t="s">
        <v>45</v>
      </c>
      <c r="L238" s="2">
        <v>41888</v>
      </c>
      <c r="M238" t="s">
        <v>46</v>
      </c>
      <c r="N238" t="s">
        <v>47</v>
      </c>
      <c r="O238" t="s">
        <v>41</v>
      </c>
      <c r="P238" t="s">
        <v>42</v>
      </c>
      <c r="Q238" t="s">
        <v>43</v>
      </c>
      <c r="R238">
        <v>99999</v>
      </c>
      <c r="S238" t="s">
        <v>30</v>
      </c>
      <c r="T238" t="s">
        <v>48</v>
      </c>
      <c r="U238" t="s">
        <v>149</v>
      </c>
      <c r="V238" t="s">
        <v>110</v>
      </c>
      <c r="W238" s="3">
        <v>81</v>
      </c>
      <c r="X238">
        <v>54</v>
      </c>
      <c r="Y238" s="4">
        <v>4374</v>
      </c>
      <c r="Z238" s="3">
        <v>437.40000000000003</v>
      </c>
    </row>
    <row r="239" spans="1:26" x14ac:dyDescent="0.25">
      <c r="A239">
        <v>1271</v>
      </c>
      <c r="B239" s="2">
        <v>41886</v>
      </c>
      <c r="C239">
        <v>4</v>
      </c>
      <c r="D239" t="s">
        <v>40</v>
      </c>
      <c r="E239" t="s">
        <v>41</v>
      </c>
      <c r="F239" t="s">
        <v>42</v>
      </c>
      <c r="G239" t="s">
        <v>43</v>
      </c>
      <c r="H239">
        <v>99999</v>
      </c>
      <c r="I239" t="s">
        <v>30</v>
      </c>
      <c r="J239" t="s">
        <v>44</v>
      </c>
      <c r="K239" t="s">
        <v>45</v>
      </c>
      <c r="L239" s="2">
        <v>41888</v>
      </c>
      <c r="M239" t="s">
        <v>46</v>
      </c>
      <c r="N239" t="s">
        <v>47</v>
      </c>
      <c r="O239" t="s">
        <v>41</v>
      </c>
      <c r="P239" t="s">
        <v>42</v>
      </c>
      <c r="Q239" t="s">
        <v>43</v>
      </c>
      <c r="R239">
        <v>99999</v>
      </c>
      <c r="S239" t="s">
        <v>30</v>
      </c>
      <c r="T239" t="s">
        <v>48</v>
      </c>
      <c r="U239" t="s">
        <v>150</v>
      </c>
      <c r="V239" t="s">
        <v>151</v>
      </c>
      <c r="W239" s="3">
        <v>7</v>
      </c>
      <c r="X239">
        <v>39</v>
      </c>
      <c r="Y239" s="4">
        <v>273</v>
      </c>
      <c r="Z239" s="3">
        <v>27.3</v>
      </c>
    </row>
    <row r="240" spans="1:26" x14ac:dyDescent="0.25">
      <c r="A240">
        <v>1273</v>
      </c>
      <c r="B240" s="2">
        <v>41890</v>
      </c>
      <c r="C240">
        <v>8</v>
      </c>
      <c r="D240" t="s">
        <v>56</v>
      </c>
      <c r="E240" t="s">
        <v>57</v>
      </c>
      <c r="F240" t="s">
        <v>58</v>
      </c>
      <c r="G240" t="s">
        <v>59</v>
      </c>
      <c r="H240">
        <v>99999</v>
      </c>
      <c r="I240" t="s">
        <v>30</v>
      </c>
      <c r="J240" t="s">
        <v>60</v>
      </c>
      <c r="K240" t="s">
        <v>61</v>
      </c>
      <c r="L240" s="2">
        <v>41892</v>
      </c>
      <c r="M240" t="s">
        <v>62</v>
      </c>
      <c r="N240" t="s">
        <v>63</v>
      </c>
      <c r="O240" t="s">
        <v>57</v>
      </c>
      <c r="P240" t="s">
        <v>58</v>
      </c>
      <c r="Q240" t="s">
        <v>59</v>
      </c>
      <c r="R240">
        <v>99999</v>
      </c>
      <c r="S240" t="s">
        <v>30</v>
      </c>
      <c r="T240" t="s">
        <v>48</v>
      </c>
      <c r="U240" t="s">
        <v>133</v>
      </c>
      <c r="V240" t="s">
        <v>134</v>
      </c>
      <c r="W240" s="3">
        <v>34.799999999999997</v>
      </c>
      <c r="X240">
        <v>63</v>
      </c>
      <c r="Y240" s="4">
        <v>2192.3999999999996</v>
      </c>
      <c r="Z240" s="3">
        <v>230.202</v>
      </c>
    </row>
    <row r="241" spans="1:26" x14ac:dyDescent="0.25">
      <c r="A241">
        <v>1276</v>
      </c>
      <c r="B241" s="2">
        <v>41885</v>
      </c>
      <c r="C241">
        <v>3</v>
      </c>
      <c r="D241" t="s">
        <v>74</v>
      </c>
      <c r="E241" t="s">
        <v>75</v>
      </c>
      <c r="F241" t="s">
        <v>76</v>
      </c>
      <c r="G241" t="s">
        <v>77</v>
      </c>
      <c r="H241">
        <v>99999</v>
      </c>
      <c r="I241" t="s">
        <v>30</v>
      </c>
      <c r="J241" t="s">
        <v>31</v>
      </c>
      <c r="K241" t="s">
        <v>32</v>
      </c>
      <c r="L241" s="2">
        <v>41887</v>
      </c>
      <c r="M241" t="s">
        <v>33</v>
      </c>
      <c r="N241" t="s">
        <v>78</v>
      </c>
      <c r="O241" t="s">
        <v>75</v>
      </c>
      <c r="P241" t="s">
        <v>76</v>
      </c>
      <c r="Q241" t="s">
        <v>77</v>
      </c>
      <c r="R241">
        <v>99999</v>
      </c>
      <c r="S241" t="s">
        <v>30</v>
      </c>
      <c r="T241" t="s">
        <v>79</v>
      </c>
      <c r="U241" t="s">
        <v>135</v>
      </c>
      <c r="V241" t="s">
        <v>112</v>
      </c>
      <c r="W241" s="3">
        <v>10</v>
      </c>
      <c r="X241">
        <v>71</v>
      </c>
      <c r="Y241" s="4">
        <v>710</v>
      </c>
      <c r="Z241" s="3">
        <v>73.13</v>
      </c>
    </row>
    <row r="242" spans="1:26" x14ac:dyDescent="0.25">
      <c r="A242">
        <v>1277</v>
      </c>
      <c r="B242" s="2">
        <v>41885</v>
      </c>
      <c r="C242">
        <v>3</v>
      </c>
      <c r="D242" t="s">
        <v>74</v>
      </c>
      <c r="E242" t="s">
        <v>75</v>
      </c>
      <c r="F242" t="s">
        <v>76</v>
      </c>
      <c r="G242" t="s">
        <v>77</v>
      </c>
      <c r="H242">
        <v>99999</v>
      </c>
      <c r="I242" t="s">
        <v>30</v>
      </c>
      <c r="J242" t="s">
        <v>31</v>
      </c>
      <c r="K242" t="s">
        <v>32</v>
      </c>
      <c r="L242" s="2">
        <v>41887</v>
      </c>
      <c r="M242" t="s">
        <v>33</v>
      </c>
      <c r="N242" t="s">
        <v>78</v>
      </c>
      <c r="O242" t="s">
        <v>75</v>
      </c>
      <c r="P242" t="s">
        <v>76</v>
      </c>
      <c r="Q242" t="s">
        <v>77</v>
      </c>
      <c r="R242">
        <v>99999</v>
      </c>
      <c r="S242" t="s">
        <v>30</v>
      </c>
      <c r="T242" t="s">
        <v>79</v>
      </c>
      <c r="U242" t="s">
        <v>88</v>
      </c>
      <c r="V242" t="s">
        <v>89</v>
      </c>
      <c r="W242" s="3">
        <v>40</v>
      </c>
      <c r="X242">
        <v>88</v>
      </c>
      <c r="Y242" s="4">
        <v>3520</v>
      </c>
      <c r="Z242" s="3">
        <v>366.08000000000004</v>
      </c>
    </row>
    <row r="243" spans="1:26" x14ac:dyDescent="0.25">
      <c r="A243">
        <v>1281</v>
      </c>
      <c r="B243" s="2">
        <v>41892</v>
      </c>
      <c r="C243">
        <v>10</v>
      </c>
      <c r="D243" t="s">
        <v>97</v>
      </c>
      <c r="E243" t="s">
        <v>98</v>
      </c>
      <c r="F243" t="s">
        <v>99</v>
      </c>
      <c r="G243" t="s">
        <v>100</v>
      </c>
      <c r="H243">
        <v>99999</v>
      </c>
      <c r="I243" t="s">
        <v>30</v>
      </c>
      <c r="J243" t="s">
        <v>101</v>
      </c>
      <c r="K243" t="s">
        <v>45</v>
      </c>
      <c r="L243" s="2">
        <v>41894</v>
      </c>
      <c r="M243" t="s">
        <v>33</v>
      </c>
      <c r="N243" t="s">
        <v>102</v>
      </c>
      <c r="O243" t="s">
        <v>98</v>
      </c>
      <c r="P243" t="s">
        <v>99</v>
      </c>
      <c r="Q243" t="s">
        <v>100</v>
      </c>
      <c r="R243">
        <v>99999</v>
      </c>
      <c r="S243" t="s">
        <v>30</v>
      </c>
      <c r="T243" t="s">
        <v>48</v>
      </c>
      <c r="U243" t="s">
        <v>136</v>
      </c>
      <c r="V243" t="s">
        <v>39</v>
      </c>
      <c r="W243" s="3">
        <v>10</v>
      </c>
      <c r="X243">
        <v>59</v>
      </c>
      <c r="Y243" s="4">
        <v>590</v>
      </c>
      <c r="Z243" s="3">
        <v>59.59</v>
      </c>
    </row>
    <row r="244" spans="1:26" x14ac:dyDescent="0.25">
      <c r="A244">
        <v>1282</v>
      </c>
      <c r="B244" s="2">
        <v>41918</v>
      </c>
      <c r="C244">
        <v>6</v>
      </c>
      <c r="D244" t="s">
        <v>82</v>
      </c>
      <c r="E244" t="s">
        <v>83</v>
      </c>
      <c r="F244" t="s">
        <v>84</v>
      </c>
      <c r="G244" t="s">
        <v>85</v>
      </c>
      <c r="H244">
        <v>99999</v>
      </c>
      <c r="I244" t="s">
        <v>30</v>
      </c>
      <c r="J244" t="s">
        <v>86</v>
      </c>
      <c r="K244" t="s">
        <v>61</v>
      </c>
      <c r="L244" s="2">
        <v>41920</v>
      </c>
      <c r="M244" t="s">
        <v>33</v>
      </c>
      <c r="N244" t="s">
        <v>87</v>
      </c>
      <c r="O244" t="s">
        <v>83</v>
      </c>
      <c r="P244" t="s">
        <v>84</v>
      </c>
      <c r="Q244" t="s">
        <v>85</v>
      </c>
      <c r="R244">
        <v>99999</v>
      </c>
      <c r="S244" t="s">
        <v>30</v>
      </c>
      <c r="T244" t="s">
        <v>48</v>
      </c>
      <c r="U244" t="s">
        <v>88</v>
      </c>
      <c r="V244" t="s">
        <v>89</v>
      </c>
      <c r="W244" s="3">
        <v>40</v>
      </c>
      <c r="X244">
        <v>94</v>
      </c>
      <c r="Y244" s="4">
        <v>3760</v>
      </c>
      <c r="Z244" s="3">
        <v>376</v>
      </c>
    </row>
    <row r="245" spans="1:26" x14ac:dyDescent="0.25">
      <c r="A245">
        <v>1283</v>
      </c>
      <c r="B245" s="2">
        <v>41940</v>
      </c>
      <c r="C245">
        <v>28</v>
      </c>
      <c r="D245" t="s">
        <v>90</v>
      </c>
      <c r="E245" t="s">
        <v>91</v>
      </c>
      <c r="F245" t="s">
        <v>92</v>
      </c>
      <c r="G245" t="s">
        <v>93</v>
      </c>
      <c r="H245">
        <v>99999</v>
      </c>
      <c r="I245" t="s">
        <v>30</v>
      </c>
      <c r="J245" t="s">
        <v>94</v>
      </c>
      <c r="K245" t="s">
        <v>95</v>
      </c>
      <c r="L245" s="2">
        <v>41942</v>
      </c>
      <c r="M245" t="s">
        <v>62</v>
      </c>
      <c r="N245" t="s">
        <v>96</v>
      </c>
      <c r="O245" t="s">
        <v>91</v>
      </c>
      <c r="P245" t="s">
        <v>92</v>
      </c>
      <c r="Q245" t="s">
        <v>93</v>
      </c>
      <c r="R245">
        <v>99999</v>
      </c>
      <c r="S245" t="s">
        <v>30</v>
      </c>
      <c r="T245" t="s">
        <v>35</v>
      </c>
      <c r="U245" t="s">
        <v>55</v>
      </c>
      <c r="V245" t="s">
        <v>37</v>
      </c>
      <c r="W245" s="3">
        <v>46</v>
      </c>
      <c r="X245">
        <v>86</v>
      </c>
      <c r="Y245" s="4">
        <v>3956</v>
      </c>
      <c r="Z245" s="3">
        <v>379.77600000000001</v>
      </c>
    </row>
    <row r="246" spans="1:26" x14ac:dyDescent="0.25">
      <c r="A246">
        <v>1284</v>
      </c>
      <c r="B246" s="2">
        <v>41920</v>
      </c>
      <c r="C246">
        <v>8</v>
      </c>
      <c r="D246" t="s">
        <v>56</v>
      </c>
      <c r="E246" t="s">
        <v>57</v>
      </c>
      <c r="F246" t="s">
        <v>58</v>
      </c>
      <c r="G246" t="s">
        <v>59</v>
      </c>
      <c r="H246">
        <v>99999</v>
      </c>
      <c r="I246" t="s">
        <v>30</v>
      </c>
      <c r="J246" t="s">
        <v>60</v>
      </c>
      <c r="K246" t="s">
        <v>61</v>
      </c>
      <c r="L246" s="2">
        <v>41922</v>
      </c>
      <c r="M246" t="s">
        <v>62</v>
      </c>
      <c r="N246" t="s">
        <v>63</v>
      </c>
      <c r="O246" t="s">
        <v>57</v>
      </c>
      <c r="P246" t="s">
        <v>58</v>
      </c>
      <c r="Q246" t="s">
        <v>59</v>
      </c>
      <c r="R246">
        <v>99999</v>
      </c>
      <c r="S246" t="s">
        <v>30</v>
      </c>
      <c r="T246" t="s">
        <v>35</v>
      </c>
      <c r="U246" t="s">
        <v>72</v>
      </c>
      <c r="V246" t="s">
        <v>73</v>
      </c>
      <c r="W246" s="3">
        <v>12.75</v>
      </c>
      <c r="X246">
        <v>61</v>
      </c>
      <c r="Y246" s="4">
        <v>777.75</v>
      </c>
      <c r="Z246" s="3">
        <v>78.552750000000003</v>
      </c>
    </row>
    <row r="247" spans="1:26" x14ac:dyDescent="0.25">
      <c r="A247">
        <v>1285</v>
      </c>
      <c r="B247" s="2">
        <v>41922</v>
      </c>
      <c r="C247">
        <v>10</v>
      </c>
      <c r="D247" t="s">
        <v>97</v>
      </c>
      <c r="E247" t="s">
        <v>98</v>
      </c>
      <c r="F247" t="s">
        <v>99</v>
      </c>
      <c r="G247" t="s">
        <v>100</v>
      </c>
      <c r="H247">
        <v>99999</v>
      </c>
      <c r="I247" t="s">
        <v>30</v>
      </c>
      <c r="J247" t="s">
        <v>101</v>
      </c>
      <c r="K247" t="s">
        <v>45</v>
      </c>
      <c r="L247" s="2">
        <v>41924</v>
      </c>
      <c r="M247" t="s">
        <v>33</v>
      </c>
      <c r="N247" t="s">
        <v>102</v>
      </c>
      <c r="O247" t="s">
        <v>98</v>
      </c>
      <c r="P247" t="s">
        <v>99</v>
      </c>
      <c r="Q247" t="s">
        <v>100</v>
      </c>
      <c r="R247">
        <v>99999</v>
      </c>
      <c r="S247" t="s">
        <v>30</v>
      </c>
      <c r="T247" t="s">
        <v>48</v>
      </c>
      <c r="U247" t="s">
        <v>103</v>
      </c>
      <c r="V247" t="s">
        <v>37</v>
      </c>
      <c r="W247" s="3">
        <v>2.99</v>
      </c>
      <c r="X247">
        <v>32</v>
      </c>
      <c r="Y247" s="4">
        <v>95.68</v>
      </c>
      <c r="Z247" s="3">
        <v>9.7593600000000009</v>
      </c>
    </row>
    <row r="248" spans="1:26" x14ac:dyDescent="0.25">
      <c r="A248">
        <v>1286</v>
      </c>
      <c r="B248" s="2">
        <v>41919</v>
      </c>
      <c r="C248">
        <v>7</v>
      </c>
      <c r="D248" t="s">
        <v>104</v>
      </c>
      <c r="E248" t="s">
        <v>105</v>
      </c>
      <c r="F248" t="s">
        <v>106</v>
      </c>
      <c r="G248" t="s">
        <v>107</v>
      </c>
      <c r="H248">
        <v>99999</v>
      </c>
      <c r="I248" t="s">
        <v>30</v>
      </c>
      <c r="J248" t="s">
        <v>60</v>
      </c>
      <c r="K248" t="s">
        <v>61</v>
      </c>
      <c r="L248" s="2"/>
      <c r="N248" t="s">
        <v>108</v>
      </c>
      <c r="O248" t="s">
        <v>105</v>
      </c>
      <c r="P248" t="s">
        <v>106</v>
      </c>
      <c r="Q248" t="s">
        <v>107</v>
      </c>
      <c r="R248">
        <v>99999</v>
      </c>
      <c r="S248" t="s">
        <v>30</v>
      </c>
      <c r="U248" t="s">
        <v>55</v>
      </c>
      <c r="V248" t="s">
        <v>37</v>
      </c>
      <c r="W248">
        <v>46</v>
      </c>
      <c r="X248">
        <v>62</v>
      </c>
      <c r="Y248" s="4">
        <v>2852</v>
      </c>
      <c r="Z248" s="3">
        <v>290.904</v>
      </c>
    </row>
    <row r="249" spans="1:26" x14ac:dyDescent="0.25">
      <c r="A249">
        <v>1287</v>
      </c>
      <c r="B249" s="2">
        <v>41922</v>
      </c>
      <c r="C249">
        <v>10</v>
      </c>
      <c r="D249" t="s">
        <v>97</v>
      </c>
      <c r="E249" t="s">
        <v>98</v>
      </c>
      <c r="F249" t="s">
        <v>99</v>
      </c>
      <c r="G249" t="s">
        <v>100</v>
      </c>
      <c r="H249">
        <v>99999</v>
      </c>
      <c r="I249" t="s">
        <v>30</v>
      </c>
      <c r="J249" t="s">
        <v>101</v>
      </c>
      <c r="K249" t="s">
        <v>45</v>
      </c>
      <c r="L249" s="2">
        <v>41924</v>
      </c>
      <c r="M249" t="s">
        <v>46</v>
      </c>
      <c r="N249" t="s">
        <v>102</v>
      </c>
      <c r="O249" t="s">
        <v>98</v>
      </c>
      <c r="P249" t="s">
        <v>99</v>
      </c>
      <c r="Q249" t="s">
        <v>100</v>
      </c>
      <c r="R249">
        <v>99999</v>
      </c>
      <c r="S249" t="s">
        <v>30</v>
      </c>
      <c r="U249" t="s">
        <v>109</v>
      </c>
      <c r="V249" t="s">
        <v>110</v>
      </c>
      <c r="W249">
        <v>25</v>
      </c>
      <c r="X249">
        <v>60</v>
      </c>
      <c r="Y249" s="4">
        <v>1500</v>
      </c>
      <c r="Z249" s="3">
        <v>154.5</v>
      </c>
    </row>
    <row r="250" spans="1:26" x14ac:dyDescent="0.25">
      <c r="A250">
        <v>1288</v>
      </c>
      <c r="B250" s="2">
        <v>41922</v>
      </c>
      <c r="C250">
        <v>10</v>
      </c>
      <c r="D250" t="s">
        <v>97</v>
      </c>
      <c r="E250" t="s">
        <v>98</v>
      </c>
      <c r="F250" t="s">
        <v>99</v>
      </c>
      <c r="G250" t="s">
        <v>100</v>
      </c>
      <c r="H250">
        <v>99999</v>
      </c>
      <c r="I250" t="s">
        <v>30</v>
      </c>
      <c r="J250" t="s">
        <v>101</v>
      </c>
      <c r="K250" t="s">
        <v>45</v>
      </c>
      <c r="L250" s="2">
        <v>41924</v>
      </c>
      <c r="M250" t="s">
        <v>46</v>
      </c>
      <c r="N250" t="s">
        <v>102</v>
      </c>
      <c r="O250" t="s">
        <v>98</v>
      </c>
      <c r="P250" t="s">
        <v>99</v>
      </c>
      <c r="Q250" t="s">
        <v>100</v>
      </c>
      <c r="R250">
        <v>99999</v>
      </c>
      <c r="S250" t="s">
        <v>30</v>
      </c>
      <c r="U250" t="s">
        <v>111</v>
      </c>
      <c r="V250" t="s">
        <v>112</v>
      </c>
      <c r="W250">
        <v>22</v>
      </c>
      <c r="X250">
        <v>51</v>
      </c>
      <c r="Y250" s="4">
        <v>1122</v>
      </c>
      <c r="Z250" s="3">
        <v>109.956</v>
      </c>
    </row>
    <row r="251" spans="1:26" x14ac:dyDescent="0.25">
      <c r="A251">
        <v>1289</v>
      </c>
      <c r="B251" s="2">
        <v>41922</v>
      </c>
      <c r="C251">
        <v>10</v>
      </c>
      <c r="D251" t="s">
        <v>97</v>
      </c>
      <c r="E251" t="s">
        <v>98</v>
      </c>
      <c r="F251" t="s">
        <v>99</v>
      </c>
      <c r="G251" t="s">
        <v>100</v>
      </c>
      <c r="H251">
        <v>99999</v>
      </c>
      <c r="I251" t="s">
        <v>30</v>
      </c>
      <c r="J251" t="s">
        <v>101</v>
      </c>
      <c r="K251" t="s">
        <v>45</v>
      </c>
      <c r="L251" s="2">
        <v>41924</v>
      </c>
      <c r="M251" t="s">
        <v>46</v>
      </c>
      <c r="N251" t="s">
        <v>102</v>
      </c>
      <c r="O251" t="s">
        <v>98</v>
      </c>
      <c r="P251" t="s">
        <v>99</v>
      </c>
      <c r="Q251" t="s">
        <v>100</v>
      </c>
      <c r="R251">
        <v>99999</v>
      </c>
      <c r="S251" t="s">
        <v>30</v>
      </c>
      <c r="U251" t="s">
        <v>64</v>
      </c>
      <c r="V251" t="s">
        <v>65</v>
      </c>
      <c r="W251" s="3">
        <v>9.1999999999999993</v>
      </c>
      <c r="X251">
        <v>49</v>
      </c>
      <c r="Y251" s="4">
        <v>450.79999999999995</v>
      </c>
      <c r="Z251" s="3">
        <v>44.629199999999997</v>
      </c>
    </row>
    <row r="252" spans="1:26" x14ac:dyDescent="0.25">
      <c r="A252">
        <v>1290</v>
      </c>
      <c r="B252" s="2">
        <v>41923</v>
      </c>
      <c r="C252">
        <v>11</v>
      </c>
      <c r="D252" t="s">
        <v>113</v>
      </c>
      <c r="E252" t="s">
        <v>114</v>
      </c>
      <c r="F252" t="s">
        <v>115</v>
      </c>
      <c r="G252" t="s">
        <v>116</v>
      </c>
      <c r="H252">
        <v>99999</v>
      </c>
      <c r="I252" t="s">
        <v>30</v>
      </c>
      <c r="J252" t="s">
        <v>94</v>
      </c>
      <c r="K252" t="s">
        <v>95</v>
      </c>
      <c r="M252" t="s">
        <v>62</v>
      </c>
      <c r="N252" t="s">
        <v>117</v>
      </c>
      <c r="O252" t="s">
        <v>114</v>
      </c>
      <c r="P252" t="s">
        <v>115</v>
      </c>
      <c r="Q252" t="s">
        <v>116</v>
      </c>
      <c r="R252">
        <v>99999</v>
      </c>
      <c r="S252" t="s">
        <v>30</v>
      </c>
      <c r="U252" t="s">
        <v>38</v>
      </c>
      <c r="V252" t="s">
        <v>39</v>
      </c>
      <c r="W252" s="3">
        <v>3.5</v>
      </c>
      <c r="X252">
        <v>20</v>
      </c>
      <c r="Y252" s="4">
        <v>70</v>
      </c>
      <c r="Z252" s="3">
        <v>6.93</v>
      </c>
    </row>
    <row r="253" spans="1:26" x14ac:dyDescent="0.25">
      <c r="A253">
        <v>1291</v>
      </c>
      <c r="B253" s="2">
        <v>41923</v>
      </c>
      <c r="C253">
        <v>11</v>
      </c>
      <c r="D253" t="s">
        <v>113</v>
      </c>
      <c r="E253" t="s">
        <v>114</v>
      </c>
      <c r="F253" t="s">
        <v>115</v>
      </c>
      <c r="G253" t="s">
        <v>116</v>
      </c>
      <c r="H253">
        <v>99999</v>
      </c>
      <c r="I253" t="s">
        <v>30</v>
      </c>
      <c r="J253" t="s">
        <v>94</v>
      </c>
      <c r="K253" t="s">
        <v>95</v>
      </c>
      <c r="M253" t="s">
        <v>62</v>
      </c>
      <c r="N253" t="s">
        <v>117</v>
      </c>
      <c r="O253" t="s">
        <v>114</v>
      </c>
      <c r="P253" t="s">
        <v>115</v>
      </c>
      <c r="Q253" t="s">
        <v>116</v>
      </c>
      <c r="R253">
        <v>99999</v>
      </c>
      <c r="S253" t="s">
        <v>30</v>
      </c>
      <c r="U253" t="s">
        <v>103</v>
      </c>
      <c r="V253" t="s">
        <v>37</v>
      </c>
      <c r="W253" s="3">
        <v>2.99</v>
      </c>
      <c r="X253">
        <v>49</v>
      </c>
      <c r="Y253" s="4">
        <v>146.51000000000002</v>
      </c>
      <c r="Z253" s="3">
        <v>14.651000000000003</v>
      </c>
    </row>
    <row r="254" spans="1:26" x14ac:dyDescent="0.25">
      <c r="A254">
        <v>1292</v>
      </c>
      <c r="B254" s="2">
        <v>41913</v>
      </c>
      <c r="C254">
        <v>1</v>
      </c>
      <c r="D254" t="s">
        <v>118</v>
      </c>
      <c r="E254" t="s">
        <v>119</v>
      </c>
      <c r="F254" t="s">
        <v>120</v>
      </c>
      <c r="G254" t="s">
        <v>121</v>
      </c>
      <c r="H254">
        <v>99999</v>
      </c>
      <c r="I254" t="s">
        <v>30</v>
      </c>
      <c r="J254" t="s">
        <v>60</v>
      </c>
      <c r="K254" t="s">
        <v>61</v>
      </c>
      <c r="N254" t="s">
        <v>122</v>
      </c>
      <c r="O254" t="s">
        <v>119</v>
      </c>
      <c r="P254" t="s">
        <v>120</v>
      </c>
      <c r="Q254" t="s">
        <v>121</v>
      </c>
      <c r="R254">
        <v>99999</v>
      </c>
      <c r="S254" t="s">
        <v>30</v>
      </c>
      <c r="U254" t="s">
        <v>54</v>
      </c>
      <c r="V254" t="s">
        <v>37</v>
      </c>
      <c r="W254" s="3">
        <v>18</v>
      </c>
      <c r="X254">
        <v>22</v>
      </c>
      <c r="Y254" s="4">
        <v>396</v>
      </c>
      <c r="Z254" s="3">
        <v>38.015999999999998</v>
      </c>
    </row>
    <row r="255" spans="1:26" x14ac:dyDescent="0.25">
      <c r="A255">
        <v>1293</v>
      </c>
      <c r="B255" s="2">
        <v>41913</v>
      </c>
      <c r="C255">
        <v>1</v>
      </c>
      <c r="D255" t="s">
        <v>118</v>
      </c>
      <c r="E255" t="s">
        <v>119</v>
      </c>
      <c r="F255" t="s">
        <v>120</v>
      </c>
      <c r="G255" t="s">
        <v>121</v>
      </c>
      <c r="H255">
        <v>99999</v>
      </c>
      <c r="I255" t="s">
        <v>30</v>
      </c>
      <c r="J255" t="s">
        <v>60</v>
      </c>
      <c r="K255" t="s">
        <v>61</v>
      </c>
      <c r="N255" t="s">
        <v>122</v>
      </c>
      <c r="O255" t="s">
        <v>119</v>
      </c>
      <c r="P255" t="s">
        <v>120</v>
      </c>
      <c r="Q255" t="s">
        <v>121</v>
      </c>
      <c r="R255">
        <v>99999</v>
      </c>
      <c r="S255" t="s">
        <v>30</v>
      </c>
      <c r="U255" t="s">
        <v>55</v>
      </c>
      <c r="V255" t="s">
        <v>37</v>
      </c>
      <c r="W255" s="3">
        <v>46</v>
      </c>
      <c r="X255">
        <v>73</v>
      </c>
      <c r="Y255" s="4">
        <v>3358</v>
      </c>
      <c r="Z255" s="3">
        <v>339.15800000000002</v>
      </c>
    </row>
    <row r="256" spans="1:26" x14ac:dyDescent="0.25">
      <c r="A256">
        <v>1294</v>
      </c>
      <c r="B256" s="2">
        <v>41913</v>
      </c>
      <c r="C256">
        <v>1</v>
      </c>
      <c r="D256" t="s">
        <v>118</v>
      </c>
      <c r="E256" t="s">
        <v>119</v>
      </c>
      <c r="F256" t="s">
        <v>120</v>
      </c>
      <c r="G256" t="s">
        <v>121</v>
      </c>
      <c r="H256">
        <v>99999</v>
      </c>
      <c r="I256" t="s">
        <v>30</v>
      </c>
      <c r="J256" t="s">
        <v>60</v>
      </c>
      <c r="K256" t="s">
        <v>61</v>
      </c>
      <c r="N256" t="s">
        <v>122</v>
      </c>
      <c r="O256" t="s">
        <v>119</v>
      </c>
      <c r="P256" t="s">
        <v>120</v>
      </c>
      <c r="Q256" t="s">
        <v>121</v>
      </c>
      <c r="R256">
        <v>99999</v>
      </c>
      <c r="S256" t="s">
        <v>30</v>
      </c>
      <c r="U256" t="s">
        <v>103</v>
      </c>
      <c r="V256" t="s">
        <v>37</v>
      </c>
      <c r="W256" s="3">
        <v>2.99</v>
      </c>
      <c r="X256">
        <v>85</v>
      </c>
      <c r="Y256" s="4">
        <v>254.15</v>
      </c>
      <c r="Z256" s="3">
        <v>24.652550000000002</v>
      </c>
    </row>
    <row r="257" spans="1:26" x14ac:dyDescent="0.25">
      <c r="A257">
        <v>1295</v>
      </c>
      <c r="B257" s="2">
        <v>41940</v>
      </c>
      <c r="C257">
        <v>28</v>
      </c>
      <c r="D257" t="s">
        <v>90</v>
      </c>
      <c r="E257" t="s">
        <v>91</v>
      </c>
      <c r="F257" t="s">
        <v>92</v>
      </c>
      <c r="G257" t="s">
        <v>93</v>
      </c>
      <c r="H257">
        <v>99999</v>
      </c>
      <c r="I257" t="s">
        <v>30</v>
      </c>
      <c r="J257" t="s">
        <v>94</v>
      </c>
      <c r="K257" t="s">
        <v>95</v>
      </c>
      <c r="L257" s="2">
        <v>41942</v>
      </c>
      <c r="M257" t="s">
        <v>62</v>
      </c>
      <c r="N257" t="s">
        <v>96</v>
      </c>
      <c r="O257" t="s">
        <v>91</v>
      </c>
      <c r="P257" t="s">
        <v>92</v>
      </c>
      <c r="Q257" t="s">
        <v>93</v>
      </c>
      <c r="R257">
        <v>99999</v>
      </c>
      <c r="S257" t="s">
        <v>30</v>
      </c>
      <c r="T257" t="s">
        <v>48</v>
      </c>
      <c r="U257" t="s">
        <v>80</v>
      </c>
      <c r="V257" t="s">
        <v>81</v>
      </c>
      <c r="W257" s="3">
        <v>9.65</v>
      </c>
      <c r="X257">
        <v>44</v>
      </c>
      <c r="Y257" s="4">
        <v>424.6</v>
      </c>
      <c r="Z257" s="3">
        <v>44.158400000000007</v>
      </c>
    </row>
    <row r="258" spans="1:26" x14ac:dyDescent="0.25">
      <c r="A258">
        <v>1296</v>
      </c>
      <c r="B258" s="2">
        <v>41940</v>
      </c>
      <c r="C258">
        <v>28</v>
      </c>
      <c r="D258" t="s">
        <v>90</v>
      </c>
      <c r="E258" t="s">
        <v>91</v>
      </c>
      <c r="F258" t="s">
        <v>92</v>
      </c>
      <c r="G258" t="s">
        <v>93</v>
      </c>
      <c r="H258">
        <v>99999</v>
      </c>
      <c r="I258" t="s">
        <v>30</v>
      </c>
      <c r="J258" t="s">
        <v>94</v>
      </c>
      <c r="K258" t="s">
        <v>95</v>
      </c>
      <c r="L258" s="2">
        <v>41942</v>
      </c>
      <c r="M258" t="s">
        <v>62</v>
      </c>
      <c r="N258" t="s">
        <v>96</v>
      </c>
      <c r="O258" t="s">
        <v>91</v>
      </c>
      <c r="P258" t="s">
        <v>92</v>
      </c>
      <c r="Q258" t="s">
        <v>93</v>
      </c>
      <c r="R258">
        <v>99999</v>
      </c>
      <c r="S258" t="s">
        <v>30</v>
      </c>
      <c r="T258" t="s">
        <v>48</v>
      </c>
      <c r="U258" t="s">
        <v>123</v>
      </c>
      <c r="V258" t="s">
        <v>124</v>
      </c>
      <c r="W258" s="3">
        <v>18.399999999999999</v>
      </c>
      <c r="X258">
        <v>24</v>
      </c>
      <c r="Y258" s="4">
        <v>441.59999999999997</v>
      </c>
      <c r="Z258" s="3">
        <v>42.835199999999993</v>
      </c>
    </row>
    <row r="259" spans="1:26" x14ac:dyDescent="0.25">
      <c r="A259">
        <v>1297</v>
      </c>
      <c r="B259" s="2">
        <v>41921</v>
      </c>
      <c r="C259">
        <v>9</v>
      </c>
      <c r="D259" t="s">
        <v>125</v>
      </c>
      <c r="E259" t="s">
        <v>126</v>
      </c>
      <c r="F259" t="s">
        <v>127</v>
      </c>
      <c r="G259" t="s">
        <v>128</v>
      </c>
      <c r="H259">
        <v>99999</v>
      </c>
      <c r="I259" t="s">
        <v>30</v>
      </c>
      <c r="J259" t="s">
        <v>129</v>
      </c>
      <c r="K259" t="s">
        <v>32</v>
      </c>
      <c r="L259" s="2">
        <v>41923</v>
      </c>
      <c r="M259" t="s">
        <v>46</v>
      </c>
      <c r="N259" t="s">
        <v>130</v>
      </c>
      <c r="O259" t="s">
        <v>126</v>
      </c>
      <c r="P259" t="s">
        <v>127</v>
      </c>
      <c r="Q259" t="s">
        <v>128</v>
      </c>
      <c r="R259">
        <v>99999</v>
      </c>
      <c r="S259" t="s">
        <v>30</v>
      </c>
      <c r="T259" t="s">
        <v>35</v>
      </c>
      <c r="U259" t="s">
        <v>131</v>
      </c>
      <c r="V259" t="s">
        <v>132</v>
      </c>
      <c r="W259" s="3">
        <v>19.5</v>
      </c>
      <c r="X259">
        <v>64</v>
      </c>
      <c r="Y259" s="4">
        <v>1248</v>
      </c>
      <c r="Z259" s="3">
        <v>119.80800000000001</v>
      </c>
    </row>
    <row r="260" spans="1:26" x14ac:dyDescent="0.25">
      <c r="A260">
        <v>1298</v>
      </c>
      <c r="B260" s="2">
        <v>41921</v>
      </c>
      <c r="C260">
        <v>9</v>
      </c>
      <c r="D260" t="s">
        <v>125</v>
      </c>
      <c r="E260" t="s">
        <v>126</v>
      </c>
      <c r="F260" t="s">
        <v>127</v>
      </c>
      <c r="G260" t="s">
        <v>128</v>
      </c>
      <c r="H260">
        <v>99999</v>
      </c>
      <c r="I260" t="s">
        <v>30</v>
      </c>
      <c r="J260" t="s">
        <v>129</v>
      </c>
      <c r="K260" t="s">
        <v>32</v>
      </c>
      <c r="L260" s="2">
        <v>41923</v>
      </c>
      <c r="M260" t="s">
        <v>46</v>
      </c>
      <c r="N260" t="s">
        <v>130</v>
      </c>
      <c r="O260" t="s">
        <v>126</v>
      </c>
      <c r="P260" t="s">
        <v>127</v>
      </c>
      <c r="Q260" t="s">
        <v>128</v>
      </c>
      <c r="R260">
        <v>99999</v>
      </c>
      <c r="S260" t="s">
        <v>30</v>
      </c>
      <c r="T260" t="s">
        <v>35</v>
      </c>
      <c r="U260" t="s">
        <v>133</v>
      </c>
      <c r="V260" t="s">
        <v>134</v>
      </c>
      <c r="W260" s="3">
        <v>34.799999999999997</v>
      </c>
      <c r="X260">
        <v>70</v>
      </c>
      <c r="Y260" s="4">
        <v>2436</v>
      </c>
      <c r="Z260" s="3">
        <v>246.03600000000003</v>
      </c>
    </row>
    <row r="261" spans="1:26" x14ac:dyDescent="0.25">
      <c r="A261">
        <v>1299</v>
      </c>
      <c r="B261" s="2">
        <v>41918</v>
      </c>
      <c r="C261">
        <v>6</v>
      </c>
      <c r="D261" t="s">
        <v>82</v>
      </c>
      <c r="E261" t="s">
        <v>83</v>
      </c>
      <c r="F261" t="s">
        <v>84</v>
      </c>
      <c r="G261" t="s">
        <v>85</v>
      </c>
      <c r="H261">
        <v>99999</v>
      </c>
      <c r="I261" t="s">
        <v>30</v>
      </c>
      <c r="J261" t="s">
        <v>86</v>
      </c>
      <c r="K261" t="s">
        <v>61</v>
      </c>
      <c r="L261" s="2">
        <v>41920</v>
      </c>
      <c r="M261" t="s">
        <v>33</v>
      </c>
      <c r="N261" t="s">
        <v>87</v>
      </c>
      <c r="O261" t="s">
        <v>83</v>
      </c>
      <c r="P261" t="s">
        <v>84</v>
      </c>
      <c r="Q261" t="s">
        <v>85</v>
      </c>
      <c r="R261">
        <v>99999</v>
      </c>
      <c r="S261" t="s">
        <v>30</v>
      </c>
      <c r="T261" t="s">
        <v>48</v>
      </c>
      <c r="U261" t="s">
        <v>36</v>
      </c>
      <c r="V261" t="s">
        <v>37</v>
      </c>
      <c r="W261" s="3">
        <v>14</v>
      </c>
      <c r="X261">
        <v>98</v>
      </c>
      <c r="Y261" s="4">
        <v>1372</v>
      </c>
      <c r="Z261" s="3">
        <v>138.57200000000003</v>
      </c>
    </row>
    <row r="262" spans="1:26" x14ac:dyDescent="0.25">
      <c r="A262">
        <v>1300</v>
      </c>
      <c r="B262" s="2">
        <v>41920</v>
      </c>
      <c r="C262">
        <v>8</v>
      </c>
      <c r="D262" t="s">
        <v>56</v>
      </c>
      <c r="E262" t="s">
        <v>57</v>
      </c>
      <c r="F262" t="s">
        <v>58</v>
      </c>
      <c r="G262" t="s">
        <v>59</v>
      </c>
      <c r="H262">
        <v>99999</v>
      </c>
      <c r="I262" t="s">
        <v>30</v>
      </c>
      <c r="J262" t="s">
        <v>60</v>
      </c>
      <c r="K262" t="s">
        <v>61</v>
      </c>
      <c r="L262" s="2">
        <v>41922</v>
      </c>
      <c r="M262" t="s">
        <v>33</v>
      </c>
      <c r="N262" t="s">
        <v>63</v>
      </c>
      <c r="O262" t="s">
        <v>57</v>
      </c>
      <c r="P262" t="s">
        <v>58</v>
      </c>
      <c r="Q262" t="s">
        <v>59</v>
      </c>
      <c r="R262">
        <v>99999</v>
      </c>
      <c r="S262" t="s">
        <v>30</v>
      </c>
      <c r="T262" t="s">
        <v>35</v>
      </c>
      <c r="U262" t="s">
        <v>88</v>
      </c>
      <c r="V262" t="s">
        <v>89</v>
      </c>
      <c r="W262" s="3">
        <v>40</v>
      </c>
      <c r="X262">
        <v>48</v>
      </c>
      <c r="Y262" s="4">
        <v>1920</v>
      </c>
      <c r="Z262" s="3">
        <v>188.16</v>
      </c>
    </row>
    <row r="263" spans="1:26" x14ac:dyDescent="0.25">
      <c r="A263">
        <v>1301</v>
      </c>
      <c r="B263" s="2">
        <v>41920</v>
      </c>
      <c r="C263">
        <v>8</v>
      </c>
      <c r="D263" t="s">
        <v>56</v>
      </c>
      <c r="E263" t="s">
        <v>57</v>
      </c>
      <c r="F263" t="s">
        <v>58</v>
      </c>
      <c r="G263" t="s">
        <v>59</v>
      </c>
      <c r="H263">
        <v>99999</v>
      </c>
      <c r="I263" t="s">
        <v>30</v>
      </c>
      <c r="J263" t="s">
        <v>60</v>
      </c>
      <c r="K263" t="s">
        <v>61</v>
      </c>
      <c r="L263" s="2">
        <v>41922</v>
      </c>
      <c r="M263" t="s">
        <v>33</v>
      </c>
      <c r="N263" t="s">
        <v>63</v>
      </c>
      <c r="O263" t="s">
        <v>57</v>
      </c>
      <c r="P263" t="s">
        <v>58</v>
      </c>
      <c r="Q263" t="s">
        <v>59</v>
      </c>
      <c r="R263">
        <v>99999</v>
      </c>
      <c r="S263" t="s">
        <v>30</v>
      </c>
      <c r="T263" t="s">
        <v>35</v>
      </c>
      <c r="U263" t="s">
        <v>64</v>
      </c>
      <c r="V263" t="s">
        <v>65</v>
      </c>
      <c r="W263" s="3">
        <v>9.1999999999999993</v>
      </c>
      <c r="X263">
        <v>100</v>
      </c>
      <c r="Y263" s="4">
        <v>919.99999999999989</v>
      </c>
      <c r="Z263" s="3">
        <v>91.08</v>
      </c>
    </row>
    <row r="264" spans="1:26" x14ac:dyDescent="0.25">
      <c r="A264">
        <v>1302</v>
      </c>
      <c r="B264" s="2">
        <v>41937</v>
      </c>
      <c r="C264">
        <v>25</v>
      </c>
      <c r="D264" t="s">
        <v>137</v>
      </c>
      <c r="E264" t="s">
        <v>138</v>
      </c>
      <c r="F264" t="s">
        <v>99</v>
      </c>
      <c r="G264" t="s">
        <v>100</v>
      </c>
      <c r="H264">
        <v>99999</v>
      </c>
      <c r="I264" t="s">
        <v>30</v>
      </c>
      <c r="J264" t="s">
        <v>101</v>
      </c>
      <c r="K264" t="s">
        <v>45</v>
      </c>
      <c r="L264" s="2">
        <v>41939</v>
      </c>
      <c r="M264" t="s">
        <v>46</v>
      </c>
      <c r="N264" t="s">
        <v>139</v>
      </c>
      <c r="O264" t="s">
        <v>138</v>
      </c>
      <c r="P264" t="s">
        <v>99</v>
      </c>
      <c r="Q264" t="s">
        <v>100</v>
      </c>
      <c r="R264">
        <v>99999</v>
      </c>
      <c r="S264" t="s">
        <v>30</v>
      </c>
      <c r="T264" t="s">
        <v>79</v>
      </c>
      <c r="U264" t="s">
        <v>146</v>
      </c>
      <c r="V264" t="s">
        <v>65</v>
      </c>
      <c r="W264" s="3">
        <v>10</v>
      </c>
      <c r="X264">
        <v>90</v>
      </c>
      <c r="Y264" s="4">
        <v>900</v>
      </c>
      <c r="Z264" s="3">
        <v>87.3</v>
      </c>
    </row>
    <row r="265" spans="1:26" x14ac:dyDescent="0.25">
      <c r="A265">
        <v>1303</v>
      </c>
      <c r="B265" s="2">
        <v>41938</v>
      </c>
      <c r="C265">
        <v>26</v>
      </c>
      <c r="D265" t="s">
        <v>140</v>
      </c>
      <c r="E265" t="s">
        <v>141</v>
      </c>
      <c r="F265" t="s">
        <v>115</v>
      </c>
      <c r="G265" t="s">
        <v>116</v>
      </c>
      <c r="H265">
        <v>99999</v>
      </c>
      <c r="I265" t="s">
        <v>30</v>
      </c>
      <c r="J265" t="s">
        <v>94</v>
      </c>
      <c r="K265" t="s">
        <v>95</v>
      </c>
      <c r="L265" s="2">
        <v>41940</v>
      </c>
      <c r="M265" t="s">
        <v>62</v>
      </c>
      <c r="N265" t="s">
        <v>142</v>
      </c>
      <c r="O265" t="s">
        <v>141</v>
      </c>
      <c r="P265" t="s">
        <v>115</v>
      </c>
      <c r="Q265" t="s">
        <v>116</v>
      </c>
      <c r="R265">
        <v>99999</v>
      </c>
      <c r="S265" t="s">
        <v>30</v>
      </c>
      <c r="T265" t="s">
        <v>48</v>
      </c>
      <c r="U265" t="s">
        <v>147</v>
      </c>
      <c r="V265" t="s">
        <v>148</v>
      </c>
      <c r="W265" s="3">
        <v>21.35</v>
      </c>
      <c r="X265">
        <v>49</v>
      </c>
      <c r="Y265" s="4">
        <v>1046.1500000000001</v>
      </c>
      <c r="Z265" s="3">
        <v>102.5227</v>
      </c>
    </row>
    <row r="266" spans="1:26" x14ac:dyDescent="0.25">
      <c r="A266">
        <v>1304</v>
      </c>
      <c r="B266" s="2">
        <v>41938</v>
      </c>
      <c r="C266">
        <v>26</v>
      </c>
      <c r="D266" t="s">
        <v>140</v>
      </c>
      <c r="E266" t="s">
        <v>141</v>
      </c>
      <c r="F266" t="s">
        <v>115</v>
      </c>
      <c r="G266" t="s">
        <v>116</v>
      </c>
      <c r="H266">
        <v>99999</v>
      </c>
      <c r="I266" t="s">
        <v>30</v>
      </c>
      <c r="J266" t="s">
        <v>94</v>
      </c>
      <c r="K266" t="s">
        <v>95</v>
      </c>
      <c r="L266" s="2">
        <v>41940</v>
      </c>
      <c r="M266" t="s">
        <v>62</v>
      </c>
      <c r="N266" t="s">
        <v>142</v>
      </c>
      <c r="O266" t="s">
        <v>141</v>
      </c>
      <c r="P266" t="s">
        <v>115</v>
      </c>
      <c r="Q266" t="s">
        <v>116</v>
      </c>
      <c r="R266">
        <v>99999</v>
      </c>
      <c r="S266" t="s">
        <v>30</v>
      </c>
      <c r="T266" t="s">
        <v>48</v>
      </c>
      <c r="U266" t="s">
        <v>80</v>
      </c>
      <c r="V266" t="s">
        <v>81</v>
      </c>
      <c r="W266" s="3">
        <v>9.65</v>
      </c>
      <c r="X266">
        <v>71</v>
      </c>
      <c r="Y266" s="4">
        <v>685.15</v>
      </c>
      <c r="Z266" s="3">
        <v>65.7744</v>
      </c>
    </row>
    <row r="267" spans="1:26" x14ac:dyDescent="0.25">
      <c r="A267">
        <v>1305</v>
      </c>
      <c r="B267" s="2">
        <v>41938</v>
      </c>
      <c r="C267">
        <v>26</v>
      </c>
      <c r="D267" t="s">
        <v>140</v>
      </c>
      <c r="E267" t="s">
        <v>141</v>
      </c>
      <c r="F267" t="s">
        <v>115</v>
      </c>
      <c r="G267" t="s">
        <v>116</v>
      </c>
      <c r="H267">
        <v>99999</v>
      </c>
      <c r="I267" t="s">
        <v>30</v>
      </c>
      <c r="J267" t="s">
        <v>94</v>
      </c>
      <c r="K267" t="s">
        <v>95</v>
      </c>
      <c r="L267" s="2">
        <v>41940</v>
      </c>
      <c r="M267" t="s">
        <v>62</v>
      </c>
      <c r="N267" t="s">
        <v>142</v>
      </c>
      <c r="O267" t="s">
        <v>141</v>
      </c>
      <c r="P267" t="s">
        <v>115</v>
      </c>
      <c r="Q267" t="s">
        <v>116</v>
      </c>
      <c r="R267">
        <v>99999</v>
      </c>
      <c r="S267" t="s">
        <v>30</v>
      </c>
      <c r="T267" t="s">
        <v>48</v>
      </c>
      <c r="U267" t="s">
        <v>123</v>
      </c>
      <c r="V267" t="s">
        <v>124</v>
      </c>
      <c r="W267" s="3">
        <v>18.399999999999999</v>
      </c>
      <c r="X267">
        <v>10</v>
      </c>
      <c r="Y267" s="4">
        <v>184</v>
      </c>
      <c r="Z267" s="3">
        <v>19.136000000000003</v>
      </c>
    </row>
    <row r="268" spans="1:26" x14ac:dyDescent="0.25">
      <c r="A268">
        <v>1306</v>
      </c>
      <c r="B268" s="2">
        <v>41941</v>
      </c>
      <c r="C268">
        <v>29</v>
      </c>
      <c r="D268" t="s">
        <v>66</v>
      </c>
      <c r="E268" t="s">
        <v>67</v>
      </c>
      <c r="F268" t="s">
        <v>68</v>
      </c>
      <c r="G268" t="s">
        <v>69</v>
      </c>
      <c r="H268">
        <v>99999</v>
      </c>
      <c r="I268" t="s">
        <v>30</v>
      </c>
      <c r="J268" t="s">
        <v>70</v>
      </c>
      <c r="K268" t="s">
        <v>32</v>
      </c>
      <c r="L268" s="2">
        <v>41943</v>
      </c>
      <c r="M268" t="s">
        <v>33</v>
      </c>
      <c r="N268" t="s">
        <v>71</v>
      </c>
      <c r="O268" t="s">
        <v>67</v>
      </c>
      <c r="P268" t="s">
        <v>68</v>
      </c>
      <c r="Q268" t="s">
        <v>69</v>
      </c>
      <c r="R268">
        <v>99999</v>
      </c>
      <c r="S268" t="s">
        <v>30</v>
      </c>
      <c r="T268" t="s">
        <v>35</v>
      </c>
      <c r="U268" t="s">
        <v>36</v>
      </c>
      <c r="V268" t="s">
        <v>37</v>
      </c>
      <c r="W268" s="3">
        <v>14</v>
      </c>
      <c r="X268">
        <v>78</v>
      </c>
      <c r="Y268" s="4">
        <v>1092</v>
      </c>
      <c r="Z268" s="3">
        <v>112.476</v>
      </c>
    </row>
    <row r="269" spans="1:26" x14ac:dyDescent="0.25">
      <c r="A269">
        <v>1307</v>
      </c>
      <c r="B269" s="2">
        <v>41918</v>
      </c>
      <c r="C269">
        <v>6</v>
      </c>
      <c r="D269" t="s">
        <v>82</v>
      </c>
      <c r="E269" t="s">
        <v>83</v>
      </c>
      <c r="F269" t="s">
        <v>84</v>
      </c>
      <c r="G269" t="s">
        <v>85</v>
      </c>
      <c r="H269">
        <v>99999</v>
      </c>
      <c r="I269" t="s">
        <v>30</v>
      </c>
      <c r="J269" t="s">
        <v>86</v>
      </c>
      <c r="K269" t="s">
        <v>61</v>
      </c>
      <c r="L269" s="2">
        <v>41920</v>
      </c>
      <c r="M269" t="s">
        <v>62</v>
      </c>
      <c r="N269" t="s">
        <v>87</v>
      </c>
      <c r="O269" t="s">
        <v>83</v>
      </c>
      <c r="P269" t="s">
        <v>84</v>
      </c>
      <c r="Q269" t="s">
        <v>85</v>
      </c>
      <c r="R269">
        <v>99999</v>
      </c>
      <c r="S269" t="s">
        <v>30</v>
      </c>
      <c r="T269" t="s">
        <v>35</v>
      </c>
      <c r="U269" t="s">
        <v>72</v>
      </c>
      <c r="V269" t="s">
        <v>73</v>
      </c>
      <c r="W269" s="3">
        <v>12.75</v>
      </c>
      <c r="X269">
        <v>44</v>
      </c>
      <c r="Y269" s="4">
        <v>561</v>
      </c>
      <c r="Z269" s="3">
        <v>53.856000000000002</v>
      </c>
    </row>
    <row r="270" spans="1:26" x14ac:dyDescent="0.25">
      <c r="A270">
        <v>1309</v>
      </c>
      <c r="B270" s="2">
        <v>41916</v>
      </c>
      <c r="C270">
        <v>4</v>
      </c>
      <c r="D270" t="s">
        <v>40</v>
      </c>
      <c r="E270" t="s">
        <v>41</v>
      </c>
      <c r="F270" t="s">
        <v>42</v>
      </c>
      <c r="G270" t="s">
        <v>43</v>
      </c>
      <c r="H270">
        <v>99999</v>
      </c>
      <c r="I270" t="s">
        <v>30</v>
      </c>
      <c r="J270" t="s">
        <v>44</v>
      </c>
      <c r="K270" t="s">
        <v>45</v>
      </c>
      <c r="L270" s="2">
        <v>41918</v>
      </c>
      <c r="M270" t="s">
        <v>46</v>
      </c>
      <c r="N270" t="s">
        <v>47</v>
      </c>
      <c r="O270" t="s">
        <v>41</v>
      </c>
      <c r="P270" t="s">
        <v>42</v>
      </c>
      <c r="Q270" t="s">
        <v>43</v>
      </c>
      <c r="R270">
        <v>99999</v>
      </c>
      <c r="S270" t="s">
        <v>30</v>
      </c>
      <c r="T270" t="s">
        <v>48</v>
      </c>
      <c r="U270" t="s">
        <v>149</v>
      </c>
      <c r="V270" t="s">
        <v>110</v>
      </c>
      <c r="W270">
        <v>81</v>
      </c>
      <c r="X270">
        <v>82</v>
      </c>
      <c r="Y270" s="4">
        <v>6642</v>
      </c>
      <c r="Z270" s="3">
        <v>697.41000000000008</v>
      </c>
    </row>
    <row r="271" spans="1:26" x14ac:dyDescent="0.25">
      <c r="A271">
        <v>1310</v>
      </c>
      <c r="B271" s="2">
        <v>41916</v>
      </c>
      <c r="C271">
        <v>4</v>
      </c>
      <c r="D271" t="s">
        <v>40</v>
      </c>
      <c r="E271" t="s">
        <v>41</v>
      </c>
      <c r="F271" t="s">
        <v>42</v>
      </c>
      <c r="G271" t="s">
        <v>43</v>
      </c>
      <c r="H271">
        <v>99999</v>
      </c>
      <c r="I271" t="s">
        <v>30</v>
      </c>
      <c r="J271" t="s">
        <v>44</v>
      </c>
      <c r="K271" t="s">
        <v>45</v>
      </c>
      <c r="L271" s="2">
        <v>41918</v>
      </c>
      <c r="M271" t="s">
        <v>46</v>
      </c>
      <c r="N271" t="s">
        <v>47</v>
      </c>
      <c r="O271" t="s">
        <v>41</v>
      </c>
      <c r="P271" t="s">
        <v>42</v>
      </c>
      <c r="Q271" t="s">
        <v>43</v>
      </c>
      <c r="R271">
        <v>99999</v>
      </c>
      <c r="S271" t="s">
        <v>30</v>
      </c>
      <c r="T271" t="s">
        <v>48</v>
      </c>
      <c r="U271" t="s">
        <v>150</v>
      </c>
      <c r="V271" t="s">
        <v>151</v>
      </c>
      <c r="W271">
        <v>7</v>
      </c>
      <c r="X271">
        <v>29</v>
      </c>
      <c r="Y271" s="4">
        <v>203</v>
      </c>
      <c r="Z271" s="3">
        <v>20.3</v>
      </c>
    </row>
    <row r="272" spans="1:26" x14ac:dyDescent="0.25">
      <c r="A272">
        <v>1312</v>
      </c>
      <c r="B272" s="2">
        <v>41920</v>
      </c>
      <c r="C272">
        <v>8</v>
      </c>
      <c r="D272" t="s">
        <v>56</v>
      </c>
      <c r="E272" t="s">
        <v>57</v>
      </c>
      <c r="F272" t="s">
        <v>58</v>
      </c>
      <c r="G272" t="s">
        <v>59</v>
      </c>
      <c r="H272">
        <v>99999</v>
      </c>
      <c r="I272" t="s">
        <v>30</v>
      </c>
      <c r="J272" t="s">
        <v>60</v>
      </c>
      <c r="K272" t="s">
        <v>61</v>
      </c>
      <c r="L272" s="2">
        <v>41922</v>
      </c>
      <c r="M272" t="s">
        <v>62</v>
      </c>
      <c r="N272" t="s">
        <v>63</v>
      </c>
      <c r="O272" t="s">
        <v>57</v>
      </c>
      <c r="P272" t="s">
        <v>58</v>
      </c>
      <c r="Q272" t="s">
        <v>59</v>
      </c>
      <c r="R272">
        <v>99999</v>
      </c>
      <c r="S272" t="s">
        <v>30</v>
      </c>
      <c r="T272" t="s">
        <v>48</v>
      </c>
      <c r="U272" t="s">
        <v>133</v>
      </c>
      <c r="V272" t="s">
        <v>134</v>
      </c>
      <c r="W272">
        <v>34.799999999999997</v>
      </c>
      <c r="X272">
        <v>93</v>
      </c>
      <c r="Y272" s="4">
        <v>3236.3999999999996</v>
      </c>
      <c r="Z272" s="3">
        <v>313.93079999999998</v>
      </c>
    </row>
    <row r="273" spans="1:26" x14ac:dyDescent="0.25">
      <c r="A273">
        <v>1315</v>
      </c>
      <c r="B273" s="2">
        <v>41915</v>
      </c>
      <c r="C273">
        <v>3</v>
      </c>
      <c r="D273" t="s">
        <v>74</v>
      </c>
      <c r="E273" t="s">
        <v>75</v>
      </c>
      <c r="F273" t="s">
        <v>76</v>
      </c>
      <c r="G273" t="s">
        <v>77</v>
      </c>
      <c r="H273">
        <v>99999</v>
      </c>
      <c r="I273" t="s">
        <v>30</v>
      </c>
      <c r="J273" t="s">
        <v>31</v>
      </c>
      <c r="K273" t="s">
        <v>32</v>
      </c>
      <c r="L273" s="2">
        <v>41917</v>
      </c>
      <c r="M273" t="s">
        <v>33</v>
      </c>
      <c r="N273" t="s">
        <v>78</v>
      </c>
      <c r="O273" t="s">
        <v>75</v>
      </c>
      <c r="P273" t="s">
        <v>76</v>
      </c>
      <c r="Q273" t="s">
        <v>77</v>
      </c>
      <c r="R273">
        <v>99999</v>
      </c>
      <c r="S273" t="s">
        <v>30</v>
      </c>
      <c r="T273" t="s">
        <v>79</v>
      </c>
      <c r="U273" t="s">
        <v>135</v>
      </c>
      <c r="V273" t="s">
        <v>112</v>
      </c>
      <c r="W273">
        <v>10</v>
      </c>
      <c r="X273">
        <v>11</v>
      </c>
      <c r="Y273" s="4">
        <v>110</v>
      </c>
      <c r="Z273" s="3">
        <v>11.440000000000001</v>
      </c>
    </row>
    <row r="274" spans="1:26" x14ac:dyDescent="0.25">
      <c r="A274">
        <v>1316</v>
      </c>
      <c r="B274" s="2">
        <v>41915</v>
      </c>
      <c r="C274">
        <v>3</v>
      </c>
      <c r="D274" t="s">
        <v>74</v>
      </c>
      <c r="E274" t="s">
        <v>75</v>
      </c>
      <c r="F274" t="s">
        <v>76</v>
      </c>
      <c r="G274" t="s">
        <v>77</v>
      </c>
      <c r="H274">
        <v>99999</v>
      </c>
      <c r="I274" t="s">
        <v>30</v>
      </c>
      <c r="J274" t="s">
        <v>31</v>
      </c>
      <c r="K274" t="s">
        <v>32</v>
      </c>
      <c r="L274" s="2">
        <v>41917</v>
      </c>
      <c r="M274" t="s">
        <v>33</v>
      </c>
      <c r="N274" t="s">
        <v>78</v>
      </c>
      <c r="O274" t="s">
        <v>75</v>
      </c>
      <c r="P274" t="s">
        <v>76</v>
      </c>
      <c r="Q274" t="s">
        <v>77</v>
      </c>
      <c r="R274">
        <v>99999</v>
      </c>
      <c r="S274" t="s">
        <v>30</v>
      </c>
      <c r="T274" t="s">
        <v>79</v>
      </c>
      <c r="U274" t="s">
        <v>88</v>
      </c>
      <c r="V274" t="s">
        <v>89</v>
      </c>
      <c r="W274">
        <v>40</v>
      </c>
      <c r="X274">
        <v>91</v>
      </c>
      <c r="Y274" s="4">
        <v>3640</v>
      </c>
      <c r="Z274" s="3">
        <v>364</v>
      </c>
    </row>
    <row r="275" spans="1:26" x14ac:dyDescent="0.25">
      <c r="A275">
        <v>1320</v>
      </c>
      <c r="B275" s="2">
        <v>41922</v>
      </c>
      <c r="C275">
        <v>10</v>
      </c>
      <c r="D275" t="s">
        <v>97</v>
      </c>
      <c r="E275" t="s">
        <v>98</v>
      </c>
      <c r="F275" t="s">
        <v>99</v>
      </c>
      <c r="G275" t="s">
        <v>100</v>
      </c>
      <c r="H275">
        <v>99999</v>
      </c>
      <c r="I275" t="s">
        <v>30</v>
      </c>
      <c r="J275" t="s">
        <v>101</v>
      </c>
      <c r="K275" t="s">
        <v>45</v>
      </c>
      <c r="L275" s="2">
        <v>41924</v>
      </c>
      <c r="M275" t="s">
        <v>33</v>
      </c>
      <c r="N275" t="s">
        <v>102</v>
      </c>
      <c r="O275" t="s">
        <v>98</v>
      </c>
      <c r="P275" t="s">
        <v>99</v>
      </c>
      <c r="Q275" t="s">
        <v>100</v>
      </c>
      <c r="R275">
        <v>99999</v>
      </c>
      <c r="S275" t="s">
        <v>30</v>
      </c>
      <c r="T275" t="s">
        <v>48</v>
      </c>
      <c r="U275" t="s">
        <v>136</v>
      </c>
      <c r="V275" t="s">
        <v>39</v>
      </c>
      <c r="W275">
        <v>10</v>
      </c>
      <c r="X275">
        <v>12</v>
      </c>
      <c r="Y275" s="4">
        <v>120</v>
      </c>
      <c r="Z275" s="3">
        <v>12.36</v>
      </c>
    </row>
    <row r="276" spans="1:26" x14ac:dyDescent="0.25">
      <c r="A276">
        <v>1322</v>
      </c>
      <c r="B276" s="2">
        <v>41922</v>
      </c>
      <c r="C276">
        <v>10</v>
      </c>
      <c r="D276" t="s">
        <v>97</v>
      </c>
      <c r="E276" t="s">
        <v>98</v>
      </c>
      <c r="F276" t="s">
        <v>99</v>
      </c>
      <c r="G276" t="s">
        <v>100</v>
      </c>
      <c r="H276">
        <v>99999</v>
      </c>
      <c r="I276" t="s">
        <v>30</v>
      </c>
      <c r="J276" t="s">
        <v>101</v>
      </c>
      <c r="K276" t="s">
        <v>45</v>
      </c>
      <c r="L276" s="2"/>
      <c r="M276" t="s">
        <v>46</v>
      </c>
      <c r="N276" t="s">
        <v>102</v>
      </c>
      <c r="O276" t="s">
        <v>98</v>
      </c>
      <c r="P276" t="s">
        <v>99</v>
      </c>
      <c r="Q276" t="s">
        <v>100</v>
      </c>
      <c r="R276">
        <v>99999</v>
      </c>
      <c r="S276" t="s">
        <v>30</v>
      </c>
      <c r="U276" t="s">
        <v>38</v>
      </c>
      <c r="V276" t="s">
        <v>39</v>
      </c>
      <c r="W276">
        <v>3.5</v>
      </c>
      <c r="X276">
        <v>78</v>
      </c>
      <c r="Y276" s="4">
        <v>273</v>
      </c>
      <c r="Z276" s="3">
        <v>27.3</v>
      </c>
    </row>
    <row r="277" spans="1:26" x14ac:dyDescent="0.25">
      <c r="A277">
        <v>1323</v>
      </c>
      <c r="B277" s="2">
        <v>41923</v>
      </c>
      <c r="C277">
        <v>11</v>
      </c>
      <c r="D277" t="s">
        <v>113</v>
      </c>
      <c r="E277" t="s">
        <v>114</v>
      </c>
      <c r="F277" t="s">
        <v>115</v>
      </c>
      <c r="G277" t="s">
        <v>116</v>
      </c>
      <c r="H277">
        <v>99999</v>
      </c>
      <c r="I277" t="s">
        <v>30</v>
      </c>
      <c r="J277" t="s">
        <v>94</v>
      </c>
      <c r="K277" t="s">
        <v>95</v>
      </c>
      <c r="L277" s="2"/>
      <c r="M277" t="s">
        <v>62</v>
      </c>
      <c r="N277" t="s">
        <v>117</v>
      </c>
      <c r="O277" t="s">
        <v>114</v>
      </c>
      <c r="P277" t="s">
        <v>115</v>
      </c>
      <c r="Q277" t="s">
        <v>116</v>
      </c>
      <c r="R277">
        <v>99999</v>
      </c>
      <c r="S277" t="s">
        <v>30</v>
      </c>
      <c r="U277" t="s">
        <v>88</v>
      </c>
      <c r="V277" t="s">
        <v>89</v>
      </c>
      <c r="W277">
        <v>40</v>
      </c>
      <c r="X277">
        <v>60</v>
      </c>
      <c r="Y277" s="4">
        <v>2400</v>
      </c>
      <c r="Z277" s="3">
        <v>228</v>
      </c>
    </row>
    <row r="278" spans="1:26" x14ac:dyDescent="0.25">
      <c r="A278">
        <v>1324</v>
      </c>
      <c r="B278" s="2">
        <v>41913</v>
      </c>
      <c r="C278">
        <v>1</v>
      </c>
      <c r="D278" t="s">
        <v>118</v>
      </c>
      <c r="E278" t="s">
        <v>119</v>
      </c>
      <c r="F278" t="s">
        <v>120</v>
      </c>
      <c r="G278" t="s">
        <v>121</v>
      </c>
      <c r="H278">
        <v>99999</v>
      </c>
      <c r="I278" t="s">
        <v>30</v>
      </c>
      <c r="J278" t="s">
        <v>60</v>
      </c>
      <c r="K278" t="s">
        <v>61</v>
      </c>
      <c r="L278" s="2"/>
      <c r="M278" t="s">
        <v>62</v>
      </c>
      <c r="N278" t="s">
        <v>122</v>
      </c>
      <c r="O278" t="s">
        <v>119</v>
      </c>
      <c r="P278" t="s">
        <v>120</v>
      </c>
      <c r="Q278" t="s">
        <v>121</v>
      </c>
      <c r="R278">
        <v>99999</v>
      </c>
      <c r="S278" t="s">
        <v>30</v>
      </c>
      <c r="U278" t="s">
        <v>123</v>
      </c>
      <c r="V278" t="s">
        <v>124</v>
      </c>
      <c r="W278">
        <v>18.399999999999999</v>
      </c>
      <c r="X278">
        <v>23</v>
      </c>
      <c r="Y278" s="4">
        <v>423.2</v>
      </c>
      <c r="Z278" s="3">
        <v>43.589600000000004</v>
      </c>
    </row>
    <row r="279" spans="1:26" x14ac:dyDescent="0.25">
      <c r="A279">
        <v>1325</v>
      </c>
      <c r="B279" s="2">
        <v>41940</v>
      </c>
      <c r="C279">
        <v>28</v>
      </c>
      <c r="D279" t="s">
        <v>90</v>
      </c>
      <c r="E279" t="s">
        <v>91</v>
      </c>
      <c r="F279" t="s">
        <v>92</v>
      </c>
      <c r="G279" t="s">
        <v>93</v>
      </c>
      <c r="H279">
        <v>99999</v>
      </c>
      <c r="I279" t="s">
        <v>30</v>
      </c>
      <c r="J279" t="s">
        <v>94</v>
      </c>
      <c r="K279" t="s">
        <v>95</v>
      </c>
      <c r="L279" s="2">
        <v>41942</v>
      </c>
      <c r="M279" t="s">
        <v>62</v>
      </c>
      <c r="N279" t="s">
        <v>96</v>
      </c>
      <c r="O279" t="s">
        <v>91</v>
      </c>
      <c r="P279" t="s">
        <v>92</v>
      </c>
      <c r="Q279" t="s">
        <v>93</v>
      </c>
      <c r="R279">
        <v>99999</v>
      </c>
      <c r="S279" t="s">
        <v>30</v>
      </c>
      <c r="T279" t="s">
        <v>48</v>
      </c>
      <c r="U279" t="s">
        <v>55</v>
      </c>
      <c r="V279" t="s">
        <v>37</v>
      </c>
      <c r="W279">
        <v>46</v>
      </c>
      <c r="X279">
        <v>34</v>
      </c>
      <c r="Y279" s="4">
        <v>1564</v>
      </c>
      <c r="Z279" s="3">
        <v>157.964</v>
      </c>
    </row>
    <row r="280" spans="1:26" x14ac:dyDescent="0.25">
      <c r="A280">
        <v>1326</v>
      </c>
      <c r="B280" s="2">
        <v>41921</v>
      </c>
      <c r="C280">
        <v>9</v>
      </c>
      <c r="D280" t="s">
        <v>125</v>
      </c>
      <c r="E280" t="s">
        <v>126</v>
      </c>
      <c r="F280" t="s">
        <v>127</v>
      </c>
      <c r="G280" t="s">
        <v>128</v>
      </c>
      <c r="H280">
        <v>99999</v>
      </c>
      <c r="I280" t="s">
        <v>30</v>
      </c>
      <c r="J280" t="s">
        <v>129</v>
      </c>
      <c r="K280" t="s">
        <v>32</v>
      </c>
      <c r="L280" s="2">
        <v>41923</v>
      </c>
      <c r="M280" t="s">
        <v>46</v>
      </c>
      <c r="N280" t="s">
        <v>130</v>
      </c>
      <c r="O280" t="s">
        <v>126</v>
      </c>
      <c r="P280" t="s">
        <v>127</v>
      </c>
      <c r="Q280" t="s">
        <v>128</v>
      </c>
      <c r="R280">
        <v>99999</v>
      </c>
      <c r="S280" t="s">
        <v>30</v>
      </c>
      <c r="T280" t="s">
        <v>35</v>
      </c>
      <c r="U280" t="s">
        <v>80</v>
      </c>
      <c r="V280" t="s">
        <v>81</v>
      </c>
      <c r="W280">
        <v>9.65</v>
      </c>
      <c r="X280">
        <v>89</v>
      </c>
      <c r="Y280" s="4">
        <v>858.85</v>
      </c>
      <c r="Z280" s="3">
        <v>86.743850000000009</v>
      </c>
    </row>
    <row r="281" spans="1:26" x14ac:dyDescent="0.25">
      <c r="A281">
        <v>1327</v>
      </c>
      <c r="B281" s="2">
        <v>41918</v>
      </c>
      <c r="C281">
        <v>6</v>
      </c>
      <c r="D281" t="s">
        <v>82</v>
      </c>
      <c r="E281" t="s">
        <v>83</v>
      </c>
      <c r="F281" t="s">
        <v>84</v>
      </c>
      <c r="G281" t="s">
        <v>85</v>
      </c>
      <c r="H281">
        <v>99999</v>
      </c>
      <c r="I281" t="s">
        <v>30</v>
      </c>
      <c r="J281" t="s">
        <v>86</v>
      </c>
      <c r="K281" t="s">
        <v>61</v>
      </c>
      <c r="L281" s="2">
        <v>41920</v>
      </c>
      <c r="M281" t="s">
        <v>33</v>
      </c>
      <c r="N281" t="s">
        <v>87</v>
      </c>
      <c r="O281" t="s">
        <v>83</v>
      </c>
      <c r="P281" t="s">
        <v>84</v>
      </c>
      <c r="Q281" t="s">
        <v>85</v>
      </c>
      <c r="R281">
        <v>99999</v>
      </c>
      <c r="S281" t="s">
        <v>30</v>
      </c>
      <c r="T281" t="s">
        <v>48</v>
      </c>
      <c r="U281" t="s">
        <v>72</v>
      </c>
      <c r="V281" t="s">
        <v>73</v>
      </c>
      <c r="W281">
        <v>12.75</v>
      </c>
      <c r="X281">
        <v>82</v>
      </c>
      <c r="Y281" s="4">
        <v>1045.5</v>
      </c>
      <c r="Z281" s="3">
        <v>103.50450000000001</v>
      </c>
    </row>
    <row r="282" spans="1:26" x14ac:dyDescent="0.25">
      <c r="A282">
        <v>1328</v>
      </c>
      <c r="B282" s="2">
        <v>41920</v>
      </c>
      <c r="C282">
        <v>8</v>
      </c>
      <c r="D282" t="s">
        <v>56</v>
      </c>
      <c r="E282" t="s">
        <v>57</v>
      </c>
      <c r="F282" t="s">
        <v>58</v>
      </c>
      <c r="G282" t="s">
        <v>59</v>
      </c>
      <c r="H282">
        <v>99999</v>
      </c>
      <c r="I282" t="s">
        <v>30</v>
      </c>
      <c r="J282" t="s">
        <v>60</v>
      </c>
      <c r="K282" t="s">
        <v>61</v>
      </c>
      <c r="L282" s="2">
        <v>41922</v>
      </c>
      <c r="M282" t="s">
        <v>33</v>
      </c>
      <c r="N282" t="s">
        <v>63</v>
      </c>
      <c r="O282" t="s">
        <v>57</v>
      </c>
      <c r="P282" t="s">
        <v>58</v>
      </c>
      <c r="Q282" t="s">
        <v>59</v>
      </c>
      <c r="R282">
        <v>99999</v>
      </c>
      <c r="S282" t="s">
        <v>30</v>
      </c>
      <c r="T282" t="s">
        <v>35</v>
      </c>
      <c r="U282" t="s">
        <v>72</v>
      </c>
      <c r="V282" t="s">
        <v>73</v>
      </c>
      <c r="W282">
        <v>12.75</v>
      </c>
      <c r="X282">
        <v>43</v>
      </c>
      <c r="Y282" s="4">
        <v>548.25</v>
      </c>
      <c r="Z282" s="3">
        <v>52.631999999999998</v>
      </c>
    </row>
    <row r="283" spans="1:26" x14ac:dyDescent="0.25">
      <c r="A283">
        <v>1329</v>
      </c>
      <c r="B283" s="2">
        <v>41953</v>
      </c>
      <c r="C283">
        <v>10</v>
      </c>
      <c r="D283" t="s">
        <v>97</v>
      </c>
      <c r="E283" t="s">
        <v>98</v>
      </c>
      <c r="F283" t="s">
        <v>99</v>
      </c>
      <c r="G283" t="s">
        <v>100</v>
      </c>
      <c r="H283">
        <v>99999</v>
      </c>
      <c r="I283" t="s">
        <v>30</v>
      </c>
      <c r="J283" t="s">
        <v>101</v>
      </c>
      <c r="K283" t="s">
        <v>45</v>
      </c>
      <c r="L283" s="2">
        <v>41955</v>
      </c>
      <c r="M283" t="s">
        <v>46</v>
      </c>
      <c r="N283" t="s">
        <v>102</v>
      </c>
      <c r="O283" t="s">
        <v>98</v>
      </c>
      <c r="P283" t="s">
        <v>99</v>
      </c>
      <c r="Q283" t="s">
        <v>100</v>
      </c>
      <c r="R283">
        <v>99999</v>
      </c>
      <c r="S283" t="s">
        <v>30</v>
      </c>
      <c r="U283" t="s">
        <v>111</v>
      </c>
      <c r="V283" t="s">
        <v>112</v>
      </c>
      <c r="W283" s="3">
        <v>22</v>
      </c>
      <c r="X283">
        <v>96</v>
      </c>
      <c r="Y283" s="4">
        <v>2112</v>
      </c>
      <c r="Z283" s="3">
        <v>221.76000000000002</v>
      </c>
    </row>
    <row r="284" spans="1:26" x14ac:dyDescent="0.25">
      <c r="A284">
        <v>1330</v>
      </c>
      <c r="B284" s="2">
        <v>41953</v>
      </c>
      <c r="C284">
        <v>10</v>
      </c>
      <c r="D284" t="s">
        <v>97</v>
      </c>
      <c r="E284" t="s">
        <v>98</v>
      </c>
      <c r="F284" t="s">
        <v>99</v>
      </c>
      <c r="G284" t="s">
        <v>100</v>
      </c>
      <c r="H284">
        <v>99999</v>
      </c>
      <c r="I284" t="s">
        <v>30</v>
      </c>
      <c r="J284" t="s">
        <v>101</v>
      </c>
      <c r="K284" t="s">
        <v>45</v>
      </c>
      <c r="L284" s="2">
        <v>41955</v>
      </c>
      <c r="M284" t="s">
        <v>46</v>
      </c>
      <c r="N284" t="s">
        <v>102</v>
      </c>
      <c r="O284" t="s">
        <v>98</v>
      </c>
      <c r="P284" t="s">
        <v>99</v>
      </c>
      <c r="Q284" t="s">
        <v>100</v>
      </c>
      <c r="R284">
        <v>99999</v>
      </c>
      <c r="S284" t="s">
        <v>30</v>
      </c>
      <c r="U284" t="s">
        <v>64</v>
      </c>
      <c r="V284" t="s">
        <v>65</v>
      </c>
      <c r="W284" s="3">
        <v>9.1999999999999993</v>
      </c>
      <c r="X284">
        <v>34</v>
      </c>
      <c r="Y284" s="4">
        <v>312.79999999999995</v>
      </c>
      <c r="Z284" s="3">
        <v>31.279999999999998</v>
      </c>
    </row>
    <row r="285" spans="1:26" x14ac:dyDescent="0.25">
      <c r="A285">
        <v>1331</v>
      </c>
      <c r="B285" s="2">
        <v>41954</v>
      </c>
      <c r="C285">
        <v>11</v>
      </c>
      <c r="D285" t="s">
        <v>113</v>
      </c>
      <c r="E285" t="s">
        <v>114</v>
      </c>
      <c r="F285" t="s">
        <v>115</v>
      </c>
      <c r="G285" t="s">
        <v>116</v>
      </c>
      <c r="H285">
        <v>99999</v>
      </c>
      <c r="I285" t="s">
        <v>30</v>
      </c>
      <c r="J285" t="s">
        <v>94</v>
      </c>
      <c r="K285" t="s">
        <v>95</v>
      </c>
      <c r="L285" s="2"/>
      <c r="M285" t="s">
        <v>62</v>
      </c>
      <c r="N285" t="s">
        <v>117</v>
      </c>
      <c r="O285" t="s">
        <v>114</v>
      </c>
      <c r="P285" t="s">
        <v>115</v>
      </c>
      <c r="Q285" t="s">
        <v>116</v>
      </c>
      <c r="R285">
        <v>99999</v>
      </c>
      <c r="S285" t="s">
        <v>30</v>
      </c>
      <c r="U285" t="s">
        <v>38</v>
      </c>
      <c r="V285" t="s">
        <v>39</v>
      </c>
      <c r="W285" s="3">
        <v>3.5</v>
      </c>
      <c r="X285">
        <v>42</v>
      </c>
      <c r="Y285" s="4">
        <v>147</v>
      </c>
      <c r="Z285" s="3">
        <v>15.141000000000002</v>
      </c>
    </row>
    <row r="286" spans="1:26" x14ac:dyDescent="0.25">
      <c r="A286">
        <v>1332</v>
      </c>
      <c r="B286" s="2">
        <v>41954</v>
      </c>
      <c r="C286">
        <v>11</v>
      </c>
      <c r="D286" t="s">
        <v>113</v>
      </c>
      <c r="E286" t="s">
        <v>114</v>
      </c>
      <c r="F286" t="s">
        <v>115</v>
      </c>
      <c r="G286" t="s">
        <v>116</v>
      </c>
      <c r="H286">
        <v>99999</v>
      </c>
      <c r="I286" t="s">
        <v>30</v>
      </c>
      <c r="J286" t="s">
        <v>94</v>
      </c>
      <c r="K286" t="s">
        <v>95</v>
      </c>
      <c r="L286" s="2"/>
      <c r="M286" t="s">
        <v>62</v>
      </c>
      <c r="N286" t="s">
        <v>117</v>
      </c>
      <c r="O286" t="s">
        <v>114</v>
      </c>
      <c r="P286" t="s">
        <v>115</v>
      </c>
      <c r="Q286" t="s">
        <v>116</v>
      </c>
      <c r="R286">
        <v>99999</v>
      </c>
      <c r="S286" t="s">
        <v>30</v>
      </c>
      <c r="U286" t="s">
        <v>103</v>
      </c>
      <c r="V286" t="s">
        <v>37</v>
      </c>
      <c r="W286" s="3">
        <v>2.99</v>
      </c>
      <c r="X286">
        <v>100</v>
      </c>
      <c r="Y286" s="4">
        <v>299</v>
      </c>
      <c r="Z286" s="3">
        <v>30.498000000000001</v>
      </c>
    </row>
    <row r="287" spans="1:26" x14ac:dyDescent="0.25">
      <c r="A287">
        <v>1333</v>
      </c>
      <c r="B287" s="2">
        <v>41944</v>
      </c>
      <c r="C287">
        <v>1</v>
      </c>
      <c r="D287" t="s">
        <v>118</v>
      </c>
      <c r="E287" t="s">
        <v>119</v>
      </c>
      <c r="F287" t="s">
        <v>120</v>
      </c>
      <c r="G287" t="s">
        <v>121</v>
      </c>
      <c r="H287">
        <v>99999</v>
      </c>
      <c r="I287" t="s">
        <v>30</v>
      </c>
      <c r="J287" t="s">
        <v>60</v>
      </c>
      <c r="K287" t="s">
        <v>61</v>
      </c>
      <c r="N287" t="s">
        <v>122</v>
      </c>
      <c r="O287" t="s">
        <v>119</v>
      </c>
      <c r="P287" t="s">
        <v>120</v>
      </c>
      <c r="Q287" t="s">
        <v>121</v>
      </c>
      <c r="R287">
        <v>99999</v>
      </c>
      <c r="S287" t="s">
        <v>30</v>
      </c>
      <c r="U287" t="s">
        <v>54</v>
      </c>
      <c r="V287" t="s">
        <v>37</v>
      </c>
      <c r="W287" s="3">
        <v>18</v>
      </c>
      <c r="X287">
        <v>42</v>
      </c>
      <c r="Y287" s="4">
        <v>756</v>
      </c>
      <c r="Z287" s="3">
        <v>76.356000000000009</v>
      </c>
    </row>
    <row r="288" spans="1:26" x14ac:dyDescent="0.25">
      <c r="A288">
        <v>1334</v>
      </c>
      <c r="B288" s="2">
        <v>41944</v>
      </c>
      <c r="C288">
        <v>1</v>
      </c>
      <c r="D288" t="s">
        <v>118</v>
      </c>
      <c r="E288" t="s">
        <v>119</v>
      </c>
      <c r="F288" t="s">
        <v>120</v>
      </c>
      <c r="G288" t="s">
        <v>121</v>
      </c>
      <c r="H288">
        <v>99999</v>
      </c>
      <c r="I288" t="s">
        <v>30</v>
      </c>
      <c r="J288" t="s">
        <v>60</v>
      </c>
      <c r="K288" t="s">
        <v>61</v>
      </c>
      <c r="L288" s="2"/>
      <c r="N288" t="s">
        <v>122</v>
      </c>
      <c r="O288" t="s">
        <v>119</v>
      </c>
      <c r="P288" t="s">
        <v>120</v>
      </c>
      <c r="Q288" t="s">
        <v>121</v>
      </c>
      <c r="R288">
        <v>99999</v>
      </c>
      <c r="S288" t="s">
        <v>30</v>
      </c>
      <c r="U288" t="s">
        <v>55</v>
      </c>
      <c r="V288" t="s">
        <v>37</v>
      </c>
      <c r="W288" s="3">
        <v>46</v>
      </c>
      <c r="X288">
        <v>16</v>
      </c>
      <c r="Y288" s="4">
        <v>736</v>
      </c>
      <c r="Z288" s="3">
        <v>70.656000000000006</v>
      </c>
    </row>
    <row r="289" spans="1:26" x14ac:dyDescent="0.25">
      <c r="A289">
        <v>1335</v>
      </c>
      <c r="B289" s="2">
        <v>41944</v>
      </c>
      <c r="C289">
        <v>1</v>
      </c>
      <c r="D289" t="s">
        <v>118</v>
      </c>
      <c r="E289" t="s">
        <v>119</v>
      </c>
      <c r="F289" t="s">
        <v>120</v>
      </c>
      <c r="G289" t="s">
        <v>121</v>
      </c>
      <c r="H289">
        <v>99999</v>
      </c>
      <c r="I289" t="s">
        <v>30</v>
      </c>
      <c r="J289" t="s">
        <v>60</v>
      </c>
      <c r="K289" t="s">
        <v>61</v>
      </c>
      <c r="L289" s="2"/>
      <c r="N289" t="s">
        <v>122</v>
      </c>
      <c r="O289" t="s">
        <v>119</v>
      </c>
      <c r="P289" t="s">
        <v>120</v>
      </c>
      <c r="Q289" t="s">
        <v>121</v>
      </c>
      <c r="R289">
        <v>99999</v>
      </c>
      <c r="S289" t="s">
        <v>30</v>
      </c>
      <c r="U289" t="s">
        <v>103</v>
      </c>
      <c r="V289" t="s">
        <v>37</v>
      </c>
      <c r="W289" s="3">
        <v>2.99</v>
      </c>
      <c r="X289">
        <v>22</v>
      </c>
      <c r="Y289" s="4">
        <v>65.78</v>
      </c>
      <c r="Z289" s="3">
        <v>6.3806599999999998</v>
      </c>
    </row>
    <row r="290" spans="1:26" x14ac:dyDescent="0.25">
      <c r="A290">
        <v>1336</v>
      </c>
      <c r="B290" s="2">
        <v>41971</v>
      </c>
      <c r="C290">
        <v>28</v>
      </c>
      <c r="D290" t="s">
        <v>90</v>
      </c>
      <c r="E290" t="s">
        <v>91</v>
      </c>
      <c r="F290" t="s">
        <v>92</v>
      </c>
      <c r="G290" t="s">
        <v>93</v>
      </c>
      <c r="H290">
        <v>99999</v>
      </c>
      <c r="I290" t="s">
        <v>30</v>
      </c>
      <c r="J290" t="s">
        <v>94</v>
      </c>
      <c r="K290" t="s">
        <v>95</v>
      </c>
      <c r="L290" s="2">
        <v>41973</v>
      </c>
      <c r="M290" t="s">
        <v>62</v>
      </c>
      <c r="N290" t="s">
        <v>96</v>
      </c>
      <c r="O290" t="s">
        <v>91</v>
      </c>
      <c r="P290" t="s">
        <v>92</v>
      </c>
      <c r="Q290" t="s">
        <v>93</v>
      </c>
      <c r="R290">
        <v>99999</v>
      </c>
      <c r="S290" t="s">
        <v>30</v>
      </c>
      <c r="T290" t="s">
        <v>48</v>
      </c>
      <c r="U290" t="s">
        <v>80</v>
      </c>
      <c r="V290" t="s">
        <v>81</v>
      </c>
      <c r="W290" s="3">
        <v>9.65</v>
      </c>
      <c r="X290">
        <v>46</v>
      </c>
      <c r="Y290" s="4">
        <v>443.90000000000003</v>
      </c>
      <c r="Z290" s="3">
        <v>45.721700000000006</v>
      </c>
    </row>
    <row r="291" spans="1:26" x14ac:dyDescent="0.25">
      <c r="A291">
        <v>1337</v>
      </c>
      <c r="B291" s="2">
        <v>41971</v>
      </c>
      <c r="C291">
        <v>28</v>
      </c>
      <c r="D291" t="s">
        <v>90</v>
      </c>
      <c r="E291" t="s">
        <v>91</v>
      </c>
      <c r="F291" t="s">
        <v>92</v>
      </c>
      <c r="G291" t="s">
        <v>93</v>
      </c>
      <c r="H291">
        <v>99999</v>
      </c>
      <c r="I291" t="s">
        <v>30</v>
      </c>
      <c r="J291" t="s">
        <v>94</v>
      </c>
      <c r="K291" t="s">
        <v>95</v>
      </c>
      <c r="L291">
        <v>41973</v>
      </c>
      <c r="M291" t="s">
        <v>62</v>
      </c>
      <c r="N291" t="s">
        <v>96</v>
      </c>
      <c r="O291" t="s">
        <v>91</v>
      </c>
      <c r="P291" t="s">
        <v>92</v>
      </c>
      <c r="Q291" t="s">
        <v>93</v>
      </c>
      <c r="R291">
        <v>99999</v>
      </c>
      <c r="S291" t="s">
        <v>30</v>
      </c>
      <c r="T291" t="s">
        <v>48</v>
      </c>
      <c r="U291" t="s">
        <v>123</v>
      </c>
      <c r="V291" t="s">
        <v>124</v>
      </c>
      <c r="W291" s="3">
        <v>18.399999999999999</v>
      </c>
      <c r="X291">
        <v>100</v>
      </c>
      <c r="Y291" s="4">
        <v>1839.9999999999998</v>
      </c>
      <c r="Z291" s="3">
        <v>184</v>
      </c>
    </row>
    <row r="292" spans="1:26" x14ac:dyDescent="0.25">
      <c r="A292">
        <v>1338</v>
      </c>
      <c r="B292" s="2">
        <v>41952</v>
      </c>
      <c r="C292">
        <v>9</v>
      </c>
      <c r="D292" t="s">
        <v>125</v>
      </c>
      <c r="E292" t="s">
        <v>126</v>
      </c>
      <c r="F292" t="s">
        <v>127</v>
      </c>
      <c r="G292" t="s">
        <v>128</v>
      </c>
      <c r="H292">
        <v>99999</v>
      </c>
      <c r="I292" t="s">
        <v>30</v>
      </c>
      <c r="J292" t="s">
        <v>129</v>
      </c>
      <c r="K292" t="s">
        <v>32</v>
      </c>
      <c r="L292">
        <v>41954</v>
      </c>
      <c r="M292" t="s">
        <v>46</v>
      </c>
      <c r="N292" t="s">
        <v>130</v>
      </c>
      <c r="O292" t="s">
        <v>126</v>
      </c>
      <c r="P292" t="s">
        <v>127</v>
      </c>
      <c r="Q292" t="s">
        <v>128</v>
      </c>
      <c r="R292">
        <v>99999</v>
      </c>
      <c r="S292" t="s">
        <v>30</v>
      </c>
      <c r="T292" t="s">
        <v>35</v>
      </c>
      <c r="U292" t="s">
        <v>131</v>
      </c>
      <c r="V292" t="s">
        <v>132</v>
      </c>
      <c r="W292" s="3">
        <v>19.5</v>
      </c>
      <c r="X292">
        <v>87</v>
      </c>
      <c r="Y292" s="4">
        <v>1696.5</v>
      </c>
      <c r="Z292" s="3">
        <v>174.73950000000002</v>
      </c>
    </row>
    <row r="293" spans="1:26" x14ac:dyDescent="0.25">
      <c r="A293">
        <v>1339</v>
      </c>
      <c r="B293" s="2">
        <v>41952</v>
      </c>
      <c r="C293">
        <v>9</v>
      </c>
      <c r="D293" t="s">
        <v>125</v>
      </c>
      <c r="E293" t="s">
        <v>126</v>
      </c>
      <c r="F293" t="s">
        <v>127</v>
      </c>
      <c r="G293" t="s">
        <v>128</v>
      </c>
      <c r="H293">
        <v>99999</v>
      </c>
      <c r="I293" t="s">
        <v>30</v>
      </c>
      <c r="J293" t="s">
        <v>129</v>
      </c>
      <c r="K293" t="s">
        <v>32</v>
      </c>
      <c r="L293">
        <v>41954</v>
      </c>
      <c r="M293" t="s">
        <v>46</v>
      </c>
      <c r="N293" t="s">
        <v>130</v>
      </c>
      <c r="O293" t="s">
        <v>126</v>
      </c>
      <c r="P293" t="s">
        <v>127</v>
      </c>
      <c r="Q293" t="s">
        <v>128</v>
      </c>
      <c r="R293">
        <v>99999</v>
      </c>
      <c r="S293" t="s">
        <v>30</v>
      </c>
      <c r="T293" t="s">
        <v>35</v>
      </c>
      <c r="U293" t="s">
        <v>133</v>
      </c>
      <c r="V293" t="s">
        <v>134</v>
      </c>
      <c r="W293" s="3">
        <v>34.799999999999997</v>
      </c>
      <c r="X293">
        <v>58</v>
      </c>
      <c r="Y293" s="4">
        <v>2018.3999999999999</v>
      </c>
      <c r="Z293" s="3">
        <v>205.8768</v>
      </c>
    </row>
    <row r="294" spans="1:26" x14ac:dyDescent="0.25">
      <c r="A294">
        <v>1340</v>
      </c>
      <c r="B294" s="2">
        <v>41949</v>
      </c>
      <c r="C294">
        <v>6</v>
      </c>
      <c r="D294" t="s">
        <v>82</v>
      </c>
      <c r="E294" t="s">
        <v>83</v>
      </c>
      <c r="F294" t="s">
        <v>84</v>
      </c>
      <c r="G294" t="s">
        <v>85</v>
      </c>
      <c r="H294">
        <v>99999</v>
      </c>
      <c r="I294" t="s">
        <v>30</v>
      </c>
      <c r="J294" t="s">
        <v>86</v>
      </c>
      <c r="K294" t="s">
        <v>61</v>
      </c>
      <c r="L294">
        <v>41951</v>
      </c>
      <c r="M294" t="s">
        <v>33</v>
      </c>
      <c r="N294" t="s">
        <v>87</v>
      </c>
      <c r="O294" t="s">
        <v>83</v>
      </c>
      <c r="P294" t="s">
        <v>84</v>
      </c>
      <c r="Q294" t="s">
        <v>85</v>
      </c>
      <c r="R294">
        <v>99999</v>
      </c>
      <c r="S294" t="s">
        <v>30</v>
      </c>
      <c r="T294" t="s">
        <v>48</v>
      </c>
      <c r="U294" t="s">
        <v>36</v>
      </c>
      <c r="V294" t="s">
        <v>37</v>
      </c>
      <c r="W294" s="3">
        <v>14</v>
      </c>
      <c r="X294">
        <v>85</v>
      </c>
      <c r="Y294" s="4">
        <v>1190</v>
      </c>
      <c r="Z294" s="3">
        <v>120.19</v>
      </c>
    </row>
    <row r="295" spans="1:26" x14ac:dyDescent="0.25">
      <c r="A295">
        <v>1341</v>
      </c>
      <c r="B295" s="2">
        <v>41951</v>
      </c>
      <c r="C295">
        <v>8</v>
      </c>
      <c r="D295" t="s">
        <v>56</v>
      </c>
      <c r="E295" t="s">
        <v>57</v>
      </c>
      <c r="F295" t="s">
        <v>58</v>
      </c>
      <c r="G295" t="s">
        <v>59</v>
      </c>
      <c r="H295">
        <v>99999</v>
      </c>
      <c r="I295" t="s">
        <v>30</v>
      </c>
      <c r="J295" t="s">
        <v>60</v>
      </c>
      <c r="K295" t="s">
        <v>61</v>
      </c>
      <c r="L295">
        <v>41953</v>
      </c>
      <c r="M295" t="s">
        <v>33</v>
      </c>
      <c r="N295" t="s">
        <v>63</v>
      </c>
      <c r="O295" t="s">
        <v>57</v>
      </c>
      <c r="P295" t="s">
        <v>58</v>
      </c>
      <c r="Q295" t="s">
        <v>59</v>
      </c>
      <c r="R295">
        <v>99999</v>
      </c>
      <c r="S295" t="s">
        <v>30</v>
      </c>
      <c r="T295" t="s">
        <v>35</v>
      </c>
      <c r="U295" t="s">
        <v>88</v>
      </c>
      <c r="V295" t="s">
        <v>89</v>
      </c>
      <c r="W295" s="3">
        <v>40</v>
      </c>
      <c r="X295">
        <v>28</v>
      </c>
      <c r="Y295" s="4">
        <v>1120</v>
      </c>
      <c r="Z295" s="3">
        <v>110.88</v>
      </c>
    </row>
    <row r="296" spans="1:26" x14ac:dyDescent="0.25">
      <c r="A296">
        <v>1342</v>
      </c>
      <c r="B296" s="2">
        <v>41951</v>
      </c>
      <c r="C296">
        <v>8</v>
      </c>
      <c r="D296" t="s">
        <v>56</v>
      </c>
      <c r="E296" t="s">
        <v>57</v>
      </c>
      <c r="F296" t="s">
        <v>58</v>
      </c>
      <c r="G296" t="s">
        <v>59</v>
      </c>
      <c r="H296">
        <v>99999</v>
      </c>
      <c r="I296" t="s">
        <v>30</v>
      </c>
      <c r="J296" t="s">
        <v>60</v>
      </c>
      <c r="K296" t="s">
        <v>61</v>
      </c>
      <c r="L296" s="2">
        <v>41953</v>
      </c>
      <c r="M296" t="s">
        <v>33</v>
      </c>
      <c r="N296" t="s">
        <v>63</v>
      </c>
      <c r="O296" t="s">
        <v>57</v>
      </c>
      <c r="P296" t="s">
        <v>58</v>
      </c>
      <c r="Q296" t="s">
        <v>59</v>
      </c>
      <c r="R296">
        <v>99999</v>
      </c>
      <c r="S296" t="s">
        <v>30</v>
      </c>
      <c r="T296" t="s">
        <v>35</v>
      </c>
      <c r="U296" t="s">
        <v>64</v>
      </c>
      <c r="V296" t="s">
        <v>65</v>
      </c>
      <c r="W296" s="3">
        <v>9.1999999999999993</v>
      </c>
      <c r="X296">
        <v>19</v>
      </c>
      <c r="Y296" s="4">
        <v>174.79999999999998</v>
      </c>
      <c r="Z296" s="3">
        <v>17.130400000000002</v>
      </c>
    </row>
    <row r="297" spans="1:26" x14ac:dyDescent="0.25">
      <c r="A297">
        <v>1343</v>
      </c>
      <c r="B297" s="2">
        <v>41968</v>
      </c>
      <c r="C297">
        <v>25</v>
      </c>
      <c r="D297" t="s">
        <v>137</v>
      </c>
      <c r="E297" t="s">
        <v>138</v>
      </c>
      <c r="F297" t="s">
        <v>99</v>
      </c>
      <c r="G297" t="s">
        <v>100</v>
      </c>
      <c r="H297">
        <v>99999</v>
      </c>
      <c r="I297" t="s">
        <v>30</v>
      </c>
      <c r="J297" t="s">
        <v>101</v>
      </c>
      <c r="K297" t="s">
        <v>45</v>
      </c>
      <c r="L297" s="2">
        <v>41970</v>
      </c>
      <c r="M297" t="s">
        <v>46</v>
      </c>
      <c r="N297" t="s">
        <v>139</v>
      </c>
      <c r="O297" t="s">
        <v>138</v>
      </c>
      <c r="P297" t="s">
        <v>99</v>
      </c>
      <c r="Q297" t="s">
        <v>100</v>
      </c>
      <c r="R297">
        <v>99999</v>
      </c>
      <c r="S297" t="s">
        <v>30</v>
      </c>
      <c r="T297" t="s">
        <v>79</v>
      </c>
      <c r="U297" t="s">
        <v>146</v>
      </c>
      <c r="V297" t="s">
        <v>65</v>
      </c>
      <c r="W297" s="3">
        <v>10</v>
      </c>
      <c r="X297">
        <v>99</v>
      </c>
      <c r="Y297" s="4">
        <v>990</v>
      </c>
      <c r="Z297" s="3">
        <v>102.96000000000001</v>
      </c>
    </row>
    <row r="298" spans="1:26" x14ac:dyDescent="0.25">
      <c r="A298">
        <v>1344</v>
      </c>
      <c r="B298" s="2">
        <v>41969</v>
      </c>
      <c r="C298">
        <v>26</v>
      </c>
      <c r="D298" t="s">
        <v>140</v>
      </c>
      <c r="E298" t="s">
        <v>141</v>
      </c>
      <c r="F298" t="s">
        <v>115</v>
      </c>
      <c r="G298" t="s">
        <v>116</v>
      </c>
      <c r="H298">
        <v>99999</v>
      </c>
      <c r="I298" t="s">
        <v>30</v>
      </c>
      <c r="J298" t="s">
        <v>94</v>
      </c>
      <c r="K298" t="s">
        <v>95</v>
      </c>
      <c r="L298" s="2">
        <v>41971</v>
      </c>
      <c r="M298" t="s">
        <v>62</v>
      </c>
      <c r="N298" t="s">
        <v>142</v>
      </c>
      <c r="O298" t="s">
        <v>141</v>
      </c>
      <c r="P298" t="s">
        <v>115</v>
      </c>
      <c r="Q298" t="s">
        <v>116</v>
      </c>
      <c r="R298">
        <v>99999</v>
      </c>
      <c r="S298" t="s">
        <v>30</v>
      </c>
      <c r="T298" t="s">
        <v>48</v>
      </c>
      <c r="U298" t="s">
        <v>147</v>
      </c>
      <c r="V298" t="s">
        <v>148</v>
      </c>
      <c r="W298" s="3">
        <v>21.35</v>
      </c>
      <c r="X298">
        <v>69</v>
      </c>
      <c r="Y298" s="4">
        <v>1473.15</v>
      </c>
      <c r="Z298" s="3">
        <v>153.20760000000004</v>
      </c>
    </row>
    <row r="299" spans="1:26" x14ac:dyDescent="0.25">
      <c r="A299">
        <v>1345</v>
      </c>
      <c r="B299" s="2">
        <v>41969</v>
      </c>
      <c r="C299">
        <v>26</v>
      </c>
      <c r="D299" t="s">
        <v>140</v>
      </c>
      <c r="E299" t="s">
        <v>141</v>
      </c>
      <c r="F299" t="s">
        <v>115</v>
      </c>
      <c r="G299" t="s">
        <v>116</v>
      </c>
      <c r="H299">
        <v>99999</v>
      </c>
      <c r="I299" t="s">
        <v>30</v>
      </c>
      <c r="J299" t="s">
        <v>94</v>
      </c>
      <c r="K299" t="s">
        <v>95</v>
      </c>
      <c r="L299" s="2">
        <v>41971</v>
      </c>
      <c r="M299" t="s">
        <v>62</v>
      </c>
      <c r="N299" t="s">
        <v>142</v>
      </c>
      <c r="O299" t="s">
        <v>141</v>
      </c>
      <c r="P299" t="s">
        <v>115</v>
      </c>
      <c r="Q299" t="s">
        <v>116</v>
      </c>
      <c r="R299">
        <v>99999</v>
      </c>
      <c r="S299" t="s">
        <v>30</v>
      </c>
      <c r="T299" t="s">
        <v>48</v>
      </c>
      <c r="U299" t="s">
        <v>80</v>
      </c>
      <c r="V299" t="s">
        <v>81</v>
      </c>
      <c r="W299" s="3">
        <v>9.65</v>
      </c>
      <c r="X299">
        <v>37</v>
      </c>
      <c r="Y299" s="4">
        <v>357.05</v>
      </c>
      <c r="Z299" s="3">
        <v>33.919750000000001</v>
      </c>
    </row>
    <row r="300" spans="1:26" x14ac:dyDescent="0.25">
      <c r="A300">
        <v>1346</v>
      </c>
      <c r="B300" s="2">
        <v>41969</v>
      </c>
      <c r="C300">
        <v>26</v>
      </c>
      <c r="D300" t="s">
        <v>140</v>
      </c>
      <c r="E300" t="s">
        <v>141</v>
      </c>
      <c r="F300" t="s">
        <v>115</v>
      </c>
      <c r="G300" t="s">
        <v>116</v>
      </c>
      <c r="H300">
        <v>99999</v>
      </c>
      <c r="I300" t="s">
        <v>30</v>
      </c>
      <c r="J300" t="s">
        <v>94</v>
      </c>
      <c r="K300" t="s">
        <v>95</v>
      </c>
      <c r="L300" s="2">
        <v>41971</v>
      </c>
      <c r="M300" t="s">
        <v>62</v>
      </c>
      <c r="N300" t="s">
        <v>142</v>
      </c>
      <c r="O300" t="s">
        <v>141</v>
      </c>
      <c r="P300" t="s">
        <v>115</v>
      </c>
      <c r="Q300" t="s">
        <v>116</v>
      </c>
      <c r="R300">
        <v>99999</v>
      </c>
      <c r="S300" t="s">
        <v>30</v>
      </c>
      <c r="T300" t="s">
        <v>48</v>
      </c>
      <c r="U300" t="s">
        <v>123</v>
      </c>
      <c r="V300" t="s">
        <v>124</v>
      </c>
      <c r="W300" s="3">
        <v>18.399999999999999</v>
      </c>
      <c r="X300">
        <v>64</v>
      </c>
      <c r="Y300" s="4">
        <v>1177.5999999999999</v>
      </c>
      <c r="Z300" s="3">
        <v>118.93759999999999</v>
      </c>
    </row>
    <row r="301" spans="1:26" x14ac:dyDescent="0.25">
      <c r="A301">
        <v>1347</v>
      </c>
      <c r="B301" s="2">
        <v>41972</v>
      </c>
      <c r="C301">
        <v>29</v>
      </c>
      <c r="D301" t="s">
        <v>66</v>
      </c>
      <c r="E301" t="s">
        <v>67</v>
      </c>
      <c r="F301" t="s">
        <v>68</v>
      </c>
      <c r="G301" t="s">
        <v>69</v>
      </c>
      <c r="H301">
        <v>99999</v>
      </c>
      <c r="I301" t="s">
        <v>30</v>
      </c>
      <c r="J301" t="s">
        <v>70</v>
      </c>
      <c r="K301" t="s">
        <v>32</v>
      </c>
      <c r="L301" s="2">
        <v>41974</v>
      </c>
      <c r="M301" t="s">
        <v>33</v>
      </c>
      <c r="N301" t="s">
        <v>71</v>
      </c>
      <c r="O301" t="s">
        <v>67</v>
      </c>
      <c r="P301" t="s">
        <v>68</v>
      </c>
      <c r="Q301" t="s">
        <v>69</v>
      </c>
      <c r="R301">
        <v>99999</v>
      </c>
      <c r="S301" t="s">
        <v>30</v>
      </c>
      <c r="T301" t="s">
        <v>35</v>
      </c>
      <c r="U301" t="s">
        <v>36</v>
      </c>
      <c r="V301" t="s">
        <v>37</v>
      </c>
      <c r="W301" s="3">
        <v>14</v>
      </c>
      <c r="X301">
        <v>38</v>
      </c>
      <c r="Y301" s="4">
        <v>532</v>
      </c>
      <c r="Z301" s="3">
        <v>55.328000000000003</v>
      </c>
    </row>
    <row r="302" spans="1:26" x14ac:dyDescent="0.25">
      <c r="A302">
        <v>1348</v>
      </c>
      <c r="B302" s="2">
        <v>41949</v>
      </c>
      <c r="C302">
        <v>6</v>
      </c>
      <c r="D302" t="s">
        <v>82</v>
      </c>
      <c r="E302" t="s">
        <v>83</v>
      </c>
      <c r="F302" t="s">
        <v>84</v>
      </c>
      <c r="G302" t="s">
        <v>85</v>
      </c>
      <c r="H302">
        <v>99999</v>
      </c>
      <c r="I302" t="s">
        <v>30</v>
      </c>
      <c r="J302" t="s">
        <v>86</v>
      </c>
      <c r="K302" t="s">
        <v>61</v>
      </c>
      <c r="L302" s="2">
        <v>41951</v>
      </c>
      <c r="M302" t="s">
        <v>62</v>
      </c>
      <c r="N302" t="s">
        <v>87</v>
      </c>
      <c r="O302" t="s">
        <v>83</v>
      </c>
      <c r="P302" t="s">
        <v>84</v>
      </c>
      <c r="Q302" t="s">
        <v>85</v>
      </c>
      <c r="R302">
        <v>99999</v>
      </c>
      <c r="S302" t="s">
        <v>30</v>
      </c>
      <c r="T302" t="s">
        <v>35</v>
      </c>
      <c r="U302" t="s">
        <v>72</v>
      </c>
      <c r="V302" t="s">
        <v>73</v>
      </c>
      <c r="W302" s="3">
        <v>12.75</v>
      </c>
      <c r="X302">
        <v>15</v>
      </c>
      <c r="Y302" s="4">
        <v>191.25</v>
      </c>
      <c r="Z302" s="3">
        <v>18.55125</v>
      </c>
    </row>
    <row r="303" spans="1:26" x14ac:dyDescent="0.25">
      <c r="A303">
        <v>1350</v>
      </c>
      <c r="B303" s="2">
        <v>41947</v>
      </c>
      <c r="C303">
        <v>4</v>
      </c>
      <c r="D303" t="s">
        <v>40</v>
      </c>
      <c r="E303" t="s">
        <v>41</v>
      </c>
      <c r="F303" t="s">
        <v>42</v>
      </c>
      <c r="G303" t="s">
        <v>43</v>
      </c>
      <c r="H303">
        <v>99999</v>
      </c>
      <c r="I303" t="s">
        <v>30</v>
      </c>
      <c r="J303" t="s">
        <v>44</v>
      </c>
      <c r="K303" t="s">
        <v>45</v>
      </c>
      <c r="L303" s="2">
        <v>41949</v>
      </c>
      <c r="M303" t="s">
        <v>46</v>
      </c>
      <c r="N303" t="s">
        <v>47</v>
      </c>
      <c r="O303" t="s">
        <v>41</v>
      </c>
      <c r="P303" t="s">
        <v>42</v>
      </c>
      <c r="Q303" t="s">
        <v>43</v>
      </c>
      <c r="R303">
        <v>99999</v>
      </c>
      <c r="S303" t="s">
        <v>30</v>
      </c>
      <c r="T303" t="s">
        <v>48</v>
      </c>
      <c r="U303" t="s">
        <v>149</v>
      </c>
      <c r="V303" t="s">
        <v>110</v>
      </c>
      <c r="W303" s="3">
        <v>81</v>
      </c>
      <c r="X303">
        <v>52</v>
      </c>
      <c r="Y303" s="4">
        <v>4212</v>
      </c>
      <c r="Z303" s="3">
        <v>412.77600000000001</v>
      </c>
    </row>
    <row r="304" spans="1:26" x14ac:dyDescent="0.25">
      <c r="A304">
        <v>1351</v>
      </c>
      <c r="B304" s="2">
        <v>41947</v>
      </c>
      <c r="C304">
        <v>4</v>
      </c>
      <c r="D304" t="s">
        <v>40</v>
      </c>
      <c r="E304" t="s">
        <v>41</v>
      </c>
      <c r="F304" t="s">
        <v>42</v>
      </c>
      <c r="G304" t="s">
        <v>43</v>
      </c>
      <c r="H304">
        <v>99999</v>
      </c>
      <c r="I304" t="s">
        <v>30</v>
      </c>
      <c r="J304" t="s">
        <v>44</v>
      </c>
      <c r="K304" t="s">
        <v>45</v>
      </c>
      <c r="L304" s="2">
        <v>41949</v>
      </c>
      <c r="M304" t="s">
        <v>46</v>
      </c>
      <c r="N304" t="s">
        <v>47</v>
      </c>
      <c r="O304" t="s">
        <v>41</v>
      </c>
      <c r="P304" t="s">
        <v>42</v>
      </c>
      <c r="Q304" t="s">
        <v>43</v>
      </c>
      <c r="R304">
        <v>99999</v>
      </c>
      <c r="S304" t="s">
        <v>30</v>
      </c>
      <c r="T304" t="s">
        <v>48</v>
      </c>
      <c r="U304" t="s">
        <v>150</v>
      </c>
      <c r="V304" t="s">
        <v>151</v>
      </c>
      <c r="W304" s="3">
        <v>7</v>
      </c>
      <c r="X304">
        <v>37</v>
      </c>
      <c r="Y304" s="4">
        <v>259</v>
      </c>
      <c r="Z304" s="3">
        <v>25.382000000000001</v>
      </c>
    </row>
    <row r="305" spans="1:26" x14ac:dyDescent="0.25">
      <c r="A305">
        <v>1353</v>
      </c>
      <c r="B305" s="2">
        <v>41951</v>
      </c>
      <c r="C305">
        <v>8</v>
      </c>
      <c r="D305" t="s">
        <v>56</v>
      </c>
      <c r="E305" t="s">
        <v>57</v>
      </c>
      <c r="F305" t="s">
        <v>58</v>
      </c>
      <c r="G305" t="s">
        <v>59</v>
      </c>
      <c r="H305">
        <v>99999</v>
      </c>
      <c r="I305" t="s">
        <v>30</v>
      </c>
      <c r="J305" t="s">
        <v>60</v>
      </c>
      <c r="K305" t="s">
        <v>61</v>
      </c>
      <c r="L305" s="2">
        <v>41953</v>
      </c>
      <c r="M305" t="s">
        <v>62</v>
      </c>
      <c r="N305" t="s">
        <v>63</v>
      </c>
      <c r="O305" t="s">
        <v>57</v>
      </c>
      <c r="P305" t="s">
        <v>58</v>
      </c>
      <c r="Q305" t="s">
        <v>59</v>
      </c>
      <c r="R305">
        <v>99999</v>
      </c>
      <c r="S305" t="s">
        <v>30</v>
      </c>
      <c r="T305" t="s">
        <v>48</v>
      </c>
      <c r="U305" t="s">
        <v>133</v>
      </c>
      <c r="V305" t="s">
        <v>134</v>
      </c>
      <c r="W305" s="3">
        <v>34.799999999999997</v>
      </c>
      <c r="X305">
        <v>24</v>
      </c>
      <c r="Y305" s="4">
        <v>835.19999999999993</v>
      </c>
      <c r="Z305" s="3">
        <v>80.179199999999994</v>
      </c>
    </row>
    <row r="306" spans="1:26" x14ac:dyDescent="0.25">
      <c r="A306">
        <v>1356</v>
      </c>
      <c r="B306" s="2">
        <v>41946</v>
      </c>
      <c r="C306">
        <v>3</v>
      </c>
      <c r="D306" t="s">
        <v>74</v>
      </c>
      <c r="E306" t="s">
        <v>75</v>
      </c>
      <c r="F306" t="s">
        <v>76</v>
      </c>
      <c r="G306" t="s">
        <v>77</v>
      </c>
      <c r="H306">
        <v>99999</v>
      </c>
      <c r="I306" t="s">
        <v>30</v>
      </c>
      <c r="J306" t="s">
        <v>31</v>
      </c>
      <c r="K306" t="s">
        <v>32</v>
      </c>
      <c r="L306" s="2">
        <v>41948</v>
      </c>
      <c r="M306" t="s">
        <v>33</v>
      </c>
      <c r="N306" t="s">
        <v>78</v>
      </c>
      <c r="O306" t="s">
        <v>75</v>
      </c>
      <c r="P306" t="s">
        <v>76</v>
      </c>
      <c r="Q306" t="s">
        <v>77</v>
      </c>
      <c r="R306">
        <v>99999</v>
      </c>
      <c r="S306" t="s">
        <v>30</v>
      </c>
      <c r="T306" t="s">
        <v>79</v>
      </c>
      <c r="U306" t="s">
        <v>135</v>
      </c>
      <c r="V306" t="s">
        <v>112</v>
      </c>
      <c r="W306" s="3">
        <v>10</v>
      </c>
      <c r="X306">
        <v>36</v>
      </c>
      <c r="Y306" s="4">
        <v>360</v>
      </c>
      <c r="Z306" s="3">
        <v>37.08</v>
      </c>
    </row>
    <row r="307" spans="1:26" x14ac:dyDescent="0.25">
      <c r="A307">
        <v>1357</v>
      </c>
      <c r="B307" s="2">
        <v>41946</v>
      </c>
      <c r="C307">
        <v>3</v>
      </c>
      <c r="D307" t="s">
        <v>74</v>
      </c>
      <c r="E307" t="s">
        <v>75</v>
      </c>
      <c r="F307" t="s">
        <v>76</v>
      </c>
      <c r="G307" t="s">
        <v>77</v>
      </c>
      <c r="H307">
        <v>99999</v>
      </c>
      <c r="I307" t="s">
        <v>30</v>
      </c>
      <c r="J307" t="s">
        <v>31</v>
      </c>
      <c r="K307" t="s">
        <v>32</v>
      </c>
      <c r="L307" s="2">
        <v>41948</v>
      </c>
      <c r="M307" t="s">
        <v>33</v>
      </c>
      <c r="N307" t="s">
        <v>78</v>
      </c>
      <c r="O307" t="s">
        <v>75</v>
      </c>
      <c r="P307" t="s">
        <v>76</v>
      </c>
      <c r="Q307" t="s">
        <v>77</v>
      </c>
      <c r="R307">
        <v>99999</v>
      </c>
      <c r="S307" t="s">
        <v>30</v>
      </c>
      <c r="T307" t="s">
        <v>79</v>
      </c>
      <c r="U307" t="s">
        <v>88</v>
      </c>
      <c r="V307" t="s">
        <v>89</v>
      </c>
      <c r="W307" s="3">
        <v>40</v>
      </c>
      <c r="X307">
        <v>24</v>
      </c>
      <c r="Y307" s="4">
        <v>960</v>
      </c>
      <c r="Z307" s="3">
        <v>96</v>
      </c>
    </row>
    <row r="308" spans="1:26" x14ac:dyDescent="0.25">
      <c r="A308">
        <v>1361</v>
      </c>
      <c r="B308" s="2">
        <v>41953</v>
      </c>
      <c r="C308">
        <v>10</v>
      </c>
      <c r="D308" t="s">
        <v>97</v>
      </c>
      <c r="E308" t="s">
        <v>98</v>
      </c>
      <c r="F308" t="s">
        <v>99</v>
      </c>
      <c r="G308" t="s">
        <v>100</v>
      </c>
      <c r="H308">
        <v>99999</v>
      </c>
      <c r="I308" t="s">
        <v>30</v>
      </c>
      <c r="J308" t="s">
        <v>101</v>
      </c>
      <c r="K308" t="s">
        <v>45</v>
      </c>
      <c r="L308" s="2">
        <v>41955</v>
      </c>
      <c r="M308" t="s">
        <v>33</v>
      </c>
      <c r="N308" t="s">
        <v>102</v>
      </c>
      <c r="O308" t="s">
        <v>98</v>
      </c>
      <c r="P308" t="s">
        <v>99</v>
      </c>
      <c r="Q308" t="s">
        <v>100</v>
      </c>
      <c r="R308">
        <v>99999</v>
      </c>
      <c r="S308" t="s">
        <v>30</v>
      </c>
      <c r="T308" t="s">
        <v>48</v>
      </c>
      <c r="U308" t="s">
        <v>136</v>
      </c>
      <c r="V308" t="s">
        <v>39</v>
      </c>
      <c r="W308" s="3">
        <v>10</v>
      </c>
      <c r="X308">
        <v>20</v>
      </c>
      <c r="Y308" s="4">
        <v>200</v>
      </c>
      <c r="Z308" s="3">
        <v>20</v>
      </c>
    </row>
    <row r="309" spans="1:26" x14ac:dyDescent="0.25">
      <c r="A309">
        <v>1363</v>
      </c>
      <c r="B309" s="2">
        <v>41953</v>
      </c>
      <c r="C309">
        <v>10</v>
      </c>
      <c r="D309" t="s">
        <v>97</v>
      </c>
      <c r="E309" t="s">
        <v>98</v>
      </c>
      <c r="F309" t="s">
        <v>99</v>
      </c>
      <c r="G309" t="s">
        <v>100</v>
      </c>
      <c r="H309">
        <v>99999</v>
      </c>
      <c r="I309" t="s">
        <v>30</v>
      </c>
      <c r="J309" t="s">
        <v>101</v>
      </c>
      <c r="K309" t="s">
        <v>45</v>
      </c>
      <c r="L309" s="2"/>
      <c r="M309" t="s">
        <v>46</v>
      </c>
      <c r="N309" t="s">
        <v>102</v>
      </c>
      <c r="O309" t="s">
        <v>98</v>
      </c>
      <c r="P309" t="s">
        <v>99</v>
      </c>
      <c r="Q309" t="s">
        <v>100</v>
      </c>
      <c r="R309">
        <v>99999</v>
      </c>
      <c r="S309" t="s">
        <v>30</v>
      </c>
      <c r="U309" t="s">
        <v>38</v>
      </c>
      <c r="V309" t="s">
        <v>39</v>
      </c>
      <c r="W309">
        <v>3.5</v>
      </c>
      <c r="X309">
        <v>11</v>
      </c>
      <c r="Y309" s="4">
        <v>38.5</v>
      </c>
      <c r="Z309" s="3">
        <v>3.7345000000000002</v>
      </c>
    </row>
    <row r="310" spans="1:26" x14ac:dyDescent="0.25">
      <c r="A310">
        <v>1364</v>
      </c>
      <c r="B310" s="2">
        <v>41954</v>
      </c>
      <c r="C310">
        <v>11</v>
      </c>
      <c r="D310" t="s">
        <v>113</v>
      </c>
      <c r="E310" t="s">
        <v>114</v>
      </c>
      <c r="F310" t="s">
        <v>115</v>
      </c>
      <c r="G310" t="s">
        <v>116</v>
      </c>
      <c r="H310">
        <v>99999</v>
      </c>
      <c r="I310" t="s">
        <v>30</v>
      </c>
      <c r="J310" t="s">
        <v>94</v>
      </c>
      <c r="K310" t="s">
        <v>95</v>
      </c>
      <c r="L310" s="2"/>
      <c r="M310" t="s">
        <v>62</v>
      </c>
      <c r="N310" t="s">
        <v>117</v>
      </c>
      <c r="O310" t="s">
        <v>114</v>
      </c>
      <c r="P310" t="s">
        <v>115</v>
      </c>
      <c r="Q310" t="s">
        <v>116</v>
      </c>
      <c r="R310">
        <v>99999</v>
      </c>
      <c r="S310" t="s">
        <v>30</v>
      </c>
      <c r="U310" t="s">
        <v>88</v>
      </c>
      <c r="V310" t="s">
        <v>89</v>
      </c>
      <c r="W310">
        <v>40</v>
      </c>
      <c r="X310">
        <v>78</v>
      </c>
      <c r="Y310" s="4">
        <v>3120</v>
      </c>
      <c r="Z310" s="3">
        <v>299.52</v>
      </c>
    </row>
    <row r="311" spans="1:26" x14ac:dyDescent="0.25">
      <c r="A311">
        <v>1365</v>
      </c>
      <c r="B311" s="2">
        <v>41944</v>
      </c>
      <c r="C311">
        <v>1</v>
      </c>
      <c r="D311" t="s">
        <v>118</v>
      </c>
      <c r="E311" t="s">
        <v>119</v>
      </c>
      <c r="F311" t="s">
        <v>120</v>
      </c>
      <c r="G311" t="s">
        <v>121</v>
      </c>
      <c r="H311">
        <v>99999</v>
      </c>
      <c r="I311" t="s">
        <v>30</v>
      </c>
      <c r="J311" t="s">
        <v>60</v>
      </c>
      <c r="K311" t="s">
        <v>61</v>
      </c>
      <c r="L311" s="2"/>
      <c r="M311" t="s">
        <v>62</v>
      </c>
      <c r="N311" t="s">
        <v>122</v>
      </c>
      <c r="O311" t="s">
        <v>119</v>
      </c>
      <c r="P311" t="s">
        <v>120</v>
      </c>
      <c r="Q311" t="s">
        <v>121</v>
      </c>
      <c r="R311">
        <v>99999</v>
      </c>
      <c r="S311" t="s">
        <v>30</v>
      </c>
      <c r="U311" t="s">
        <v>123</v>
      </c>
      <c r="V311" t="s">
        <v>124</v>
      </c>
      <c r="W311">
        <v>18.399999999999999</v>
      </c>
      <c r="X311">
        <v>76</v>
      </c>
      <c r="Y311" s="4">
        <v>1398.3999999999999</v>
      </c>
      <c r="Z311" s="3">
        <v>144.0352</v>
      </c>
    </row>
    <row r="312" spans="1:26" x14ac:dyDescent="0.25">
      <c r="A312">
        <v>1366</v>
      </c>
      <c r="B312" s="2">
        <v>41971</v>
      </c>
      <c r="C312">
        <v>28</v>
      </c>
      <c r="D312" t="s">
        <v>90</v>
      </c>
      <c r="E312" t="s">
        <v>91</v>
      </c>
      <c r="F312" t="s">
        <v>92</v>
      </c>
      <c r="G312" t="s">
        <v>93</v>
      </c>
      <c r="H312">
        <v>99999</v>
      </c>
      <c r="I312" t="s">
        <v>30</v>
      </c>
      <c r="J312" t="s">
        <v>94</v>
      </c>
      <c r="K312" t="s">
        <v>95</v>
      </c>
      <c r="L312" s="2">
        <v>41973</v>
      </c>
      <c r="M312" t="s">
        <v>62</v>
      </c>
      <c r="N312" t="s">
        <v>96</v>
      </c>
      <c r="O312" t="s">
        <v>91</v>
      </c>
      <c r="P312" t="s">
        <v>92</v>
      </c>
      <c r="Q312" t="s">
        <v>93</v>
      </c>
      <c r="R312">
        <v>99999</v>
      </c>
      <c r="S312" t="s">
        <v>30</v>
      </c>
      <c r="T312" t="s">
        <v>48</v>
      </c>
      <c r="U312" t="s">
        <v>55</v>
      </c>
      <c r="V312" t="s">
        <v>37</v>
      </c>
      <c r="W312">
        <v>46</v>
      </c>
      <c r="X312">
        <v>57</v>
      </c>
      <c r="Y312" s="4">
        <v>2622</v>
      </c>
      <c r="Z312" s="3">
        <v>272.68799999999999</v>
      </c>
    </row>
    <row r="313" spans="1:26" x14ac:dyDescent="0.25">
      <c r="A313">
        <v>1367</v>
      </c>
      <c r="B313" s="2">
        <v>41952</v>
      </c>
      <c r="C313">
        <v>9</v>
      </c>
      <c r="D313" t="s">
        <v>125</v>
      </c>
      <c r="E313" t="s">
        <v>126</v>
      </c>
      <c r="F313" t="s">
        <v>127</v>
      </c>
      <c r="G313" t="s">
        <v>128</v>
      </c>
      <c r="H313">
        <v>99999</v>
      </c>
      <c r="I313" t="s">
        <v>30</v>
      </c>
      <c r="J313" t="s">
        <v>129</v>
      </c>
      <c r="K313" t="s">
        <v>32</v>
      </c>
      <c r="L313" s="2">
        <v>41954</v>
      </c>
      <c r="M313" t="s">
        <v>46</v>
      </c>
      <c r="N313" t="s">
        <v>130</v>
      </c>
      <c r="O313" t="s">
        <v>126</v>
      </c>
      <c r="P313" t="s">
        <v>127</v>
      </c>
      <c r="Q313" t="s">
        <v>128</v>
      </c>
      <c r="R313">
        <v>99999</v>
      </c>
      <c r="S313" t="s">
        <v>30</v>
      </c>
      <c r="T313" t="s">
        <v>35</v>
      </c>
      <c r="U313" t="s">
        <v>80</v>
      </c>
      <c r="V313" t="s">
        <v>81</v>
      </c>
      <c r="W313">
        <v>9.65</v>
      </c>
      <c r="X313">
        <v>14</v>
      </c>
      <c r="Y313" s="4">
        <v>135.1</v>
      </c>
      <c r="Z313" s="3">
        <v>12.9696</v>
      </c>
    </row>
    <row r="314" spans="1:26" x14ac:dyDescent="0.25">
      <c r="A314">
        <v>1368</v>
      </c>
      <c r="B314" s="2">
        <v>42000</v>
      </c>
      <c r="C314">
        <v>27</v>
      </c>
      <c r="D314" t="s">
        <v>26</v>
      </c>
      <c r="E314" t="s">
        <v>27</v>
      </c>
      <c r="F314" t="s">
        <v>28</v>
      </c>
      <c r="G314" t="s">
        <v>29</v>
      </c>
      <c r="H314">
        <v>99999</v>
      </c>
      <c r="I314" t="s">
        <v>30</v>
      </c>
      <c r="J314" t="s">
        <v>31</v>
      </c>
      <c r="K314" t="s">
        <v>32</v>
      </c>
      <c r="L314" s="2">
        <v>42002</v>
      </c>
      <c r="M314" t="s">
        <v>33</v>
      </c>
      <c r="N314" t="s">
        <v>34</v>
      </c>
      <c r="O314" t="s">
        <v>27</v>
      </c>
      <c r="P314" t="s">
        <v>28</v>
      </c>
      <c r="Q314" t="s">
        <v>29</v>
      </c>
      <c r="R314">
        <v>99999</v>
      </c>
      <c r="S314" t="s">
        <v>30</v>
      </c>
      <c r="T314" t="s">
        <v>35</v>
      </c>
      <c r="U314" t="s">
        <v>36</v>
      </c>
      <c r="V314" t="s">
        <v>37</v>
      </c>
      <c r="W314">
        <v>14</v>
      </c>
      <c r="X314">
        <v>14</v>
      </c>
      <c r="Y314" s="4">
        <v>196</v>
      </c>
      <c r="Z314" s="3">
        <v>19.796000000000003</v>
      </c>
    </row>
    <row r="315" spans="1:26" x14ac:dyDescent="0.25">
      <c r="A315">
        <v>1369</v>
      </c>
      <c r="B315" s="2">
        <v>42000</v>
      </c>
      <c r="C315">
        <v>27</v>
      </c>
      <c r="D315" t="s">
        <v>26</v>
      </c>
      <c r="E315" t="s">
        <v>27</v>
      </c>
      <c r="F315" t="s">
        <v>28</v>
      </c>
      <c r="G315" t="s">
        <v>29</v>
      </c>
      <c r="H315">
        <v>99999</v>
      </c>
      <c r="I315" t="s">
        <v>30</v>
      </c>
      <c r="J315" t="s">
        <v>31</v>
      </c>
      <c r="K315" t="s">
        <v>32</v>
      </c>
      <c r="L315" s="2">
        <v>42002</v>
      </c>
      <c r="M315" t="s">
        <v>33</v>
      </c>
      <c r="N315" t="s">
        <v>34</v>
      </c>
      <c r="O315" t="s">
        <v>27</v>
      </c>
      <c r="P315" t="s">
        <v>28</v>
      </c>
      <c r="Q315" t="s">
        <v>29</v>
      </c>
      <c r="R315">
        <v>99999</v>
      </c>
      <c r="S315" t="s">
        <v>30</v>
      </c>
      <c r="T315" t="s">
        <v>35</v>
      </c>
      <c r="U315" t="s">
        <v>38</v>
      </c>
      <c r="V315" t="s">
        <v>39</v>
      </c>
      <c r="W315">
        <v>3.5</v>
      </c>
      <c r="X315">
        <v>70</v>
      </c>
      <c r="Y315" s="4">
        <v>245</v>
      </c>
      <c r="Z315" s="3">
        <v>25.234999999999999</v>
      </c>
    </row>
    <row r="316" spans="1:26" x14ac:dyDescent="0.25">
      <c r="A316">
        <v>1370</v>
      </c>
      <c r="B316" s="2">
        <v>41977</v>
      </c>
      <c r="C316">
        <v>4</v>
      </c>
      <c r="D316" t="s">
        <v>40</v>
      </c>
      <c r="E316" t="s">
        <v>41</v>
      </c>
      <c r="F316" t="s">
        <v>42</v>
      </c>
      <c r="G316" t="s">
        <v>43</v>
      </c>
      <c r="H316">
        <v>99999</v>
      </c>
      <c r="I316" t="s">
        <v>30</v>
      </c>
      <c r="J316" t="s">
        <v>44</v>
      </c>
      <c r="K316" t="s">
        <v>45</v>
      </c>
      <c r="L316" s="2">
        <v>41979</v>
      </c>
      <c r="M316" t="s">
        <v>46</v>
      </c>
      <c r="N316" t="s">
        <v>47</v>
      </c>
      <c r="O316" t="s">
        <v>41</v>
      </c>
      <c r="P316" t="s">
        <v>42</v>
      </c>
      <c r="Q316" t="s">
        <v>43</v>
      </c>
      <c r="R316">
        <v>99999</v>
      </c>
      <c r="S316" t="s">
        <v>30</v>
      </c>
      <c r="T316" t="s">
        <v>48</v>
      </c>
      <c r="U316" t="s">
        <v>49</v>
      </c>
      <c r="V316" t="s">
        <v>39</v>
      </c>
      <c r="W316">
        <v>30</v>
      </c>
      <c r="X316">
        <v>100</v>
      </c>
      <c r="Y316" s="4">
        <v>3000</v>
      </c>
      <c r="Z316" s="3">
        <v>291</v>
      </c>
    </row>
    <row r="317" spans="1:26" x14ac:dyDescent="0.25">
      <c r="A317">
        <v>1371</v>
      </c>
      <c r="B317" s="2">
        <v>41977</v>
      </c>
      <c r="C317">
        <v>4</v>
      </c>
      <c r="D317" t="s">
        <v>40</v>
      </c>
      <c r="E317" t="s">
        <v>41</v>
      </c>
      <c r="F317" t="s">
        <v>42</v>
      </c>
      <c r="G317" t="s">
        <v>43</v>
      </c>
      <c r="H317">
        <v>99999</v>
      </c>
      <c r="I317" t="s">
        <v>30</v>
      </c>
      <c r="J317" t="s">
        <v>44</v>
      </c>
      <c r="K317" t="s">
        <v>45</v>
      </c>
      <c r="L317" s="2">
        <v>41979</v>
      </c>
      <c r="M317" t="s">
        <v>46</v>
      </c>
      <c r="N317" t="s">
        <v>47</v>
      </c>
      <c r="O317" t="s">
        <v>41</v>
      </c>
      <c r="P317" t="s">
        <v>42</v>
      </c>
      <c r="Q317" t="s">
        <v>43</v>
      </c>
      <c r="R317">
        <v>99999</v>
      </c>
      <c r="S317" t="s">
        <v>30</v>
      </c>
      <c r="T317" t="s">
        <v>48</v>
      </c>
      <c r="U317" t="s">
        <v>50</v>
      </c>
      <c r="V317" t="s">
        <v>39</v>
      </c>
      <c r="W317">
        <v>53</v>
      </c>
      <c r="X317">
        <v>27</v>
      </c>
      <c r="Y317" s="4">
        <v>1431</v>
      </c>
      <c r="Z317" s="3">
        <v>143.1</v>
      </c>
    </row>
    <row r="318" spans="1:26" x14ac:dyDescent="0.25">
      <c r="A318">
        <v>1372</v>
      </c>
      <c r="B318" s="2">
        <v>41977</v>
      </c>
      <c r="C318">
        <v>4</v>
      </c>
      <c r="D318" t="s">
        <v>40</v>
      </c>
      <c r="E318" t="s">
        <v>41</v>
      </c>
      <c r="F318" t="s">
        <v>42</v>
      </c>
      <c r="G318" t="s">
        <v>43</v>
      </c>
      <c r="H318">
        <v>99999</v>
      </c>
      <c r="I318" t="s">
        <v>30</v>
      </c>
      <c r="J318" t="s">
        <v>44</v>
      </c>
      <c r="K318" t="s">
        <v>45</v>
      </c>
      <c r="L318" s="2">
        <v>41979</v>
      </c>
      <c r="M318" t="s">
        <v>46</v>
      </c>
      <c r="N318" t="s">
        <v>47</v>
      </c>
      <c r="O318" t="s">
        <v>41</v>
      </c>
      <c r="P318" t="s">
        <v>42</v>
      </c>
      <c r="Q318" t="s">
        <v>43</v>
      </c>
      <c r="R318">
        <v>99999</v>
      </c>
      <c r="S318" t="s">
        <v>30</v>
      </c>
      <c r="T318" t="s">
        <v>48</v>
      </c>
      <c r="U318" t="s">
        <v>38</v>
      </c>
      <c r="V318" t="s">
        <v>39</v>
      </c>
      <c r="W318">
        <v>3.5</v>
      </c>
      <c r="X318">
        <v>70</v>
      </c>
      <c r="Y318" s="4">
        <v>245</v>
      </c>
      <c r="Z318" s="3">
        <v>24.009999999999998</v>
      </c>
    </row>
    <row r="319" spans="1:26" x14ac:dyDescent="0.25">
      <c r="A319">
        <v>1373</v>
      </c>
      <c r="B319" s="2">
        <v>41985</v>
      </c>
      <c r="C319">
        <v>12</v>
      </c>
      <c r="D319" t="s">
        <v>51</v>
      </c>
      <c r="E319" t="s">
        <v>52</v>
      </c>
      <c r="F319" t="s">
        <v>28</v>
      </c>
      <c r="G319" t="s">
        <v>29</v>
      </c>
      <c r="H319">
        <v>99999</v>
      </c>
      <c r="I319" t="s">
        <v>30</v>
      </c>
      <c r="J319" t="s">
        <v>31</v>
      </c>
      <c r="K319" t="s">
        <v>32</v>
      </c>
      <c r="L319" s="2">
        <v>41987</v>
      </c>
      <c r="M319" t="s">
        <v>33</v>
      </c>
      <c r="N319" t="s">
        <v>53</v>
      </c>
      <c r="O319" t="s">
        <v>52</v>
      </c>
      <c r="P319" t="s">
        <v>28</v>
      </c>
      <c r="Q319" t="s">
        <v>29</v>
      </c>
      <c r="R319">
        <v>99999</v>
      </c>
      <c r="S319" t="s">
        <v>30</v>
      </c>
      <c r="T319" t="s">
        <v>48</v>
      </c>
      <c r="U319" t="s">
        <v>54</v>
      </c>
      <c r="V319" t="s">
        <v>37</v>
      </c>
      <c r="W319">
        <v>18</v>
      </c>
      <c r="X319">
        <v>57</v>
      </c>
      <c r="Y319" s="4">
        <v>1026</v>
      </c>
      <c r="Z319" s="3">
        <v>102.60000000000001</v>
      </c>
    </row>
    <row r="320" spans="1:26" x14ac:dyDescent="0.25">
      <c r="A320">
        <v>1374</v>
      </c>
      <c r="B320" s="2">
        <v>41985</v>
      </c>
      <c r="C320">
        <v>12</v>
      </c>
      <c r="D320" t="s">
        <v>51</v>
      </c>
      <c r="E320" t="s">
        <v>52</v>
      </c>
      <c r="F320" t="s">
        <v>28</v>
      </c>
      <c r="G320" t="s">
        <v>29</v>
      </c>
      <c r="H320">
        <v>99999</v>
      </c>
      <c r="I320" t="s">
        <v>30</v>
      </c>
      <c r="J320" t="s">
        <v>31</v>
      </c>
      <c r="K320" t="s">
        <v>32</v>
      </c>
      <c r="L320" s="2">
        <v>41987</v>
      </c>
      <c r="M320" t="s">
        <v>33</v>
      </c>
      <c r="N320" t="s">
        <v>53</v>
      </c>
      <c r="O320" t="s">
        <v>52</v>
      </c>
      <c r="P320" t="s">
        <v>28</v>
      </c>
      <c r="Q320" t="s">
        <v>29</v>
      </c>
      <c r="R320">
        <v>99999</v>
      </c>
      <c r="S320" t="s">
        <v>30</v>
      </c>
      <c r="T320" t="s">
        <v>48</v>
      </c>
      <c r="U320" t="s">
        <v>55</v>
      </c>
      <c r="V320" t="s">
        <v>37</v>
      </c>
      <c r="W320">
        <v>46</v>
      </c>
      <c r="X320">
        <v>83</v>
      </c>
      <c r="Y320" s="4">
        <v>3818</v>
      </c>
      <c r="Z320" s="3">
        <v>374.16399999999999</v>
      </c>
    </row>
    <row r="321" spans="1:26" x14ac:dyDescent="0.25">
      <c r="A321">
        <v>1375</v>
      </c>
      <c r="B321" s="2">
        <v>41981</v>
      </c>
      <c r="C321">
        <v>8</v>
      </c>
      <c r="D321" t="s">
        <v>56</v>
      </c>
      <c r="E321" t="s">
        <v>57</v>
      </c>
      <c r="F321" t="s">
        <v>58</v>
      </c>
      <c r="G321" t="s">
        <v>59</v>
      </c>
      <c r="H321">
        <v>99999</v>
      </c>
      <c r="I321" t="s">
        <v>30</v>
      </c>
      <c r="J321" t="s">
        <v>60</v>
      </c>
      <c r="K321" t="s">
        <v>61</v>
      </c>
      <c r="L321" s="2">
        <v>41983</v>
      </c>
      <c r="M321" t="s">
        <v>62</v>
      </c>
      <c r="N321" t="s">
        <v>63</v>
      </c>
      <c r="O321" t="s">
        <v>57</v>
      </c>
      <c r="P321" t="s">
        <v>58</v>
      </c>
      <c r="Q321" t="s">
        <v>59</v>
      </c>
      <c r="R321">
        <v>99999</v>
      </c>
      <c r="S321" t="s">
        <v>30</v>
      </c>
      <c r="T321" t="s">
        <v>48</v>
      </c>
      <c r="U321" t="s">
        <v>64</v>
      </c>
      <c r="V321" t="s">
        <v>65</v>
      </c>
      <c r="W321">
        <v>9.1999999999999993</v>
      </c>
      <c r="X321">
        <v>76</v>
      </c>
      <c r="Y321" s="4">
        <v>699.19999999999993</v>
      </c>
      <c r="Z321" s="3">
        <v>67.123199999999997</v>
      </c>
    </row>
    <row r="322" spans="1:26" x14ac:dyDescent="0.25">
      <c r="A322">
        <v>1376</v>
      </c>
      <c r="B322" s="2">
        <v>41977</v>
      </c>
      <c r="C322">
        <v>4</v>
      </c>
      <c r="D322" t="s">
        <v>40</v>
      </c>
      <c r="E322" t="s">
        <v>41</v>
      </c>
      <c r="F322" t="s">
        <v>42</v>
      </c>
      <c r="G322" t="s">
        <v>43</v>
      </c>
      <c r="H322">
        <v>99999</v>
      </c>
      <c r="I322" t="s">
        <v>30</v>
      </c>
      <c r="J322" t="s">
        <v>44</v>
      </c>
      <c r="K322" t="s">
        <v>45</v>
      </c>
      <c r="L322">
        <v>41979</v>
      </c>
      <c r="M322" t="s">
        <v>62</v>
      </c>
      <c r="N322" t="s">
        <v>47</v>
      </c>
      <c r="O322" t="s">
        <v>41</v>
      </c>
      <c r="P322" t="s">
        <v>42</v>
      </c>
      <c r="Q322" t="s">
        <v>43</v>
      </c>
      <c r="R322">
        <v>99999</v>
      </c>
      <c r="S322" t="s">
        <v>30</v>
      </c>
      <c r="T322" t="s">
        <v>35</v>
      </c>
      <c r="U322" t="s">
        <v>64</v>
      </c>
      <c r="V322" t="s">
        <v>65</v>
      </c>
      <c r="W322">
        <v>9.1999999999999993</v>
      </c>
      <c r="X322">
        <v>80</v>
      </c>
      <c r="Y322" s="4">
        <v>736</v>
      </c>
      <c r="Z322" s="3">
        <v>72.864000000000004</v>
      </c>
    </row>
    <row r="323" spans="1:26" x14ac:dyDescent="0.25">
      <c r="A323">
        <v>1377</v>
      </c>
      <c r="B323" s="2">
        <v>42002</v>
      </c>
      <c r="C323">
        <v>29</v>
      </c>
      <c r="D323" t="s">
        <v>66</v>
      </c>
      <c r="E323" t="s">
        <v>67</v>
      </c>
      <c r="F323" t="s">
        <v>68</v>
      </c>
      <c r="G323" t="s">
        <v>69</v>
      </c>
      <c r="H323">
        <v>99999</v>
      </c>
      <c r="I323" t="s">
        <v>30</v>
      </c>
      <c r="J323" t="s">
        <v>70</v>
      </c>
      <c r="K323" t="s">
        <v>32</v>
      </c>
      <c r="L323">
        <v>42004</v>
      </c>
      <c r="M323" t="s">
        <v>33</v>
      </c>
      <c r="N323" t="s">
        <v>71</v>
      </c>
      <c r="O323" t="s">
        <v>67</v>
      </c>
      <c r="P323" t="s">
        <v>68</v>
      </c>
      <c r="Q323" t="s">
        <v>69</v>
      </c>
      <c r="R323">
        <v>99999</v>
      </c>
      <c r="S323" t="s">
        <v>30</v>
      </c>
      <c r="T323" t="s">
        <v>35</v>
      </c>
      <c r="U323" t="s">
        <v>72</v>
      </c>
      <c r="V323" t="s">
        <v>73</v>
      </c>
      <c r="W323">
        <v>12.75</v>
      </c>
      <c r="X323">
        <v>47</v>
      </c>
      <c r="Y323" s="4">
        <v>599.25</v>
      </c>
      <c r="Z323" s="3">
        <v>59.325750000000006</v>
      </c>
    </row>
    <row r="324" spans="1:26" x14ac:dyDescent="0.25">
      <c r="A324">
        <v>1378</v>
      </c>
      <c r="B324" s="2">
        <v>41976</v>
      </c>
      <c r="C324">
        <v>3</v>
      </c>
      <c r="D324" t="s">
        <v>74</v>
      </c>
      <c r="E324" t="s">
        <v>75</v>
      </c>
      <c r="F324" t="s">
        <v>76</v>
      </c>
      <c r="G324" t="s">
        <v>77</v>
      </c>
      <c r="H324">
        <v>99999</v>
      </c>
      <c r="I324" t="s">
        <v>30</v>
      </c>
      <c r="J324" t="s">
        <v>31</v>
      </c>
      <c r="K324" t="s">
        <v>32</v>
      </c>
      <c r="L324">
        <v>41978</v>
      </c>
      <c r="M324" t="s">
        <v>33</v>
      </c>
      <c r="N324" t="s">
        <v>78</v>
      </c>
      <c r="O324" t="s">
        <v>75</v>
      </c>
      <c r="P324" t="s">
        <v>76</v>
      </c>
      <c r="Q324" t="s">
        <v>77</v>
      </c>
      <c r="R324">
        <v>99999</v>
      </c>
      <c r="S324" t="s">
        <v>30</v>
      </c>
      <c r="T324" t="s">
        <v>79</v>
      </c>
      <c r="U324" t="s">
        <v>80</v>
      </c>
      <c r="V324" t="s">
        <v>81</v>
      </c>
      <c r="W324">
        <v>9.65</v>
      </c>
      <c r="X324">
        <v>96</v>
      </c>
      <c r="Y324" s="4">
        <v>926.40000000000009</v>
      </c>
      <c r="Z324" s="3">
        <v>94.492800000000017</v>
      </c>
    </row>
    <row r="325" spans="1:26" x14ac:dyDescent="0.25">
      <c r="A325">
        <v>1379</v>
      </c>
      <c r="B325" s="2">
        <v>41979</v>
      </c>
      <c r="C325">
        <v>6</v>
      </c>
      <c r="D325" t="s">
        <v>82</v>
      </c>
      <c r="E325" t="s">
        <v>83</v>
      </c>
      <c r="F325" t="s">
        <v>84</v>
      </c>
      <c r="G325" t="s">
        <v>85</v>
      </c>
      <c r="H325">
        <v>99999</v>
      </c>
      <c r="I325" t="s">
        <v>30</v>
      </c>
      <c r="J325" t="s">
        <v>86</v>
      </c>
      <c r="K325" t="s">
        <v>61</v>
      </c>
      <c r="L325">
        <v>41981</v>
      </c>
      <c r="M325" t="s">
        <v>33</v>
      </c>
      <c r="N325" t="s">
        <v>87</v>
      </c>
      <c r="O325" t="s">
        <v>83</v>
      </c>
      <c r="P325" t="s">
        <v>84</v>
      </c>
      <c r="Q325" t="s">
        <v>85</v>
      </c>
      <c r="R325">
        <v>99999</v>
      </c>
      <c r="S325" t="s">
        <v>30</v>
      </c>
      <c r="T325" t="s">
        <v>48</v>
      </c>
      <c r="U325" t="s">
        <v>88</v>
      </c>
      <c r="V325" t="s">
        <v>89</v>
      </c>
      <c r="W325">
        <v>40</v>
      </c>
      <c r="X325">
        <v>32</v>
      </c>
      <c r="Y325" s="4">
        <v>1280</v>
      </c>
      <c r="Z325" s="3">
        <v>134.4</v>
      </c>
    </row>
    <row r="326" spans="1:26" x14ac:dyDescent="0.25">
      <c r="A326">
        <v>1380</v>
      </c>
      <c r="B326" s="2">
        <v>42001</v>
      </c>
      <c r="C326">
        <v>28</v>
      </c>
      <c r="D326" t="s">
        <v>90</v>
      </c>
      <c r="E326" t="s">
        <v>91</v>
      </c>
      <c r="F326" t="s">
        <v>92</v>
      </c>
      <c r="G326" t="s">
        <v>93</v>
      </c>
      <c r="H326">
        <v>99999</v>
      </c>
      <c r="I326" t="s">
        <v>30</v>
      </c>
      <c r="J326" t="s">
        <v>94</v>
      </c>
      <c r="K326" t="s">
        <v>95</v>
      </c>
      <c r="L326" s="2">
        <v>42003</v>
      </c>
      <c r="M326" t="s">
        <v>62</v>
      </c>
      <c r="N326" t="s">
        <v>96</v>
      </c>
      <c r="O326" t="s">
        <v>91</v>
      </c>
      <c r="P326" t="s">
        <v>92</v>
      </c>
      <c r="Q326" t="s">
        <v>93</v>
      </c>
      <c r="R326">
        <v>99999</v>
      </c>
      <c r="S326" t="s">
        <v>30</v>
      </c>
      <c r="T326" t="s">
        <v>35</v>
      </c>
      <c r="U326" t="s">
        <v>55</v>
      </c>
      <c r="V326" t="s">
        <v>37</v>
      </c>
      <c r="W326">
        <v>46</v>
      </c>
      <c r="X326">
        <v>16</v>
      </c>
      <c r="Y326" s="4">
        <v>736</v>
      </c>
      <c r="Z326" s="3">
        <v>73.600000000000009</v>
      </c>
    </row>
    <row r="327" spans="1:26" x14ac:dyDescent="0.25">
      <c r="A327">
        <v>1381</v>
      </c>
      <c r="B327" s="2">
        <v>41981</v>
      </c>
      <c r="C327">
        <v>8</v>
      </c>
      <c r="D327" t="s">
        <v>56</v>
      </c>
      <c r="E327" t="s">
        <v>57</v>
      </c>
      <c r="F327" t="s">
        <v>58</v>
      </c>
      <c r="G327" t="s">
        <v>59</v>
      </c>
      <c r="H327">
        <v>99999</v>
      </c>
      <c r="I327" t="s">
        <v>30</v>
      </c>
      <c r="J327" t="s">
        <v>60</v>
      </c>
      <c r="K327" t="s">
        <v>61</v>
      </c>
      <c r="L327" s="2">
        <v>41983</v>
      </c>
      <c r="M327" t="s">
        <v>62</v>
      </c>
      <c r="N327" t="s">
        <v>63</v>
      </c>
      <c r="O327" t="s">
        <v>57</v>
      </c>
      <c r="P327" t="s">
        <v>58</v>
      </c>
      <c r="Q327" t="s">
        <v>59</v>
      </c>
      <c r="R327">
        <v>99999</v>
      </c>
      <c r="S327" t="s">
        <v>30</v>
      </c>
      <c r="T327" t="s">
        <v>35</v>
      </c>
      <c r="U327" t="s">
        <v>72</v>
      </c>
      <c r="V327" t="s">
        <v>73</v>
      </c>
      <c r="W327">
        <v>12.75</v>
      </c>
      <c r="X327">
        <v>41</v>
      </c>
      <c r="Y327" s="4">
        <v>522.75</v>
      </c>
      <c r="Z327" s="3">
        <v>51.229500000000002</v>
      </c>
    </row>
    <row r="328" spans="1:26" x14ac:dyDescent="0.25">
      <c r="A328">
        <v>1382</v>
      </c>
      <c r="B328" s="2">
        <v>41983</v>
      </c>
      <c r="C328">
        <v>10</v>
      </c>
      <c r="D328" t="s">
        <v>97</v>
      </c>
      <c r="E328" t="s">
        <v>98</v>
      </c>
      <c r="F328" t="s">
        <v>99</v>
      </c>
      <c r="G328" t="s">
        <v>100</v>
      </c>
      <c r="H328">
        <v>99999</v>
      </c>
      <c r="I328" t="s">
        <v>30</v>
      </c>
      <c r="J328" t="s">
        <v>101</v>
      </c>
      <c r="K328" t="s">
        <v>45</v>
      </c>
      <c r="L328" s="2">
        <v>41985</v>
      </c>
      <c r="M328" t="s">
        <v>33</v>
      </c>
      <c r="N328" t="s">
        <v>102</v>
      </c>
      <c r="O328" t="s">
        <v>98</v>
      </c>
      <c r="P328" t="s">
        <v>99</v>
      </c>
      <c r="Q328" t="s">
        <v>100</v>
      </c>
      <c r="R328">
        <v>99999</v>
      </c>
      <c r="S328" t="s">
        <v>30</v>
      </c>
      <c r="T328" t="s">
        <v>48</v>
      </c>
      <c r="U328" t="s">
        <v>103</v>
      </c>
      <c r="V328" t="s">
        <v>37</v>
      </c>
      <c r="W328">
        <v>2.99</v>
      </c>
      <c r="X328">
        <v>41</v>
      </c>
      <c r="Y328" s="4">
        <v>122.59</v>
      </c>
      <c r="Z328" s="3">
        <v>12.871950000000002</v>
      </c>
    </row>
    <row r="329" spans="1:26" x14ac:dyDescent="0.25">
      <c r="A329">
        <v>1383</v>
      </c>
      <c r="B329" s="2">
        <v>41980</v>
      </c>
      <c r="C329">
        <v>7</v>
      </c>
      <c r="D329" t="s">
        <v>104</v>
      </c>
      <c r="E329" t="s">
        <v>105</v>
      </c>
      <c r="F329" t="s">
        <v>106</v>
      </c>
      <c r="G329" t="s">
        <v>107</v>
      </c>
      <c r="H329">
        <v>99999</v>
      </c>
      <c r="I329" t="s">
        <v>30</v>
      </c>
      <c r="J329" t="s">
        <v>60</v>
      </c>
      <c r="K329" t="s">
        <v>61</v>
      </c>
      <c r="L329" s="2"/>
      <c r="N329" t="s">
        <v>108</v>
      </c>
      <c r="O329" t="s">
        <v>105</v>
      </c>
      <c r="P329" t="s">
        <v>106</v>
      </c>
      <c r="Q329" t="s">
        <v>107</v>
      </c>
      <c r="R329">
        <v>99999</v>
      </c>
      <c r="S329" t="s">
        <v>30</v>
      </c>
      <c r="U329" t="s">
        <v>55</v>
      </c>
      <c r="V329" t="s">
        <v>37</v>
      </c>
      <c r="W329">
        <v>46</v>
      </c>
      <c r="X329">
        <v>41</v>
      </c>
      <c r="Y329" s="4">
        <v>1886</v>
      </c>
      <c r="Z329" s="3">
        <v>194.25800000000004</v>
      </c>
    </row>
    <row r="330" spans="1:26" x14ac:dyDescent="0.25">
      <c r="A330">
        <v>1384</v>
      </c>
      <c r="B330" s="2">
        <v>41983</v>
      </c>
      <c r="C330">
        <v>10</v>
      </c>
      <c r="D330" t="s">
        <v>97</v>
      </c>
      <c r="E330" t="s">
        <v>98</v>
      </c>
      <c r="F330" t="s">
        <v>99</v>
      </c>
      <c r="G330" t="s">
        <v>100</v>
      </c>
      <c r="H330">
        <v>99999</v>
      </c>
      <c r="I330" t="s">
        <v>30</v>
      </c>
      <c r="J330" t="s">
        <v>101</v>
      </c>
      <c r="K330" t="s">
        <v>45</v>
      </c>
      <c r="L330" s="2">
        <v>41985</v>
      </c>
      <c r="M330" t="s">
        <v>46</v>
      </c>
      <c r="N330" t="s">
        <v>102</v>
      </c>
      <c r="O330" t="s">
        <v>98</v>
      </c>
      <c r="P330" t="s">
        <v>99</v>
      </c>
      <c r="Q330" t="s">
        <v>100</v>
      </c>
      <c r="R330">
        <v>99999</v>
      </c>
      <c r="S330" t="s">
        <v>30</v>
      </c>
      <c r="U330" t="s">
        <v>109</v>
      </c>
      <c r="V330" t="s">
        <v>110</v>
      </c>
      <c r="W330" s="3">
        <v>25</v>
      </c>
      <c r="X330">
        <v>94</v>
      </c>
      <c r="Y330" s="4">
        <v>2350</v>
      </c>
      <c r="Z330" s="3">
        <v>235</v>
      </c>
    </row>
    <row r="331" spans="1:26" x14ac:dyDescent="0.25">
      <c r="A331">
        <v>1385</v>
      </c>
      <c r="B331" s="2">
        <v>41983</v>
      </c>
      <c r="C331">
        <v>10</v>
      </c>
      <c r="D331" t="s">
        <v>97</v>
      </c>
      <c r="E331" t="s">
        <v>98</v>
      </c>
      <c r="F331" t="s">
        <v>99</v>
      </c>
      <c r="G331" t="s">
        <v>100</v>
      </c>
      <c r="H331">
        <v>99999</v>
      </c>
      <c r="I331" t="s">
        <v>30</v>
      </c>
      <c r="J331" t="s">
        <v>101</v>
      </c>
      <c r="K331" t="s">
        <v>45</v>
      </c>
      <c r="L331" s="2">
        <v>41985</v>
      </c>
      <c r="M331" t="s">
        <v>46</v>
      </c>
      <c r="N331" t="s">
        <v>102</v>
      </c>
      <c r="O331" t="s">
        <v>98</v>
      </c>
      <c r="P331" t="s">
        <v>99</v>
      </c>
      <c r="Q331" t="s">
        <v>100</v>
      </c>
      <c r="R331">
        <v>99999</v>
      </c>
      <c r="S331" t="s">
        <v>30</v>
      </c>
      <c r="U331" t="s">
        <v>111</v>
      </c>
      <c r="V331" t="s">
        <v>112</v>
      </c>
      <c r="W331" s="3">
        <v>22</v>
      </c>
      <c r="X331">
        <v>20</v>
      </c>
      <c r="Y331" s="4">
        <v>440</v>
      </c>
      <c r="Z331" s="3">
        <v>46.2</v>
      </c>
    </row>
    <row r="332" spans="1:26" x14ac:dyDescent="0.25">
      <c r="A332">
        <v>1386</v>
      </c>
      <c r="B332" s="2">
        <v>41983</v>
      </c>
      <c r="C332">
        <v>10</v>
      </c>
      <c r="D332" t="s">
        <v>97</v>
      </c>
      <c r="E332" t="s">
        <v>98</v>
      </c>
      <c r="F332" t="s">
        <v>99</v>
      </c>
      <c r="G332" t="s">
        <v>100</v>
      </c>
      <c r="H332">
        <v>99999</v>
      </c>
      <c r="I332" t="s">
        <v>30</v>
      </c>
      <c r="J332" t="s">
        <v>101</v>
      </c>
      <c r="K332" t="s">
        <v>45</v>
      </c>
      <c r="L332">
        <v>41985</v>
      </c>
      <c r="M332" t="s">
        <v>46</v>
      </c>
      <c r="N332" t="s">
        <v>102</v>
      </c>
      <c r="O332" t="s">
        <v>98</v>
      </c>
      <c r="P332" t="s">
        <v>99</v>
      </c>
      <c r="Q332" t="s">
        <v>100</v>
      </c>
      <c r="R332">
        <v>99999</v>
      </c>
      <c r="S332" t="s">
        <v>30</v>
      </c>
      <c r="U332" t="s">
        <v>64</v>
      </c>
      <c r="V332" t="s">
        <v>65</v>
      </c>
      <c r="W332" s="3">
        <v>9.1999999999999993</v>
      </c>
      <c r="X332">
        <v>13</v>
      </c>
      <c r="Y332" s="4">
        <v>119.6</v>
      </c>
      <c r="Z332" s="3">
        <v>12.438400000000001</v>
      </c>
    </row>
    <row r="333" spans="1:26" x14ac:dyDescent="0.25">
      <c r="A333">
        <v>1387</v>
      </c>
      <c r="B333" s="2">
        <v>41984</v>
      </c>
      <c r="C333">
        <v>11</v>
      </c>
      <c r="D333" t="s">
        <v>113</v>
      </c>
      <c r="E333" t="s">
        <v>114</v>
      </c>
      <c r="F333" t="s">
        <v>115</v>
      </c>
      <c r="G333" t="s">
        <v>116</v>
      </c>
      <c r="H333">
        <v>99999</v>
      </c>
      <c r="I333" t="s">
        <v>30</v>
      </c>
      <c r="J333" t="s">
        <v>94</v>
      </c>
      <c r="K333" t="s">
        <v>95</v>
      </c>
      <c r="M333" t="s">
        <v>62</v>
      </c>
      <c r="N333" t="s">
        <v>117</v>
      </c>
      <c r="O333" t="s">
        <v>114</v>
      </c>
      <c r="P333" t="s">
        <v>115</v>
      </c>
      <c r="Q333" t="s">
        <v>116</v>
      </c>
      <c r="R333">
        <v>99999</v>
      </c>
      <c r="S333" t="s">
        <v>30</v>
      </c>
      <c r="U333" t="s">
        <v>38</v>
      </c>
      <c r="V333" t="s">
        <v>39</v>
      </c>
      <c r="W333" s="3">
        <v>3.5</v>
      </c>
      <c r="X333">
        <v>74</v>
      </c>
      <c r="Y333" s="4">
        <v>259</v>
      </c>
      <c r="Z333" s="3">
        <v>26.936000000000003</v>
      </c>
    </row>
    <row r="334" spans="1:26" x14ac:dyDescent="0.25">
      <c r="A334">
        <v>1388</v>
      </c>
      <c r="B334" s="2">
        <v>41984</v>
      </c>
      <c r="C334">
        <v>11</v>
      </c>
      <c r="D334" t="s">
        <v>113</v>
      </c>
      <c r="E334" t="s">
        <v>114</v>
      </c>
      <c r="F334" t="s">
        <v>115</v>
      </c>
      <c r="G334" t="s">
        <v>116</v>
      </c>
      <c r="H334">
        <v>99999</v>
      </c>
      <c r="I334" t="s">
        <v>30</v>
      </c>
      <c r="J334" t="s">
        <v>94</v>
      </c>
      <c r="K334" t="s">
        <v>95</v>
      </c>
      <c r="M334" t="s">
        <v>62</v>
      </c>
      <c r="N334" t="s">
        <v>117</v>
      </c>
      <c r="O334" t="s">
        <v>114</v>
      </c>
      <c r="P334" t="s">
        <v>115</v>
      </c>
      <c r="Q334" t="s">
        <v>116</v>
      </c>
      <c r="R334">
        <v>99999</v>
      </c>
      <c r="S334" t="s">
        <v>30</v>
      </c>
      <c r="U334" t="s">
        <v>103</v>
      </c>
      <c r="V334" t="s">
        <v>37</v>
      </c>
      <c r="W334" s="3">
        <v>2.99</v>
      </c>
      <c r="X334">
        <v>53</v>
      </c>
      <c r="Y334" s="4">
        <v>158.47</v>
      </c>
      <c r="Z334" s="3">
        <v>16.005470000000003</v>
      </c>
    </row>
    <row r="335" spans="1:26" x14ac:dyDescent="0.25">
      <c r="A335">
        <v>1389</v>
      </c>
      <c r="B335" s="2">
        <v>41974</v>
      </c>
      <c r="C335">
        <v>1</v>
      </c>
      <c r="D335" t="s">
        <v>118</v>
      </c>
      <c r="E335" t="s">
        <v>119</v>
      </c>
      <c r="F335" t="s">
        <v>120</v>
      </c>
      <c r="G335" t="s">
        <v>121</v>
      </c>
      <c r="H335">
        <v>99999</v>
      </c>
      <c r="I335" t="s">
        <v>30</v>
      </c>
      <c r="J335" t="s">
        <v>60</v>
      </c>
      <c r="K335" t="s">
        <v>61</v>
      </c>
      <c r="N335" t="s">
        <v>122</v>
      </c>
      <c r="O335" t="s">
        <v>119</v>
      </c>
      <c r="P335" t="s">
        <v>120</v>
      </c>
      <c r="Q335" t="s">
        <v>121</v>
      </c>
      <c r="R335">
        <v>99999</v>
      </c>
      <c r="S335" t="s">
        <v>30</v>
      </c>
      <c r="U335" t="s">
        <v>54</v>
      </c>
      <c r="V335" t="s">
        <v>37</v>
      </c>
      <c r="W335" s="3">
        <v>18</v>
      </c>
      <c r="X335">
        <v>99</v>
      </c>
      <c r="Y335" s="4">
        <v>1782</v>
      </c>
      <c r="Z335" s="3">
        <v>174.63600000000002</v>
      </c>
    </row>
    <row r="336" spans="1:26" x14ac:dyDescent="0.25">
      <c r="A336">
        <v>1390</v>
      </c>
      <c r="B336" s="2">
        <v>41974</v>
      </c>
      <c r="C336">
        <v>1</v>
      </c>
      <c r="D336" t="s">
        <v>118</v>
      </c>
      <c r="E336" t="s">
        <v>119</v>
      </c>
      <c r="F336" t="s">
        <v>120</v>
      </c>
      <c r="G336" t="s">
        <v>121</v>
      </c>
      <c r="H336">
        <v>99999</v>
      </c>
      <c r="I336" t="s">
        <v>30</v>
      </c>
      <c r="J336" t="s">
        <v>60</v>
      </c>
      <c r="K336" t="s">
        <v>61</v>
      </c>
      <c r="N336" t="s">
        <v>122</v>
      </c>
      <c r="O336" t="s">
        <v>119</v>
      </c>
      <c r="P336" t="s">
        <v>120</v>
      </c>
      <c r="Q336" t="s">
        <v>121</v>
      </c>
      <c r="R336">
        <v>99999</v>
      </c>
      <c r="S336" t="s">
        <v>30</v>
      </c>
      <c r="U336" t="s">
        <v>55</v>
      </c>
      <c r="V336" t="s">
        <v>37</v>
      </c>
      <c r="W336" s="3">
        <v>46</v>
      </c>
      <c r="X336">
        <v>89</v>
      </c>
      <c r="Y336" s="4">
        <v>4094</v>
      </c>
      <c r="Z336" s="3">
        <v>388.93</v>
      </c>
    </row>
    <row r="337" spans="1:26" x14ac:dyDescent="0.25">
      <c r="A337">
        <v>1391</v>
      </c>
      <c r="B337" s="2">
        <v>41974</v>
      </c>
      <c r="C337">
        <v>1</v>
      </c>
      <c r="D337" t="s">
        <v>118</v>
      </c>
      <c r="E337" t="s">
        <v>119</v>
      </c>
      <c r="F337" t="s">
        <v>120</v>
      </c>
      <c r="G337" t="s">
        <v>121</v>
      </c>
      <c r="H337">
        <v>99999</v>
      </c>
      <c r="I337" t="s">
        <v>30</v>
      </c>
      <c r="J337" t="s">
        <v>60</v>
      </c>
      <c r="K337" t="s">
        <v>61</v>
      </c>
      <c r="L337" s="2"/>
      <c r="N337" t="s">
        <v>122</v>
      </c>
      <c r="O337" t="s">
        <v>119</v>
      </c>
      <c r="P337" t="s">
        <v>120</v>
      </c>
      <c r="Q337" t="s">
        <v>121</v>
      </c>
      <c r="R337">
        <v>99999</v>
      </c>
      <c r="S337" t="s">
        <v>30</v>
      </c>
      <c r="U337" t="s">
        <v>103</v>
      </c>
      <c r="V337" t="s">
        <v>37</v>
      </c>
      <c r="W337" s="3">
        <v>2.99</v>
      </c>
      <c r="X337">
        <v>64</v>
      </c>
      <c r="Y337" s="4">
        <v>191.36</v>
      </c>
      <c r="Z337" s="3">
        <v>19.518720000000002</v>
      </c>
    </row>
    <row r="338" spans="1:26" x14ac:dyDescent="0.25">
      <c r="A338">
        <v>1392</v>
      </c>
      <c r="B338" s="2">
        <v>42001</v>
      </c>
      <c r="C338">
        <v>28</v>
      </c>
      <c r="D338" t="s">
        <v>90</v>
      </c>
      <c r="E338" t="s">
        <v>91</v>
      </c>
      <c r="F338" t="s">
        <v>92</v>
      </c>
      <c r="G338" t="s">
        <v>93</v>
      </c>
      <c r="H338">
        <v>99999</v>
      </c>
      <c r="I338" t="s">
        <v>30</v>
      </c>
      <c r="J338" t="s">
        <v>94</v>
      </c>
      <c r="K338" t="s">
        <v>95</v>
      </c>
      <c r="L338" s="2">
        <v>42003</v>
      </c>
      <c r="M338" t="s">
        <v>62</v>
      </c>
      <c r="N338" t="s">
        <v>96</v>
      </c>
      <c r="O338" t="s">
        <v>91</v>
      </c>
      <c r="P338" t="s">
        <v>92</v>
      </c>
      <c r="Q338" t="s">
        <v>93</v>
      </c>
      <c r="R338">
        <v>99999</v>
      </c>
      <c r="S338" t="s">
        <v>30</v>
      </c>
      <c r="T338" t="s">
        <v>48</v>
      </c>
      <c r="U338" t="s">
        <v>80</v>
      </c>
      <c r="V338" t="s">
        <v>81</v>
      </c>
      <c r="W338" s="3">
        <v>9.65</v>
      </c>
      <c r="X338">
        <v>98</v>
      </c>
      <c r="Y338" s="4">
        <v>945.7</v>
      </c>
      <c r="Z338" s="3">
        <v>96.461400000000012</v>
      </c>
    </row>
    <row r="339" spans="1:26" x14ac:dyDescent="0.25">
      <c r="A339">
        <v>1393</v>
      </c>
      <c r="B339" s="2">
        <v>42001</v>
      </c>
      <c r="C339">
        <v>28</v>
      </c>
      <c r="D339" t="s">
        <v>90</v>
      </c>
      <c r="E339" t="s">
        <v>91</v>
      </c>
      <c r="F339" t="s">
        <v>92</v>
      </c>
      <c r="G339" t="s">
        <v>93</v>
      </c>
      <c r="H339">
        <v>99999</v>
      </c>
      <c r="I339" t="s">
        <v>30</v>
      </c>
      <c r="J339" t="s">
        <v>94</v>
      </c>
      <c r="K339" t="s">
        <v>95</v>
      </c>
      <c r="L339" s="2">
        <v>42003</v>
      </c>
      <c r="M339" t="s">
        <v>62</v>
      </c>
      <c r="N339" t="s">
        <v>96</v>
      </c>
      <c r="O339" t="s">
        <v>91</v>
      </c>
      <c r="P339" t="s">
        <v>92</v>
      </c>
      <c r="Q339" t="s">
        <v>93</v>
      </c>
      <c r="R339">
        <v>99999</v>
      </c>
      <c r="S339" t="s">
        <v>30</v>
      </c>
      <c r="T339" t="s">
        <v>48</v>
      </c>
      <c r="U339" t="s">
        <v>123</v>
      </c>
      <c r="V339" t="s">
        <v>124</v>
      </c>
      <c r="W339" s="3">
        <v>18.399999999999999</v>
      </c>
      <c r="X339">
        <v>86</v>
      </c>
      <c r="Y339" s="4">
        <v>1582.3999999999999</v>
      </c>
      <c r="Z339" s="3">
        <v>155.0752</v>
      </c>
    </row>
    <row r="340" spans="1:26" x14ac:dyDescent="0.25">
      <c r="A340">
        <v>1394</v>
      </c>
      <c r="B340" s="2">
        <v>41982</v>
      </c>
      <c r="C340">
        <v>9</v>
      </c>
      <c r="D340" t="s">
        <v>125</v>
      </c>
      <c r="E340" t="s">
        <v>126</v>
      </c>
      <c r="F340" t="s">
        <v>127</v>
      </c>
      <c r="G340" t="s">
        <v>128</v>
      </c>
      <c r="H340">
        <v>99999</v>
      </c>
      <c r="I340" t="s">
        <v>30</v>
      </c>
      <c r="J340" t="s">
        <v>129</v>
      </c>
      <c r="K340" t="s">
        <v>32</v>
      </c>
      <c r="L340" s="2">
        <v>41984</v>
      </c>
      <c r="M340" t="s">
        <v>46</v>
      </c>
      <c r="N340" t="s">
        <v>130</v>
      </c>
      <c r="O340" t="s">
        <v>126</v>
      </c>
      <c r="P340" t="s">
        <v>127</v>
      </c>
      <c r="Q340" t="s">
        <v>128</v>
      </c>
      <c r="R340">
        <v>99999</v>
      </c>
      <c r="S340" t="s">
        <v>30</v>
      </c>
      <c r="T340" t="s">
        <v>35</v>
      </c>
      <c r="U340" t="s">
        <v>131</v>
      </c>
      <c r="V340" t="s">
        <v>132</v>
      </c>
      <c r="W340" s="3">
        <v>19.5</v>
      </c>
      <c r="X340">
        <v>20</v>
      </c>
      <c r="Y340" s="4">
        <v>390</v>
      </c>
      <c r="Z340" s="3">
        <v>40.950000000000003</v>
      </c>
    </row>
    <row r="341" spans="1:26" x14ac:dyDescent="0.25">
      <c r="A341">
        <v>1395</v>
      </c>
      <c r="B341" s="2">
        <v>41982</v>
      </c>
      <c r="C341">
        <v>9</v>
      </c>
      <c r="D341" t="s">
        <v>125</v>
      </c>
      <c r="E341" t="s">
        <v>126</v>
      </c>
      <c r="F341" t="s">
        <v>127</v>
      </c>
      <c r="G341" t="s">
        <v>128</v>
      </c>
      <c r="H341">
        <v>99999</v>
      </c>
      <c r="I341" t="s">
        <v>30</v>
      </c>
      <c r="J341" t="s">
        <v>129</v>
      </c>
      <c r="K341" t="s">
        <v>32</v>
      </c>
      <c r="L341" s="2">
        <v>41984</v>
      </c>
      <c r="M341" t="s">
        <v>46</v>
      </c>
      <c r="N341" t="s">
        <v>130</v>
      </c>
      <c r="O341" t="s">
        <v>126</v>
      </c>
      <c r="P341" t="s">
        <v>127</v>
      </c>
      <c r="Q341" t="s">
        <v>128</v>
      </c>
      <c r="R341">
        <v>99999</v>
      </c>
      <c r="S341" t="s">
        <v>30</v>
      </c>
      <c r="T341" t="s">
        <v>35</v>
      </c>
      <c r="U341" t="s">
        <v>133</v>
      </c>
      <c r="V341" t="s">
        <v>134</v>
      </c>
      <c r="W341" s="3">
        <v>34.799999999999997</v>
      </c>
      <c r="X341">
        <v>69</v>
      </c>
      <c r="Y341" s="4">
        <v>2401.1999999999998</v>
      </c>
      <c r="Z341" s="3">
        <v>240.12</v>
      </c>
    </row>
    <row r="342" spans="1:26" x14ac:dyDescent="0.25">
      <c r="A342">
        <v>1396</v>
      </c>
      <c r="B342" s="2">
        <v>41979</v>
      </c>
      <c r="C342">
        <v>6</v>
      </c>
      <c r="D342" t="s">
        <v>82</v>
      </c>
      <c r="E342" t="s">
        <v>83</v>
      </c>
      <c r="F342" t="s">
        <v>84</v>
      </c>
      <c r="G342" t="s">
        <v>85</v>
      </c>
      <c r="H342">
        <v>99999</v>
      </c>
      <c r="I342" t="s">
        <v>30</v>
      </c>
      <c r="J342" t="s">
        <v>86</v>
      </c>
      <c r="K342" t="s">
        <v>61</v>
      </c>
      <c r="L342" s="2">
        <v>41981</v>
      </c>
      <c r="M342" t="s">
        <v>33</v>
      </c>
      <c r="N342" t="s">
        <v>87</v>
      </c>
      <c r="O342" t="s">
        <v>83</v>
      </c>
      <c r="P342" t="s">
        <v>84</v>
      </c>
      <c r="Q342" t="s">
        <v>85</v>
      </c>
      <c r="R342">
        <v>99999</v>
      </c>
      <c r="S342" t="s">
        <v>30</v>
      </c>
      <c r="T342" t="s">
        <v>48</v>
      </c>
      <c r="U342" t="s">
        <v>36</v>
      </c>
      <c r="V342" t="s">
        <v>37</v>
      </c>
      <c r="W342" s="3">
        <v>14</v>
      </c>
      <c r="X342">
        <v>68</v>
      </c>
      <c r="Y342" s="4">
        <v>952</v>
      </c>
      <c r="Z342" s="3">
        <v>91.391999999999996</v>
      </c>
    </row>
    <row r="343" spans="1:26" x14ac:dyDescent="0.25">
      <c r="A343">
        <v>1397</v>
      </c>
      <c r="B343" s="2">
        <v>41981</v>
      </c>
      <c r="C343">
        <v>8</v>
      </c>
      <c r="D343" t="s">
        <v>56</v>
      </c>
      <c r="E343" t="s">
        <v>57</v>
      </c>
      <c r="F343" t="s">
        <v>58</v>
      </c>
      <c r="G343" t="s">
        <v>59</v>
      </c>
      <c r="H343">
        <v>99999</v>
      </c>
      <c r="I343" t="s">
        <v>30</v>
      </c>
      <c r="J343" t="s">
        <v>60</v>
      </c>
      <c r="K343" t="s">
        <v>61</v>
      </c>
      <c r="L343" s="2">
        <v>41983</v>
      </c>
      <c r="M343" t="s">
        <v>33</v>
      </c>
      <c r="N343" t="s">
        <v>63</v>
      </c>
      <c r="O343" t="s">
        <v>57</v>
      </c>
      <c r="P343" t="s">
        <v>58</v>
      </c>
      <c r="Q343" t="s">
        <v>59</v>
      </c>
      <c r="R343">
        <v>99999</v>
      </c>
      <c r="S343" t="s">
        <v>30</v>
      </c>
      <c r="T343" t="s">
        <v>35</v>
      </c>
      <c r="U343" t="s">
        <v>88</v>
      </c>
      <c r="V343" t="s">
        <v>89</v>
      </c>
      <c r="W343" s="3">
        <v>40</v>
      </c>
      <c r="X343">
        <v>52</v>
      </c>
      <c r="Y343" s="4">
        <v>2080</v>
      </c>
      <c r="Z343" s="3">
        <v>203.84</v>
      </c>
    </row>
    <row r="344" spans="1:26" x14ac:dyDescent="0.25">
      <c r="A344">
        <v>1398</v>
      </c>
      <c r="B344" s="2">
        <v>41981</v>
      </c>
      <c r="C344">
        <v>8</v>
      </c>
      <c r="D344" t="s">
        <v>56</v>
      </c>
      <c r="E344" t="s">
        <v>57</v>
      </c>
      <c r="F344" t="s">
        <v>58</v>
      </c>
      <c r="G344" t="s">
        <v>59</v>
      </c>
      <c r="H344">
        <v>99999</v>
      </c>
      <c r="I344" t="s">
        <v>30</v>
      </c>
      <c r="J344" t="s">
        <v>60</v>
      </c>
      <c r="K344" t="s">
        <v>61</v>
      </c>
      <c r="L344" s="2">
        <v>41983</v>
      </c>
      <c r="M344" t="s">
        <v>33</v>
      </c>
      <c r="N344" t="s">
        <v>63</v>
      </c>
      <c r="O344" t="s">
        <v>57</v>
      </c>
      <c r="P344" t="s">
        <v>58</v>
      </c>
      <c r="Q344" t="s">
        <v>59</v>
      </c>
      <c r="R344">
        <v>99999</v>
      </c>
      <c r="S344" t="s">
        <v>30</v>
      </c>
      <c r="T344" t="s">
        <v>35</v>
      </c>
      <c r="U344" t="s">
        <v>64</v>
      </c>
      <c r="V344" t="s">
        <v>65</v>
      </c>
      <c r="W344" s="3">
        <v>9.1999999999999993</v>
      </c>
      <c r="X344">
        <v>40</v>
      </c>
      <c r="Y344" s="4">
        <v>368</v>
      </c>
      <c r="Z344" s="3">
        <v>38.640000000000008</v>
      </c>
    </row>
    <row r="345" spans="1:26" x14ac:dyDescent="0.25">
      <c r="A345">
        <v>1399</v>
      </c>
      <c r="B345" s="2">
        <v>41998</v>
      </c>
      <c r="C345">
        <v>25</v>
      </c>
      <c r="D345" t="s">
        <v>137</v>
      </c>
      <c r="E345" t="s">
        <v>138</v>
      </c>
      <c r="F345" t="s">
        <v>99</v>
      </c>
      <c r="G345" t="s">
        <v>100</v>
      </c>
      <c r="H345">
        <v>99999</v>
      </c>
      <c r="I345" t="s">
        <v>30</v>
      </c>
      <c r="J345" t="s">
        <v>101</v>
      </c>
      <c r="K345" t="s">
        <v>45</v>
      </c>
      <c r="L345" s="2">
        <v>42000</v>
      </c>
      <c r="M345" t="s">
        <v>46</v>
      </c>
      <c r="N345" t="s">
        <v>139</v>
      </c>
      <c r="O345" t="s">
        <v>138</v>
      </c>
      <c r="P345" t="s">
        <v>99</v>
      </c>
      <c r="Q345" t="s">
        <v>100</v>
      </c>
      <c r="R345">
        <v>99999</v>
      </c>
      <c r="S345" t="s">
        <v>30</v>
      </c>
      <c r="T345" t="s">
        <v>79</v>
      </c>
      <c r="U345" t="s">
        <v>146</v>
      </c>
      <c r="V345" t="s">
        <v>65</v>
      </c>
      <c r="W345" s="3">
        <v>10</v>
      </c>
      <c r="X345">
        <v>100</v>
      </c>
      <c r="Y345" s="4">
        <v>1000</v>
      </c>
      <c r="Z345" s="3">
        <v>98</v>
      </c>
    </row>
    <row r="346" spans="1:26" x14ac:dyDescent="0.25">
      <c r="A346">
        <v>1400</v>
      </c>
      <c r="B346" s="2">
        <v>41999</v>
      </c>
      <c r="C346">
        <v>26</v>
      </c>
      <c r="D346" t="s">
        <v>140</v>
      </c>
      <c r="E346" t="s">
        <v>141</v>
      </c>
      <c r="F346" t="s">
        <v>115</v>
      </c>
      <c r="G346" t="s">
        <v>116</v>
      </c>
      <c r="H346">
        <v>99999</v>
      </c>
      <c r="I346" t="s">
        <v>30</v>
      </c>
      <c r="J346" t="s">
        <v>94</v>
      </c>
      <c r="K346" t="s">
        <v>95</v>
      </c>
      <c r="L346" s="2">
        <v>42001</v>
      </c>
      <c r="M346" t="s">
        <v>62</v>
      </c>
      <c r="N346" t="s">
        <v>142</v>
      </c>
      <c r="O346" t="s">
        <v>141</v>
      </c>
      <c r="P346" t="s">
        <v>115</v>
      </c>
      <c r="Q346" t="s">
        <v>116</v>
      </c>
      <c r="R346">
        <v>99999</v>
      </c>
      <c r="S346" t="s">
        <v>30</v>
      </c>
      <c r="T346" t="s">
        <v>48</v>
      </c>
      <c r="U346" t="s">
        <v>147</v>
      </c>
      <c r="V346" t="s">
        <v>148</v>
      </c>
      <c r="W346" s="3">
        <v>21.35</v>
      </c>
      <c r="X346">
        <v>88</v>
      </c>
      <c r="Y346" s="4">
        <v>1878.8000000000002</v>
      </c>
      <c r="Z346" s="3">
        <v>184.12240000000003</v>
      </c>
    </row>
    <row r="347" spans="1:26" x14ac:dyDescent="0.25">
      <c r="A347">
        <v>1401</v>
      </c>
      <c r="B347" s="2">
        <v>41999</v>
      </c>
      <c r="C347">
        <v>26</v>
      </c>
      <c r="D347" t="s">
        <v>140</v>
      </c>
      <c r="E347" t="s">
        <v>141</v>
      </c>
      <c r="F347" t="s">
        <v>115</v>
      </c>
      <c r="G347" t="s">
        <v>116</v>
      </c>
      <c r="H347">
        <v>99999</v>
      </c>
      <c r="I347" t="s">
        <v>30</v>
      </c>
      <c r="J347" t="s">
        <v>94</v>
      </c>
      <c r="K347" t="s">
        <v>95</v>
      </c>
      <c r="L347" s="2">
        <v>42001</v>
      </c>
      <c r="M347" t="s">
        <v>62</v>
      </c>
      <c r="N347" t="s">
        <v>142</v>
      </c>
      <c r="O347" t="s">
        <v>141</v>
      </c>
      <c r="P347" t="s">
        <v>115</v>
      </c>
      <c r="Q347" t="s">
        <v>116</v>
      </c>
      <c r="R347">
        <v>99999</v>
      </c>
      <c r="S347" t="s">
        <v>30</v>
      </c>
      <c r="T347" t="s">
        <v>48</v>
      </c>
      <c r="U347" t="s">
        <v>80</v>
      </c>
      <c r="V347" t="s">
        <v>81</v>
      </c>
      <c r="W347" s="3">
        <v>9.65</v>
      </c>
      <c r="X347">
        <v>46</v>
      </c>
      <c r="Y347" s="4">
        <v>443.90000000000003</v>
      </c>
      <c r="Z347" s="3">
        <v>42.614400000000003</v>
      </c>
    </row>
    <row r="348" spans="1:26" x14ac:dyDescent="0.25">
      <c r="A348">
        <v>1402</v>
      </c>
      <c r="B348" s="2">
        <v>41999</v>
      </c>
      <c r="C348">
        <v>26</v>
      </c>
      <c r="D348" t="s">
        <v>140</v>
      </c>
      <c r="E348" t="s">
        <v>141</v>
      </c>
      <c r="F348" t="s">
        <v>115</v>
      </c>
      <c r="G348" t="s">
        <v>116</v>
      </c>
      <c r="H348">
        <v>99999</v>
      </c>
      <c r="I348" t="s">
        <v>30</v>
      </c>
      <c r="J348" t="s">
        <v>94</v>
      </c>
      <c r="K348" t="s">
        <v>95</v>
      </c>
      <c r="L348" s="2">
        <v>42001</v>
      </c>
      <c r="M348" t="s">
        <v>62</v>
      </c>
      <c r="N348" t="s">
        <v>142</v>
      </c>
      <c r="O348" t="s">
        <v>141</v>
      </c>
      <c r="P348" t="s">
        <v>115</v>
      </c>
      <c r="Q348" t="s">
        <v>116</v>
      </c>
      <c r="R348">
        <v>99999</v>
      </c>
      <c r="S348" t="s">
        <v>30</v>
      </c>
      <c r="T348" t="s">
        <v>48</v>
      </c>
      <c r="U348" t="s">
        <v>123</v>
      </c>
      <c r="V348" t="s">
        <v>124</v>
      </c>
      <c r="W348" s="3">
        <v>18.399999999999999</v>
      </c>
      <c r="X348">
        <v>93</v>
      </c>
      <c r="Y348" s="4">
        <v>1711.1999999999998</v>
      </c>
      <c r="Z348" s="3">
        <v>167.69759999999999</v>
      </c>
    </row>
    <row r="349" spans="1:26" x14ac:dyDescent="0.25">
      <c r="A349">
        <v>1403</v>
      </c>
      <c r="B349" s="2">
        <v>42002</v>
      </c>
      <c r="C349">
        <v>29</v>
      </c>
      <c r="D349" t="s">
        <v>66</v>
      </c>
      <c r="E349" t="s">
        <v>67</v>
      </c>
      <c r="F349" t="s">
        <v>68</v>
      </c>
      <c r="G349" t="s">
        <v>69</v>
      </c>
      <c r="H349">
        <v>99999</v>
      </c>
      <c r="I349" t="s">
        <v>30</v>
      </c>
      <c r="J349" t="s">
        <v>70</v>
      </c>
      <c r="K349" t="s">
        <v>32</v>
      </c>
      <c r="L349" s="2">
        <v>42004</v>
      </c>
      <c r="M349" t="s">
        <v>33</v>
      </c>
      <c r="N349" t="s">
        <v>71</v>
      </c>
      <c r="O349" t="s">
        <v>67</v>
      </c>
      <c r="P349" t="s">
        <v>68</v>
      </c>
      <c r="Q349" t="s">
        <v>69</v>
      </c>
      <c r="R349">
        <v>99999</v>
      </c>
      <c r="S349" t="s">
        <v>30</v>
      </c>
      <c r="T349" t="s">
        <v>35</v>
      </c>
      <c r="U349" t="s">
        <v>36</v>
      </c>
      <c r="V349" t="s">
        <v>37</v>
      </c>
      <c r="W349" s="3">
        <v>14</v>
      </c>
      <c r="X349">
        <v>96</v>
      </c>
      <c r="Y349" s="4">
        <v>1344</v>
      </c>
      <c r="Z349" s="3">
        <v>141.12</v>
      </c>
    </row>
    <row r="350" spans="1:26" x14ac:dyDescent="0.25">
      <c r="A350">
        <v>1404</v>
      </c>
      <c r="B350" s="2">
        <v>41979</v>
      </c>
      <c r="C350">
        <v>6</v>
      </c>
      <c r="D350" t="s">
        <v>82</v>
      </c>
      <c r="E350" t="s">
        <v>83</v>
      </c>
      <c r="F350" t="s">
        <v>84</v>
      </c>
      <c r="G350" t="s">
        <v>85</v>
      </c>
      <c r="H350">
        <v>99999</v>
      </c>
      <c r="I350" t="s">
        <v>30</v>
      </c>
      <c r="J350" t="s">
        <v>86</v>
      </c>
      <c r="K350" t="s">
        <v>61</v>
      </c>
      <c r="L350" s="2">
        <v>41981</v>
      </c>
      <c r="M350" t="s">
        <v>62</v>
      </c>
      <c r="N350" t="s">
        <v>87</v>
      </c>
      <c r="O350" t="s">
        <v>83</v>
      </c>
      <c r="P350" t="s">
        <v>84</v>
      </c>
      <c r="Q350" t="s">
        <v>85</v>
      </c>
      <c r="R350">
        <v>99999</v>
      </c>
      <c r="S350" t="s">
        <v>30</v>
      </c>
      <c r="T350" t="s">
        <v>35</v>
      </c>
      <c r="U350" t="s">
        <v>72</v>
      </c>
      <c r="V350" t="s">
        <v>73</v>
      </c>
      <c r="W350">
        <v>12.75</v>
      </c>
      <c r="X350">
        <v>12</v>
      </c>
      <c r="Y350" s="4">
        <v>153</v>
      </c>
      <c r="Z350" s="3">
        <v>16.065000000000001</v>
      </c>
    </row>
    <row r="351" spans="1:26" x14ac:dyDescent="0.25">
      <c r="A351">
        <v>1406</v>
      </c>
      <c r="B351" s="2">
        <v>41977</v>
      </c>
      <c r="C351">
        <v>4</v>
      </c>
      <c r="D351" t="s">
        <v>40</v>
      </c>
      <c r="E351" t="s">
        <v>41</v>
      </c>
      <c r="F351" t="s">
        <v>42</v>
      </c>
      <c r="G351" t="s">
        <v>43</v>
      </c>
      <c r="H351">
        <v>99999</v>
      </c>
      <c r="I351" t="s">
        <v>30</v>
      </c>
      <c r="J351" t="s">
        <v>44</v>
      </c>
      <c r="K351" t="s">
        <v>45</v>
      </c>
      <c r="L351" s="2">
        <v>41979</v>
      </c>
      <c r="M351" t="s">
        <v>46</v>
      </c>
      <c r="N351" t="s">
        <v>47</v>
      </c>
      <c r="O351" t="s">
        <v>41</v>
      </c>
      <c r="P351" t="s">
        <v>42</v>
      </c>
      <c r="Q351" t="s">
        <v>43</v>
      </c>
      <c r="R351">
        <v>99999</v>
      </c>
      <c r="S351" t="s">
        <v>30</v>
      </c>
      <c r="T351" t="s">
        <v>48</v>
      </c>
      <c r="U351" t="s">
        <v>149</v>
      </c>
      <c r="V351" t="s">
        <v>110</v>
      </c>
      <c r="W351">
        <v>81</v>
      </c>
      <c r="X351">
        <v>38</v>
      </c>
      <c r="Y351" s="4">
        <v>3078</v>
      </c>
      <c r="Z351" s="3">
        <v>292.41000000000003</v>
      </c>
    </row>
    <row r="352" spans="1:26" x14ac:dyDescent="0.25">
      <c r="A352">
        <v>1407</v>
      </c>
      <c r="B352" s="2">
        <v>41977</v>
      </c>
      <c r="C352">
        <v>4</v>
      </c>
      <c r="D352" t="s">
        <v>40</v>
      </c>
      <c r="E352" t="s">
        <v>41</v>
      </c>
      <c r="F352" t="s">
        <v>42</v>
      </c>
      <c r="G352" t="s">
        <v>43</v>
      </c>
      <c r="H352">
        <v>99999</v>
      </c>
      <c r="I352" t="s">
        <v>30</v>
      </c>
      <c r="J352" t="s">
        <v>44</v>
      </c>
      <c r="K352" t="s">
        <v>45</v>
      </c>
      <c r="L352" s="2">
        <v>41979</v>
      </c>
      <c r="M352" t="s">
        <v>46</v>
      </c>
      <c r="N352" t="s">
        <v>47</v>
      </c>
      <c r="O352" t="s">
        <v>41</v>
      </c>
      <c r="P352" t="s">
        <v>42</v>
      </c>
      <c r="Q352" t="s">
        <v>43</v>
      </c>
      <c r="R352">
        <v>99999</v>
      </c>
      <c r="S352" t="s">
        <v>30</v>
      </c>
      <c r="T352" t="s">
        <v>48</v>
      </c>
      <c r="U352" t="s">
        <v>150</v>
      </c>
      <c r="V352" t="s">
        <v>151</v>
      </c>
      <c r="W352">
        <v>7</v>
      </c>
      <c r="X352">
        <v>42</v>
      </c>
      <c r="Y352" s="4">
        <v>294</v>
      </c>
      <c r="Z352" s="3">
        <v>29.106000000000002</v>
      </c>
    </row>
    <row r="353" spans="1:26" x14ac:dyDescent="0.25">
      <c r="A353">
        <v>1409</v>
      </c>
      <c r="B353" s="2">
        <v>41981</v>
      </c>
      <c r="C353">
        <v>8</v>
      </c>
      <c r="D353" t="s">
        <v>56</v>
      </c>
      <c r="E353" t="s">
        <v>57</v>
      </c>
      <c r="F353" t="s">
        <v>58</v>
      </c>
      <c r="G353" t="s">
        <v>59</v>
      </c>
      <c r="H353">
        <v>99999</v>
      </c>
      <c r="I353" t="s">
        <v>30</v>
      </c>
      <c r="J353" t="s">
        <v>60</v>
      </c>
      <c r="K353" t="s">
        <v>61</v>
      </c>
      <c r="L353" s="2">
        <v>41983</v>
      </c>
      <c r="M353" t="s">
        <v>62</v>
      </c>
      <c r="N353" t="s">
        <v>63</v>
      </c>
      <c r="O353" t="s">
        <v>57</v>
      </c>
      <c r="P353" t="s">
        <v>58</v>
      </c>
      <c r="Q353" t="s">
        <v>59</v>
      </c>
      <c r="R353">
        <v>99999</v>
      </c>
      <c r="S353" t="s">
        <v>30</v>
      </c>
      <c r="T353" t="s">
        <v>48</v>
      </c>
      <c r="U353" t="s">
        <v>133</v>
      </c>
      <c r="V353" t="s">
        <v>134</v>
      </c>
      <c r="W353">
        <v>34.799999999999997</v>
      </c>
      <c r="X353">
        <v>100</v>
      </c>
      <c r="Y353" s="4">
        <v>3479.9999999999995</v>
      </c>
      <c r="Z353" s="3">
        <v>344.52</v>
      </c>
    </row>
    <row r="354" spans="1:26" x14ac:dyDescent="0.25">
      <c r="A354">
        <v>1412</v>
      </c>
      <c r="B354" s="2">
        <v>41976</v>
      </c>
      <c r="C354">
        <v>3</v>
      </c>
      <c r="D354" t="s">
        <v>74</v>
      </c>
      <c r="E354" t="s">
        <v>75</v>
      </c>
      <c r="F354" t="s">
        <v>76</v>
      </c>
      <c r="G354" t="s">
        <v>77</v>
      </c>
      <c r="H354">
        <v>99999</v>
      </c>
      <c r="I354" t="s">
        <v>30</v>
      </c>
      <c r="J354" t="s">
        <v>31</v>
      </c>
      <c r="K354" t="s">
        <v>32</v>
      </c>
      <c r="L354" s="2">
        <v>41978</v>
      </c>
      <c r="M354" t="s">
        <v>33</v>
      </c>
      <c r="N354" t="s">
        <v>78</v>
      </c>
      <c r="O354" t="s">
        <v>75</v>
      </c>
      <c r="P354" t="s">
        <v>76</v>
      </c>
      <c r="Q354" t="s">
        <v>77</v>
      </c>
      <c r="R354">
        <v>99999</v>
      </c>
      <c r="S354" t="s">
        <v>30</v>
      </c>
      <c r="T354" t="s">
        <v>79</v>
      </c>
      <c r="U354" t="s">
        <v>135</v>
      </c>
      <c r="V354" t="s">
        <v>112</v>
      </c>
      <c r="W354">
        <v>10</v>
      </c>
      <c r="X354">
        <v>89</v>
      </c>
      <c r="Y354" s="4">
        <v>890</v>
      </c>
      <c r="Z354" s="3">
        <v>87.22</v>
      </c>
    </row>
    <row r="355" spans="1:26" x14ac:dyDescent="0.25">
      <c r="A355">
        <v>1413</v>
      </c>
      <c r="B355" s="2">
        <v>41976</v>
      </c>
      <c r="C355">
        <v>3</v>
      </c>
      <c r="D355" t="s">
        <v>74</v>
      </c>
      <c r="E355" t="s">
        <v>75</v>
      </c>
      <c r="F355" t="s">
        <v>76</v>
      </c>
      <c r="G355" t="s">
        <v>77</v>
      </c>
      <c r="H355">
        <v>99999</v>
      </c>
      <c r="I355" t="s">
        <v>30</v>
      </c>
      <c r="J355" t="s">
        <v>31</v>
      </c>
      <c r="K355" t="s">
        <v>32</v>
      </c>
      <c r="L355" s="2">
        <v>41978</v>
      </c>
      <c r="M355" t="s">
        <v>33</v>
      </c>
      <c r="N355" t="s">
        <v>78</v>
      </c>
      <c r="O355" t="s">
        <v>75</v>
      </c>
      <c r="P355" t="s">
        <v>76</v>
      </c>
      <c r="Q355" t="s">
        <v>77</v>
      </c>
      <c r="R355">
        <v>99999</v>
      </c>
      <c r="S355" t="s">
        <v>30</v>
      </c>
      <c r="T355" t="s">
        <v>79</v>
      </c>
      <c r="U355" t="s">
        <v>88</v>
      </c>
      <c r="V355" t="s">
        <v>89</v>
      </c>
      <c r="W355">
        <v>40</v>
      </c>
      <c r="X355">
        <v>12</v>
      </c>
      <c r="Y355" s="4">
        <v>480</v>
      </c>
      <c r="Z355" s="3">
        <v>46.56</v>
      </c>
    </row>
    <row r="356" spans="1:26" x14ac:dyDescent="0.25">
      <c r="A356">
        <v>1417</v>
      </c>
      <c r="B356" s="2">
        <v>41983</v>
      </c>
      <c r="C356">
        <v>10</v>
      </c>
      <c r="D356" t="s">
        <v>97</v>
      </c>
      <c r="E356" t="s">
        <v>98</v>
      </c>
      <c r="F356" t="s">
        <v>99</v>
      </c>
      <c r="G356" t="s">
        <v>100</v>
      </c>
      <c r="H356">
        <v>99999</v>
      </c>
      <c r="I356" t="s">
        <v>30</v>
      </c>
      <c r="J356" t="s">
        <v>101</v>
      </c>
      <c r="K356" t="s">
        <v>45</v>
      </c>
      <c r="L356" s="2">
        <v>41985</v>
      </c>
      <c r="M356" t="s">
        <v>33</v>
      </c>
      <c r="N356" t="s">
        <v>102</v>
      </c>
      <c r="O356" t="s">
        <v>98</v>
      </c>
      <c r="P356" t="s">
        <v>99</v>
      </c>
      <c r="Q356" t="s">
        <v>100</v>
      </c>
      <c r="R356">
        <v>99999</v>
      </c>
      <c r="S356" t="s">
        <v>30</v>
      </c>
      <c r="T356" t="s">
        <v>48</v>
      </c>
      <c r="U356" t="s">
        <v>136</v>
      </c>
      <c r="V356" t="s">
        <v>39</v>
      </c>
      <c r="W356">
        <v>10</v>
      </c>
      <c r="X356">
        <v>97</v>
      </c>
      <c r="Y356" s="4">
        <v>970</v>
      </c>
      <c r="Z356" s="3">
        <v>100.88000000000001</v>
      </c>
    </row>
    <row r="357" spans="1:26" x14ac:dyDescent="0.25">
      <c r="A357">
        <v>1419</v>
      </c>
      <c r="B357" s="2">
        <v>41983</v>
      </c>
      <c r="C357">
        <v>10</v>
      </c>
      <c r="D357" t="s">
        <v>97</v>
      </c>
      <c r="E357" t="s">
        <v>98</v>
      </c>
      <c r="F357" t="s">
        <v>99</v>
      </c>
      <c r="G357" t="s">
        <v>100</v>
      </c>
      <c r="H357">
        <v>99999</v>
      </c>
      <c r="I357" t="s">
        <v>30</v>
      </c>
      <c r="J357" t="s">
        <v>101</v>
      </c>
      <c r="K357" t="s">
        <v>45</v>
      </c>
      <c r="L357" s="2"/>
      <c r="M357" t="s">
        <v>46</v>
      </c>
      <c r="N357" t="s">
        <v>102</v>
      </c>
      <c r="O357" t="s">
        <v>98</v>
      </c>
      <c r="P357" t="s">
        <v>99</v>
      </c>
      <c r="Q357" t="s">
        <v>100</v>
      </c>
      <c r="R357">
        <v>99999</v>
      </c>
      <c r="S357" t="s">
        <v>30</v>
      </c>
      <c r="U357" t="s">
        <v>38</v>
      </c>
      <c r="V357" t="s">
        <v>39</v>
      </c>
      <c r="W357">
        <v>3.5</v>
      </c>
      <c r="X357">
        <v>53</v>
      </c>
      <c r="Y357" s="4">
        <v>185.5</v>
      </c>
      <c r="Z357" s="3">
        <v>17.622499999999999</v>
      </c>
    </row>
    <row r="358" spans="1:26" x14ac:dyDescent="0.25">
      <c r="A358">
        <v>1420</v>
      </c>
      <c r="B358" s="2">
        <v>41984</v>
      </c>
      <c r="C358">
        <v>11</v>
      </c>
      <c r="D358" t="s">
        <v>113</v>
      </c>
      <c r="E358" t="s">
        <v>114</v>
      </c>
      <c r="F358" t="s">
        <v>115</v>
      </c>
      <c r="G358" t="s">
        <v>116</v>
      </c>
      <c r="H358">
        <v>99999</v>
      </c>
      <c r="I358" t="s">
        <v>30</v>
      </c>
      <c r="J358" t="s">
        <v>94</v>
      </c>
      <c r="K358" t="s">
        <v>95</v>
      </c>
      <c r="L358" s="2"/>
      <c r="M358" t="s">
        <v>62</v>
      </c>
      <c r="N358" t="s">
        <v>117</v>
      </c>
      <c r="O358" t="s">
        <v>114</v>
      </c>
      <c r="P358" t="s">
        <v>115</v>
      </c>
      <c r="Q358" t="s">
        <v>116</v>
      </c>
      <c r="R358">
        <v>99999</v>
      </c>
      <c r="S358" t="s">
        <v>30</v>
      </c>
      <c r="U358" t="s">
        <v>88</v>
      </c>
      <c r="V358" t="s">
        <v>89</v>
      </c>
      <c r="W358">
        <v>40</v>
      </c>
      <c r="X358">
        <v>61</v>
      </c>
      <c r="Y358" s="4">
        <v>2440</v>
      </c>
      <c r="Z358" s="3">
        <v>248.88</v>
      </c>
    </row>
    <row r="359" spans="1:26" x14ac:dyDescent="0.25">
      <c r="A359">
        <v>1421</v>
      </c>
      <c r="B359" s="2">
        <v>41974</v>
      </c>
      <c r="C359">
        <v>1</v>
      </c>
      <c r="D359" t="s">
        <v>118</v>
      </c>
      <c r="E359" t="s">
        <v>119</v>
      </c>
      <c r="F359" t="s">
        <v>120</v>
      </c>
      <c r="G359" t="s">
        <v>121</v>
      </c>
      <c r="H359">
        <v>99999</v>
      </c>
      <c r="I359" t="s">
        <v>30</v>
      </c>
      <c r="J359" t="s">
        <v>60</v>
      </c>
      <c r="K359" t="s">
        <v>61</v>
      </c>
      <c r="L359" s="2"/>
      <c r="M359" t="s">
        <v>62</v>
      </c>
      <c r="N359" t="s">
        <v>122</v>
      </c>
      <c r="O359" t="s">
        <v>119</v>
      </c>
      <c r="P359" t="s">
        <v>120</v>
      </c>
      <c r="Q359" t="s">
        <v>121</v>
      </c>
      <c r="R359">
        <v>99999</v>
      </c>
      <c r="S359" t="s">
        <v>30</v>
      </c>
      <c r="U359" t="s">
        <v>123</v>
      </c>
      <c r="V359" t="s">
        <v>124</v>
      </c>
      <c r="W359">
        <v>18.399999999999999</v>
      </c>
      <c r="X359">
        <v>45</v>
      </c>
      <c r="Y359" s="4">
        <v>827.99999999999989</v>
      </c>
      <c r="Z359" s="3">
        <v>81.143999999999991</v>
      </c>
    </row>
    <row r="360" spans="1:26" x14ac:dyDescent="0.25">
      <c r="A360">
        <v>1422</v>
      </c>
      <c r="B360" s="2">
        <v>42001</v>
      </c>
      <c r="C360">
        <v>28</v>
      </c>
      <c r="D360" t="s">
        <v>90</v>
      </c>
      <c r="E360" t="s">
        <v>91</v>
      </c>
      <c r="F360" t="s">
        <v>92</v>
      </c>
      <c r="G360" t="s">
        <v>93</v>
      </c>
      <c r="H360">
        <v>99999</v>
      </c>
      <c r="I360" t="s">
        <v>30</v>
      </c>
      <c r="J360" t="s">
        <v>94</v>
      </c>
      <c r="K360" t="s">
        <v>95</v>
      </c>
      <c r="L360" s="2">
        <v>42003</v>
      </c>
      <c r="M360" t="s">
        <v>62</v>
      </c>
      <c r="N360" t="s">
        <v>96</v>
      </c>
      <c r="O360" t="s">
        <v>91</v>
      </c>
      <c r="P360" t="s">
        <v>92</v>
      </c>
      <c r="Q360" t="s">
        <v>93</v>
      </c>
      <c r="R360">
        <v>99999</v>
      </c>
      <c r="S360" t="s">
        <v>30</v>
      </c>
      <c r="T360" t="s">
        <v>48</v>
      </c>
      <c r="U360" t="s">
        <v>55</v>
      </c>
      <c r="V360" t="s">
        <v>37</v>
      </c>
      <c r="W360">
        <v>46</v>
      </c>
      <c r="X360">
        <v>43</v>
      </c>
      <c r="Y360" s="4">
        <v>1978</v>
      </c>
      <c r="Z360" s="3">
        <v>197.8</v>
      </c>
    </row>
    <row r="361" spans="1:26" x14ac:dyDescent="0.25">
      <c r="A361">
        <v>1423</v>
      </c>
      <c r="B361" s="2">
        <v>41982</v>
      </c>
      <c r="C361">
        <v>9</v>
      </c>
      <c r="D361" t="s">
        <v>125</v>
      </c>
      <c r="E361" t="s">
        <v>126</v>
      </c>
      <c r="F361" t="s">
        <v>127</v>
      </c>
      <c r="G361" t="s">
        <v>128</v>
      </c>
      <c r="H361">
        <v>99999</v>
      </c>
      <c r="I361" t="s">
        <v>30</v>
      </c>
      <c r="J361" t="s">
        <v>129</v>
      </c>
      <c r="K361" t="s">
        <v>32</v>
      </c>
      <c r="L361" s="2">
        <v>41984</v>
      </c>
      <c r="M361" t="s">
        <v>46</v>
      </c>
      <c r="N361" t="s">
        <v>130</v>
      </c>
      <c r="O361" t="s">
        <v>126</v>
      </c>
      <c r="P361" t="s">
        <v>127</v>
      </c>
      <c r="Q361" t="s">
        <v>128</v>
      </c>
      <c r="R361">
        <v>99999</v>
      </c>
      <c r="S361" t="s">
        <v>30</v>
      </c>
      <c r="T361" t="s">
        <v>35</v>
      </c>
      <c r="U361" t="s">
        <v>80</v>
      </c>
      <c r="V361" t="s">
        <v>81</v>
      </c>
      <c r="W361">
        <v>9.65</v>
      </c>
      <c r="X361">
        <v>18</v>
      </c>
      <c r="Y361" s="4">
        <v>173.70000000000002</v>
      </c>
      <c r="Z361" s="3">
        <v>16.5015</v>
      </c>
    </row>
    <row r="362" spans="1:26" x14ac:dyDescent="0.25">
      <c r="A362">
        <v>1424</v>
      </c>
      <c r="B362" s="2">
        <v>41979</v>
      </c>
      <c r="C362">
        <v>6</v>
      </c>
      <c r="D362" t="s">
        <v>82</v>
      </c>
      <c r="E362" t="s">
        <v>83</v>
      </c>
      <c r="F362" t="s">
        <v>84</v>
      </c>
      <c r="G362" t="s">
        <v>85</v>
      </c>
      <c r="H362">
        <v>99999</v>
      </c>
      <c r="I362" t="s">
        <v>30</v>
      </c>
      <c r="J362" t="s">
        <v>86</v>
      </c>
      <c r="K362" t="s">
        <v>61</v>
      </c>
      <c r="L362" s="2">
        <v>41981</v>
      </c>
      <c r="M362" t="s">
        <v>33</v>
      </c>
      <c r="N362" t="s">
        <v>87</v>
      </c>
      <c r="O362" t="s">
        <v>83</v>
      </c>
      <c r="P362" t="s">
        <v>84</v>
      </c>
      <c r="Q362" t="s">
        <v>85</v>
      </c>
      <c r="R362">
        <v>99999</v>
      </c>
      <c r="S362" t="s">
        <v>30</v>
      </c>
      <c r="T362" t="s">
        <v>48</v>
      </c>
      <c r="U362" t="s">
        <v>72</v>
      </c>
      <c r="V362" t="s">
        <v>73</v>
      </c>
      <c r="W362">
        <v>12.75</v>
      </c>
      <c r="X362">
        <v>41</v>
      </c>
      <c r="Y362" s="4">
        <v>522.75</v>
      </c>
      <c r="Z362" s="3">
        <v>50.706750000000007</v>
      </c>
    </row>
    <row r="363" spans="1:26" x14ac:dyDescent="0.25">
      <c r="A363">
        <v>1425</v>
      </c>
      <c r="B363" s="2">
        <v>41981</v>
      </c>
      <c r="C363">
        <v>8</v>
      </c>
      <c r="D363" t="s">
        <v>56</v>
      </c>
      <c r="E363" t="s">
        <v>57</v>
      </c>
      <c r="F363" t="s">
        <v>58</v>
      </c>
      <c r="G363" t="s">
        <v>59</v>
      </c>
      <c r="H363">
        <v>99999</v>
      </c>
      <c r="I363" t="s">
        <v>30</v>
      </c>
      <c r="J363" t="s">
        <v>60</v>
      </c>
      <c r="K363" t="s">
        <v>61</v>
      </c>
      <c r="L363">
        <v>41983</v>
      </c>
      <c r="M363" t="s">
        <v>33</v>
      </c>
      <c r="N363" t="s">
        <v>63</v>
      </c>
      <c r="O363" t="s">
        <v>57</v>
      </c>
      <c r="P363" t="s">
        <v>58</v>
      </c>
      <c r="Q363" t="s">
        <v>59</v>
      </c>
      <c r="R363">
        <v>99999</v>
      </c>
      <c r="S363" t="s">
        <v>30</v>
      </c>
      <c r="T363" t="s">
        <v>35</v>
      </c>
      <c r="U363" t="s">
        <v>72</v>
      </c>
      <c r="V363" t="s">
        <v>73</v>
      </c>
      <c r="W363">
        <v>12.75</v>
      </c>
      <c r="X363">
        <v>19</v>
      </c>
      <c r="Y363" s="4">
        <v>242.25</v>
      </c>
      <c r="Z363" s="3">
        <v>23.982750000000003</v>
      </c>
    </row>
    <row r="364" spans="1:26" x14ac:dyDescent="0.25">
      <c r="A364">
        <v>1426</v>
      </c>
      <c r="B364" s="2">
        <v>41998</v>
      </c>
      <c r="C364">
        <v>25</v>
      </c>
      <c r="D364" t="s">
        <v>137</v>
      </c>
      <c r="E364" t="s">
        <v>138</v>
      </c>
      <c r="F364" t="s">
        <v>99</v>
      </c>
      <c r="G364" t="s">
        <v>100</v>
      </c>
      <c r="H364">
        <v>99999</v>
      </c>
      <c r="I364" t="s">
        <v>30</v>
      </c>
      <c r="J364" t="s">
        <v>101</v>
      </c>
      <c r="K364" t="s">
        <v>45</v>
      </c>
      <c r="L364">
        <v>42000</v>
      </c>
      <c r="M364" t="s">
        <v>46</v>
      </c>
      <c r="N364" t="s">
        <v>139</v>
      </c>
      <c r="O364" t="s">
        <v>138</v>
      </c>
      <c r="P364" t="s">
        <v>99</v>
      </c>
      <c r="Q364" t="s">
        <v>100</v>
      </c>
      <c r="R364">
        <v>99999</v>
      </c>
      <c r="S364" t="s">
        <v>30</v>
      </c>
      <c r="T364" t="s">
        <v>79</v>
      </c>
      <c r="U364" t="s">
        <v>111</v>
      </c>
      <c r="V364" t="s">
        <v>112</v>
      </c>
      <c r="W364">
        <v>22</v>
      </c>
      <c r="X364">
        <v>65</v>
      </c>
      <c r="Y364" s="4">
        <v>1430</v>
      </c>
      <c r="Z364" s="3">
        <v>138.71</v>
      </c>
    </row>
    <row r="365" spans="1:26" x14ac:dyDescent="0.25">
      <c r="A365">
        <v>1427</v>
      </c>
      <c r="B365" s="2">
        <v>41999</v>
      </c>
      <c r="C365">
        <v>26</v>
      </c>
      <c r="D365" t="s">
        <v>140</v>
      </c>
      <c r="E365" t="s">
        <v>141</v>
      </c>
      <c r="F365" t="s">
        <v>115</v>
      </c>
      <c r="G365" t="s">
        <v>116</v>
      </c>
      <c r="H365">
        <v>99999</v>
      </c>
      <c r="I365" t="s">
        <v>30</v>
      </c>
      <c r="J365" t="s">
        <v>94</v>
      </c>
      <c r="K365" t="s">
        <v>95</v>
      </c>
      <c r="L365">
        <v>42001</v>
      </c>
      <c r="M365" t="s">
        <v>62</v>
      </c>
      <c r="N365" t="s">
        <v>142</v>
      </c>
      <c r="O365" t="s">
        <v>141</v>
      </c>
      <c r="P365" t="s">
        <v>115</v>
      </c>
      <c r="Q365" t="s">
        <v>116</v>
      </c>
      <c r="R365">
        <v>99999</v>
      </c>
      <c r="S365" t="s">
        <v>30</v>
      </c>
      <c r="T365" t="s">
        <v>48</v>
      </c>
      <c r="U365" t="s">
        <v>109</v>
      </c>
      <c r="V365" t="s">
        <v>110</v>
      </c>
      <c r="W365">
        <v>25</v>
      </c>
      <c r="X365">
        <v>13</v>
      </c>
      <c r="Y365" s="4">
        <v>325</v>
      </c>
      <c r="Z365" s="3">
        <v>32.174999999999997</v>
      </c>
    </row>
    <row r="366" spans="1:26" x14ac:dyDescent="0.25">
      <c r="A366">
        <v>1428</v>
      </c>
      <c r="B366" s="2">
        <v>42002</v>
      </c>
      <c r="C366">
        <v>29</v>
      </c>
      <c r="D366" t="s">
        <v>66</v>
      </c>
      <c r="E366" t="s">
        <v>67</v>
      </c>
      <c r="F366" t="s">
        <v>68</v>
      </c>
      <c r="G366" t="s">
        <v>69</v>
      </c>
      <c r="H366">
        <v>99999</v>
      </c>
      <c r="I366" t="s">
        <v>30</v>
      </c>
      <c r="J366" t="s">
        <v>70</v>
      </c>
      <c r="K366" t="s">
        <v>32</v>
      </c>
      <c r="L366">
        <v>42004</v>
      </c>
      <c r="M366" t="s">
        <v>33</v>
      </c>
      <c r="N366" t="s">
        <v>71</v>
      </c>
      <c r="O366" t="s">
        <v>67</v>
      </c>
      <c r="P366" t="s">
        <v>68</v>
      </c>
      <c r="Q366" t="s">
        <v>69</v>
      </c>
      <c r="R366">
        <v>99999</v>
      </c>
      <c r="S366" t="s">
        <v>30</v>
      </c>
      <c r="T366" t="s">
        <v>35</v>
      </c>
      <c r="U366" t="s">
        <v>143</v>
      </c>
      <c r="V366" t="s">
        <v>144</v>
      </c>
      <c r="W366">
        <v>39</v>
      </c>
      <c r="X366">
        <v>54</v>
      </c>
      <c r="Y366" s="4">
        <v>2106</v>
      </c>
      <c r="Z366" s="3">
        <v>214.81200000000004</v>
      </c>
    </row>
    <row r="367" spans="1:26" x14ac:dyDescent="0.25">
      <c r="A367">
        <v>1429</v>
      </c>
      <c r="B367" s="2">
        <v>41979</v>
      </c>
      <c r="C367">
        <v>6</v>
      </c>
      <c r="D367" t="s">
        <v>82</v>
      </c>
      <c r="E367" t="s">
        <v>83</v>
      </c>
      <c r="F367" t="s">
        <v>84</v>
      </c>
      <c r="G367" t="s">
        <v>85</v>
      </c>
      <c r="H367">
        <v>99999</v>
      </c>
      <c r="I367" t="s">
        <v>30</v>
      </c>
      <c r="J367" t="s">
        <v>86</v>
      </c>
      <c r="K367" t="s">
        <v>61</v>
      </c>
      <c r="L367" s="2">
        <v>41981</v>
      </c>
      <c r="M367" t="s">
        <v>62</v>
      </c>
      <c r="N367" t="s">
        <v>87</v>
      </c>
      <c r="O367" t="s">
        <v>83</v>
      </c>
      <c r="P367" t="s">
        <v>84</v>
      </c>
      <c r="Q367" t="s">
        <v>85</v>
      </c>
      <c r="R367">
        <v>99999</v>
      </c>
      <c r="S367" t="s">
        <v>30</v>
      </c>
      <c r="T367" t="s">
        <v>35</v>
      </c>
      <c r="U367" t="s">
        <v>49</v>
      </c>
      <c r="V367" t="s">
        <v>39</v>
      </c>
      <c r="W367">
        <v>30</v>
      </c>
      <c r="X367">
        <v>33</v>
      </c>
      <c r="Y367" s="4">
        <v>990</v>
      </c>
      <c r="Z367" s="3">
        <v>95.039999999999992</v>
      </c>
    </row>
    <row r="368" spans="1:26" x14ac:dyDescent="0.25">
      <c r="A368">
        <v>1430</v>
      </c>
      <c r="B368" s="2">
        <v>41979</v>
      </c>
      <c r="C368">
        <v>6</v>
      </c>
      <c r="D368" t="s">
        <v>82</v>
      </c>
      <c r="E368" t="s">
        <v>83</v>
      </c>
      <c r="F368" t="s">
        <v>84</v>
      </c>
      <c r="G368" t="s">
        <v>85</v>
      </c>
      <c r="H368">
        <v>99999</v>
      </c>
      <c r="I368" t="s">
        <v>30</v>
      </c>
      <c r="J368" t="s">
        <v>86</v>
      </c>
      <c r="K368" t="s">
        <v>61</v>
      </c>
      <c r="L368" s="2">
        <v>41981</v>
      </c>
      <c r="M368" t="s">
        <v>62</v>
      </c>
      <c r="N368" t="s">
        <v>87</v>
      </c>
      <c r="O368" t="s">
        <v>83</v>
      </c>
      <c r="P368" t="s">
        <v>84</v>
      </c>
      <c r="Q368" t="s">
        <v>85</v>
      </c>
      <c r="R368">
        <v>99999</v>
      </c>
      <c r="S368" t="s">
        <v>30</v>
      </c>
      <c r="T368" t="s">
        <v>35</v>
      </c>
      <c r="U368" t="s">
        <v>50</v>
      </c>
      <c r="V368" t="s">
        <v>39</v>
      </c>
      <c r="W368">
        <v>53</v>
      </c>
      <c r="X368">
        <v>34</v>
      </c>
      <c r="Y368" s="4">
        <v>1802</v>
      </c>
      <c r="Z368" s="3">
        <v>185.60600000000002</v>
      </c>
    </row>
    <row r="369" spans="1:26" x14ac:dyDescent="0.25">
      <c r="A369">
        <v>1431</v>
      </c>
      <c r="B369" s="2">
        <v>41977</v>
      </c>
      <c r="C369">
        <v>4</v>
      </c>
      <c r="D369" t="s">
        <v>40</v>
      </c>
      <c r="E369" t="s">
        <v>41</v>
      </c>
      <c r="F369" t="s">
        <v>42</v>
      </c>
      <c r="G369" t="s">
        <v>43</v>
      </c>
      <c r="H369">
        <v>99999</v>
      </c>
      <c r="I369" t="s">
        <v>30</v>
      </c>
      <c r="J369" t="s">
        <v>44</v>
      </c>
      <c r="K369" t="s">
        <v>45</v>
      </c>
      <c r="L369" s="2"/>
      <c r="N369" t="s">
        <v>47</v>
      </c>
      <c r="O369" t="s">
        <v>41</v>
      </c>
      <c r="P369" t="s">
        <v>42</v>
      </c>
      <c r="Q369" t="s">
        <v>43</v>
      </c>
      <c r="R369">
        <v>99999</v>
      </c>
      <c r="S369" t="s">
        <v>30</v>
      </c>
      <c r="U369" t="s">
        <v>145</v>
      </c>
      <c r="V369" t="s">
        <v>132</v>
      </c>
      <c r="W369" s="3">
        <v>38</v>
      </c>
      <c r="X369">
        <v>59</v>
      </c>
      <c r="Y369" s="4">
        <v>2242</v>
      </c>
      <c r="Z369" s="3">
        <v>226.44200000000001</v>
      </c>
    </row>
    <row r="370" spans="1:26" x14ac:dyDescent="0.25">
      <c r="A370">
        <v>1432</v>
      </c>
      <c r="B370" s="2">
        <v>41976</v>
      </c>
      <c r="C370">
        <v>3</v>
      </c>
      <c r="D370" t="s">
        <v>74</v>
      </c>
      <c r="E370" t="s">
        <v>75</v>
      </c>
      <c r="F370" t="s">
        <v>76</v>
      </c>
      <c r="G370" t="s">
        <v>77</v>
      </c>
      <c r="H370">
        <v>99999</v>
      </c>
      <c r="I370" t="s">
        <v>30</v>
      </c>
      <c r="J370" t="s">
        <v>31</v>
      </c>
      <c r="K370" t="s">
        <v>32</v>
      </c>
      <c r="L370" s="2"/>
      <c r="N370" t="s">
        <v>78</v>
      </c>
      <c r="O370" t="s">
        <v>75</v>
      </c>
      <c r="P370" t="s">
        <v>76</v>
      </c>
      <c r="Q370" t="s">
        <v>77</v>
      </c>
      <c r="R370">
        <v>99999</v>
      </c>
      <c r="S370" t="s">
        <v>30</v>
      </c>
      <c r="U370" t="s">
        <v>103</v>
      </c>
      <c r="V370" t="s">
        <v>37</v>
      </c>
      <c r="W370" s="3">
        <v>2.99</v>
      </c>
      <c r="X370">
        <v>24</v>
      </c>
      <c r="Y370" s="4">
        <v>71.760000000000005</v>
      </c>
      <c r="Z370" s="3">
        <v>7.1042400000000008</v>
      </c>
    </row>
  </sheetData>
  <autoFilter ref="A1:Z370" xr:uid="{00000000-0009-0000-0000-000007000000}"/>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8C65A-C1AA-4492-8B66-AACAED797440}">
  <dimension ref="A3:D11"/>
  <sheetViews>
    <sheetView workbookViewId="0">
      <selection activeCell="H25" sqref="H25"/>
    </sheetView>
  </sheetViews>
  <sheetFormatPr defaultRowHeight="15" x14ac:dyDescent="0.25"/>
  <cols>
    <col min="1" max="1" width="13.140625" bestFit="1" customWidth="1"/>
    <col min="2" max="2" width="17" bestFit="1" customWidth="1"/>
    <col min="3" max="3" width="18.7109375" bestFit="1" customWidth="1"/>
    <col min="4" max="4" width="0.140625" hidden="1" customWidth="1"/>
    <col min="6" max="6" width="3.7109375" customWidth="1"/>
    <col min="8" max="8" width="13.85546875" customWidth="1"/>
    <col min="11" max="11" width="3" customWidth="1"/>
    <col min="12" max="12" width="11.28515625" customWidth="1"/>
  </cols>
  <sheetData>
    <row r="3" spans="1:2" x14ac:dyDescent="0.25">
      <c r="A3" s="10" t="s">
        <v>167</v>
      </c>
      <c r="B3" t="s">
        <v>177</v>
      </c>
    </row>
    <row r="4" spans="1:2" x14ac:dyDescent="0.25">
      <c r="A4" s="12" t="s">
        <v>172</v>
      </c>
      <c r="B4">
        <v>218</v>
      </c>
    </row>
    <row r="5" spans="1:2" x14ac:dyDescent="0.25">
      <c r="A5" s="12" t="s">
        <v>173</v>
      </c>
      <c r="B5">
        <v>85</v>
      </c>
    </row>
    <row r="6" spans="1:2" x14ac:dyDescent="0.25">
      <c r="A6" s="12" t="s">
        <v>174</v>
      </c>
      <c r="B6">
        <v>31</v>
      </c>
    </row>
    <row r="7" spans="1:2" x14ac:dyDescent="0.25">
      <c r="A7" s="12" t="s">
        <v>175</v>
      </c>
      <c r="B7">
        <v>24</v>
      </c>
    </row>
    <row r="8" spans="1:2" x14ac:dyDescent="0.25">
      <c r="A8" s="12" t="s">
        <v>176</v>
      </c>
      <c r="B8">
        <v>8</v>
      </c>
    </row>
    <row r="9" spans="1:2" x14ac:dyDescent="0.25">
      <c r="A9" s="12" t="s">
        <v>191</v>
      </c>
      <c r="B9">
        <v>2</v>
      </c>
    </row>
    <row r="10" spans="1:2" x14ac:dyDescent="0.25">
      <c r="A10" s="12" t="s">
        <v>192</v>
      </c>
      <c r="B10">
        <v>1</v>
      </c>
    </row>
    <row r="11" spans="1:2" x14ac:dyDescent="0.25">
      <c r="A11" s="12" t="s">
        <v>168</v>
      </c>
      <c r="B11">
        <v>369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63153-FFA5-46A2-B418-07700DABEE29}">
  <dimension ref="A2:F16"/>
  <sheetViews>
    <sheetView workbookViewId="0">
      <selection activeCell="O4" sqref="O4"/>
    </sheetView>
  </sheetViews>
  <sheetFormatPr defaultRowHeight="15" x14ac:dyDescent="0.25"/>
  <cols>
    <col min="1" max="1" width="13.140625" bestFit="1" customWidth="1"/>
    <col min="2" max="2" width="15.5703125" bestFit="1" customWidth="1"/>
    <col min="3" max="3" width="9.7109375" customWidth="1"/>
    <col min="4" max="4" width="0.140625" hidden="1" customWidth="1"/>
    <col min="6" max="6" width="15.140625" customWidth="1"/>
    <col min="8" max="8" width="13.85546875" customWidth="1"/>
    <col min="11" max="11" width="3" customWidth="1"/>
    <col min="12" max="12" width="11.28515625" customWidth="1"/>
  </cols>
  <sheetData>
    <row r="2" spans="1:6" x14ac:dyDescent="0.25">
      <c r="E2" s="13" t="s">
        <v>178</v>
      </c>
      <c r="F2" s="13" t="s">
        <v>179</v>
      </c>
    </row>
    <row r="3" spans="1:6" x14ac:dyDescent="0.25">
      <c r="A3" s="10" t="s">
        <v>167</v>
      </c>
      <c r="B3" t="s">
        <v>169</v>
      </c>
      <c r="E3" s="11" t="s">
        <v>77</v>
      </c>
      <c r="F3" s="15">
        <v>27005.38</v>
      </c>
    </row>
    <row r="4" spans="1:6" x14ac:dyDescent="0.25">
      <c r="A4" s="11" t="s">
        <v>77</v>
      </c>
      <c r="B4" s="15">
        <v>27005.38</v>
      </c>
      <c r="E4" s="11" t="s">
        <v>69</v>
      </c>
      <c r="F4" s="15">
        <v>16350.5</v>
      </c>
    </row>
    <row r="5" spans="1:6" x14ac:dyDescent="0.25">
      <c r="A5" s="11" t="s">
        <v>69</v>
      </c>
      <c r="B5" s="15">
        <v>16350.5</v>
      </c>
      <c r="E5" s="11" t="s">
        <v>116</v>
      </c>
      <c r="F5" s="15">
        <v>50145.330000000009</v>
      </c>
    </row>
    <row r="6" spans="1:6" x14ac:dyDescent="0.25">
      <c r="A6" s="11" t="s">
        <v>116</v>
      </c>
      <c r="B6" s="15">
        <v>50145.330000000009</v>
      </c>
      <c r="E6" s="11" t="s">
        <v>107</v>
      </c>
      <c r="F6" s="15">
        <v>17204</v>
      </c>
    </row>
    <row r="7" spans="1:6" x14ac:dyDescent="0.25">
      <c r="A7" s="11" t="s">
        <v>107</v>
      </c>
      <c r="B7" s="15">
        <v>17204</v>
      </c>
      <c r="E7" s="11" t="s">
        <v>100</v>
      </c>
      <c r="F7" s="15">
        <v>41095.01</v>
      </c>
    </row>
    <row r="8" spans="1:6" x14ac:dyDescent="0.25">
      <c r="A8" s="11" t="s">
        <v>100</v>
      </c>
      <c r="B8" s="15">
        <v>41095.01</v>
      </c>
      <c r="E8" s="11" t="s">
        <v>29</v>
      </c>
      <c r="F8" s="15">
        <v>15365.5</v>
      </c>
    </row>
    <row r="9" spans="1:6" x14ac:dyDescent="0.25">
      <c r="A9" s="11" t="s">
        <v>29</v>
      </c>
      <c r="B9" s="15">
        <v>15365.5</v>
      </c>
      <c r="E9" s="11" t="s">
        <v>43</v>
      </c>
      <c r="F9" s="15">
        <v>67180.5</v>
      </c>
    </row>
    <row r="10" spans="1:6" x14ac:dyDescent="0.25">
      <c r="A10" s="11" t="s">
        <v>43</v>
      </c>
      <c r="B10" s="15">
        <v>67180.5</v>
      </c>
      <c r="E10" s="11" t="s">
        <v>59</v>
      </c>
      <c r="F10" s="15">
        <v>50208.35</v>
      </c>
    </row>
    <row r="11" spans="1:6" x14ac:dyDescent="0.25">
      <c r="A11" s="11" t="s">
        <v>59</v>
      </c>
      <c r="B11" s="15">
        <v>50208.35</v>
      </c>
      <c r="E11" s="11" t="s">
        <v>93</v>
      </c>
      <c r="F11" s="15">
        <v>43713</v>
      </c>
    </row>
    <row r="12" spans="1:6" x14ac:dyDescent="0.25">
      <c r="A12" s="11" t="s">
        <v>93</v>
      </c>
      <c r="B12" s="15">
        <v>43713</v>
      </c>
      <c r="E12" s="11" t="s">
        <v>128</v>
      </c>
      <c r="F12" s="15">
        <v>32530.6</v>
      </c>
    </row>
    <row r="13" spans="1:6" x14ac:dyDescent="0.25">
      <c r="A13" s="11" t="s">
        <v>128</v>
      </c>
      <c r="B13" s="15">
        <v>32530.6</v>
      </c>
      <c r="E13" s="11" t="s">
        <v>121</v>
      </c>
      <c r="F13" s="15">
        <v>36839.990000000005</v>
      </c>
    </row>
    <row r="14" spans="1:6" x14ac:dyDescent="0.25">
      <c r="A14" s="11" t="s">
        <v>121</v>
      </c>
      <c r="B14" s="15">
        <v>36839.990000000005</v>
      </c>
      <c r="E14" s="11" t="s">
        <v>85</v>
      </c>
      <c r="F14" s="15">
        <v>37428</v>
      </c>
    </row>
    <row r="15" spans="1:6" x14ac:dyDescent="0.25">
      <c r="A15" s="11" t="s">
        <v>85</v>
      </c>
      <c r="B15" s="15">
        <v>37428</v>
      </c>
    </row>
    <row r="16" spans="1:6" x14ac:dyDescent="0.25">
      <c r="A16" s="11" t="s">
        <v>168</v>
      </c>
      <c r="B16">
        <v>435066.16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24CC7-C257-4941-B842-BD4858145D26}">
  <dimension ref="A1"/>
  <sheetViews>
    <sheetView showGridLines="0" topLeftCell="AC1" zoomScale="84" zoomScaleNormal="84" workbookViewId="0">
      <selection activeCell="AZ25" sqref="AZ25"/>
    </sheetView>
  </sheetViews>
  <sheetFormatPr defaultRowHeight="15" x14ac:dyDescent="0.25"/>
  <sheetData>
    <row r="1" ht="11.25" customHeight="1" x14ac:dyDescent="0.2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7E789-2907-4CBF-A97B-716F3A4384D1}">
  <dimension ref="A3:D10"/>
  <sheetViews>
    <sheetView workbookViewId="0">
      <selection activeCell="J24" sqref="J24"/>
    </sheetView>
  </sheetViews>
  <sheetFormatPr defaultRowHeight="15" x14ac:dyDescent="0.25"/>
  <cols>
    <col min="1" max="1" width="13.140625" bestFit="1" customWidth="1"/>
    <col min="2" max="2" width="15.5703125" bestFit="1" customWidth="1"/>
    <col min="3" max="3" width="2.85546875" customWidth="1"/>
    <col min="4" max="4" width="0.140625" hidden="1" customWidth="1"/>
    <col min="6" max="6" width="3.7109375" customWidth="1"/>
    <col min="8" max="8" width="13.85546875" customWidth="1"/>
    <col min="11" max="11" width="3" customWidth="1"/>
    <col min="12" max="12" width="11.28515625" customWidth="1"/>
  </cols>
  <sheetData>
    <row r="3" spans="1:2" x14ac:dyDescent="0.25">
      <c r="A3" s="10" t="s">
        <v>167</v>
      </c>
      <c r="B3" t="s">
        <v>169</v>
      </c>
    </row>
    <row r="4" spans="1:2" x14ac:dyDescent="0.25">
      <c r="A4" s="11" t="s">
        <v>42</v>
      </c>
      <c r="B4" s="3">
        <v>67180.5</v>
      </c>
    </row>
    <row r="5" spans="1:2" x14ac:dyDescent="0.25">
      <c r="A5" s="11" t="s">
        <v>58</v>
      </c>
      <c r="B5" s="3">
        <v>50208.35</v>
      </c>
    </row>
    <row r="6" spans="1:2" x14ac:dyDescent="0.25">
      <c r="A6" s="11" t="s">
        <v>115</v>
      </c>
      <c r="B6" s="3">
        <v>50145.330000000009</v>
      </c>
    </row>
    <row r="7" spans="1:2" x14ac:dyDescent="0.25">
      <c r="A7" s="11" t="s">
        <v>92</v>
      </c>
      <c r="B7" s="3">
        <v>43713</v>
      </c>
    </row>
    <row r="8" spans="1:2" x14ac:dyDescent="0.25">
      <c r="A8" s="11" t="s">
        <v>99</v>
      </c>
      <c r="B8" s="3">
        <v>41095.01</v>
      </c>
    </row>
    <row r="9" spans="1:2" x14ac:dyDescent="0.25">
      <c r="A9" s="11" t="s">
        <v>84</v>
      </c>
      <c r="B9" s="3">
        <v>37428</v>
      </c>
    </row>
    <row r="10" spans="1:2" x14ac:dyDescent="0.25">
      <c r="A10" s="11" t="s">
        <v>168</v>
      </c>
      <c r="B10" s="3">
        <v>289770.19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5409D-D49F-4A99-8B3E-BDC09200FBB6}">
  <dimension ref="A3:D10"/>
  <sheetViews>
    <sheetView workbookViewId="0">
      <selection activeCell="B7" sqref="B7"/>
    </sheetView>
  </sheetViews>
  <sheetFormatPr defaultRowHeight="15" x14ac:dyDescent="0.25"/>
  <cols>
    <col min="1" max="1" width="17" bestFit="1" customWidth="1"/>
    <col min="2" max="2" width="15.5703125" bestFit="1" customWidth="1"/>
    <col min="3" max="3" width="18.7109375" bestFit="1" customWidth="1"/>
    <col min="4" max="4" width="0.140625" hidden="1" customWidth="1"/>
    <col min="6" max="6" width="3.7109375" customWidth="1"/>
    <col min="8" max="8" width="13.85546875" customWidth="1"/>
    <col min="11" max="11" width="3" customWidth="1"/>
    <col min="12" max="12" width="11.28515625" customWidth="1"/>
  </cols>
  <sheetData>
    <row r="3" spans="1:2" x14ac:dyDescent="0.25">
      <c r="A3" s="10" t="s">
        <v>167</v>
      </c>
      <c r="B3" t="s">
        <v>169</v>
      </c>
    </row>
    <row r="4" spans="1:2" x14ac:dyDescent="0.25">
      <c r="A4" s="11" t="s">
        <v>124</v>
      </c>
      <c r="B4" s="3">
        <v>25465.599999999999</v>
      </c>
    </row>
    <row r="5" spans="1:2" x14ac:dyDescent="0.25">
      <c r="A5" s="11" t="s">
        <v>39</v>
      </c>
      <c r="B5" s="3">
        <v>27999.5</v>
      </c>
    </row>
    <row r="6" spans="1:2" x14ac:dyDescent="0.25">
      <c r="A6" s="11" t="s">
        <v>134</v>
      </c>
      <c r="B6" s="3">
        <v>33129.600000000006</v>
      </c>
    </row>
    <row r="7" spans="1:2" x14ac:dyDescent="0.25">
      <c r="A7" s="11" t="s">
        <v>110</v>
      </c>
      <c r="B7" s="3">
        <v>51541</v>
      </c>
    </row>
    <row r="8" spans="1:2" x14ac:dyDescent="0.25">
      <c r="A8" s="11" t="s">
        <v>89</v>
      </c>
      <c r="B8" s="3">
        <v>69000</v>
      </c>
    </row>
    <row r="9" spans="1:2" x14ac:dyDescent="0.25">
      <c r="A9" s="11" t="s">
        <v>37</v>
      </c>
      <c r="B9" s="3">
        <v>110577.10999999999</v>
      </c>
    </row>
    <row r="10" spans="1:2" x14ac:dyDescent="0.25">
      <c r="A10" s="11" t="s">
        <v>168</v>
      </c>
      <c r="B10" s="3">
        <v>317712.81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65BED-C9E0-4520-8681-2712FDE2DCC0}">
  <dimension ref="A3:D7"/>
  <sheetViews>
    <sheetView workbookViewId="0">
      <selection activeCell="L21" sqref="L21"/>
    </sheetView>
  </sheetViews>
  <sheetFormatPr defaultRowHeight="15" x14ac:dyDescent="0.25"/>
  <cols>
    <col min="1" max="1" width="13.140625" bestFit="1" customWidth="1"/>
    <col min="2" max="2" width="15.5703125" bestFit="1" customWidth="1"/>
    <col min="3" max="3" width="18.7109375" bestFit="1" customWidth="1"/>
    <col min="4" max="4" width="0.140625" hidden="1" customWidth="1"/>
    <col min="6" max="6" width="3.7109375" customWidth="1"/>
    <col min="8" max="8" width="13.85546875" customWidth="1"/>
    <col min="11" max="11" width="3" customWidth="1"/>
    <col min="12" max="12" width="11.28515625" customWidth="1"/>
  </cols>
  <sheetData>
    <row r="3" spans="1:2" x14ac:dyDescent="0.25">
      <c r="A3" s="10" t="s">
        <v>167</v>
      </c>
      <c r="B3" t="s">
        <v>169</v>
      </c>
    </row>
    <row r="4" spans="1:2" x14ac:dyDescent="0.25">
      <c r="A4" s="11" t="s">
        <v>115</v>
      </c>
      <c r="B4" s="17">
        <v>0.29931402654670231</v>
      </c>
    </row>
    <row r="5" spans="1:2" x14ac:dyDescent="0.25">
      <c r="A5" s="11" t="s">
        <v>42</v>
      </c>
      <c r="B5" s="17">
        <v>0.40099578486014015</v>
      </c>
    </row>
    <row r="6" spans="1:2" x14ac:dyDescent="0.25">
      <c r="A6" s="11" t="s">
        <v>58</v>
      </c>
      <c r="B6" s="17">
        <v>0.29969018859315749</v>
      </c>
    </row>
    <row r="7" spans="1:2" x14ac:dyDescent="0.25">
      <c r="A7" s="11" t="s">
        <v>168</v>
      </c>
      <c r="B7" s="17">
        <v>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499F8-0B11-40E6-B45A-C58097E47D60}">
  <dimension ref="A3:D8"/>
  <sheetViews>
    <sheetView topLeftCell="F3" workbookViewId="0">
      <selection activeCell="X32" sqref="X32"/>
    </sheetView>
  </sheetViews>
  <sheetFormatPr defaultRowHeight="15" x14ac:dyDescent="0.25"/>
  <cols>
    <col min="1" max="1" width="13.140625" bestFit="1" customWidth="1"/>
    <col min="2" max="2" width="15.5703125" bestFit="1" customWidth="1"/>
    <col min="3" max="3" width="18.7109375" bestFit="1" customWidth="1"/>
    <col min="4" max="4" width="0.140625" hidden="1" customWidth="1"/>
    <col min="6" max="6" width="3.7109375" customWidth="1"/>
    <col min="8" max="8" width="13.85546875" customWidth="1"/>
    <col min="11" max="11" width="3" customWidth="1"/>
    <col min="12" max="12" width="11.28515625" customWidth="1"/>
  </cols>
  <sheetData>
    <row r="3" spans="1:2" x14ac:dyDescent="0.25">
      <c r="A3" s="10" t="s">
        <v>167</v>
      </c>
      <c r="B3" t="s">
        <v>169</v>
      </c>
    </row>
    <row r="4" spans="1:2" x14ac:dyDescent="0.25">
      <c r="A4" s="11" t="s">
        <v>61</v>
      </c>
      <c r="B4" s="3">
        <v>141680.33999999997</v>
      </c>
    </row>
    <row r="5" spans="1:2" x14ac:dyDescent="0.25">
      <c r="A5" s="11" t="s">
        <v>45</v>
      </c>
      <c r="B5" s="3">
        <v>108275.51</v>
      </c>
    </row>
    <row r="6" spans="1:2" x14ac:dyDescent="0.25">
      <c r="A6" s="11" t="s">
        <v>95</v>
      </c>
      <c r="B6" s="3">
        <v>93858.329999999987</v>
      </c>
    </row>
    <row r="7" spans="1:2" x14ac:dyDescent="0.25">
      <c r="A7" s="11" t="s">
        <v>32</v>
      </c>
      <c r="B7" s="3">
        <v>91251.979999999981</v>
      </c>
    </row>
    <row r="8" spans="1:2" x14ac:dyDescent="0.25">
      <c r="A8" s="11" t="s">
        <v>168</v>
      </c>
      <c r="B8" s="3">
        <v>435066.15999999992</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85138-8B9D-488C-8F67-48E3634FEEC5}">
  <dimension ref="A3:D15"/>
  <sheetViews>
    <sheetView topLeftCell="E1" workbookViewId="0">
      <selection activeCell="B7" sqref="B7"/>
    </sheetView>
  </sheetViews>
  <sheetFormatPr defaultRowHeight="15" x14ac:dyDescent="0.25"/>
  <cols>
    <col min="1" max="1" width="13.140625" bestFit="1" customWidth="1"/>
    <col min="2" max="2" width="15.5703125" bestFit="1" customWidth="1"/>
    <col min="3" max="3" width="2.85546875" customWidth="1"/>
    <col min="4" max="4" width="0.140625" hidden="1" customWidth="1"/>
    <col min="6" max="6" width="3.7109375" customWidth="1"/>
    <col min="8" max="8" width="13.85546875" customWidth="1"/>
    <col min="11" max="11" width="3" customWidth="1"/>
    <col min="12" max="12" width="11.28515625" customWidth="1"/>
  </cols>
  <sheetData>
    <row r="3" spans="1:2" x14ac:dyDescent="0.25">
      <c r="A3" s="10" t="s">
        <v>167</v>
      </c>
      <c r="B3" t="s">
        <v>169</v>
      </c>
    </row>
    <row r="4" spans="1:2" x14ac:dyDescent="0.25">
      <c r="A4" s="11" t="s">
        <v>180</v>
      </c>
      <c r="B4" s="3">
        <v>1563.9999999999998</v>
      </c>
    </row>
    <row r="5" spans="1:2" x14ac:dyDescent="0.25">
      <c r="A5" s="11" t="s">
        <v>181</v>
      </c>
      <c r="B5" s="3">
        <v>1352.4</v>
      </c>
    </row>
    <row r="6" spans="1:2" x14ac:dyDescent="0.25">
      <c r="A6" s="11" t="s">
        <v>182</v>
      </c>
      <c r="B6" s="3">
        <v>1370.8000000000002</v>
      </c>
    </row>
    <row r="7" spans="1:2" x14ac:dyDescent="0.25">
      <c r="A7" s="11" t="s">
        <v>183</v>
      </c>
      <c r="B7" s="3">
        <v>1506.4</v>
      </c>
    </row>
    <row r="8" spans="1:2" x14ac:dyDescent="0.25">
      <c r="A8" s="11" t="s">
        <v>184</v>
      </c>
      <c r="B8" s="3">
        <v>1575.6</v>
      </c>
    </row>
    <row r="9" spans="1:2" x14ac:dyDescent="0.25">
      <c r="A9" s="11" t="s">
        <v>185</v>
      </c>
      <c r="B9" s="3">
        <v>671.2</v>
      </c>
    </row>
    <row r="10" spans="1:2" x14ac:dyDescent="0.25">
      <c r="A10" s="11" t="s">
        <v>186</v>
      </c>
      <c r="B10" s="3">
        <v>1930</v>
      </c>
    </row>
    <row r="11" spans="1:2" x14ac:dyDescent="0.25">
      <c r="A11" s="11" t="s">
        <v>187</v>
      </c>
      <c r="B11" s="3">
        <v>2412</v>
      </c>
    </row>
    <row r="12" spans="1:2" x14ac:dyDescent="0.25">
      <c r="A12" s="11" t="s">
        <v>188</v>
      </c>
      <c r="B12" s="3">
        <v>2270.8000000000002</v>
      </c>
    </row>
    <row r="13" spans="1:2" x14ac:dyDescent="0.25">
      <c r="A13" s="11" t="s">
        <v>189</v>
      </c>
      <c r="B13" s="3">
        <v>1477.6</v>
      </c>
    </row>
    <row r="14" spans="1:2" x14ac:dyDescent="0.25">
      <c r="A14" s="11" t="s">
        <v>190</v>
      </c>
      <c r="B14" s="3">
        <v>2922.7999999999997</v>
      </c>
    </row>
    <row r="15" spans="1:2" x14ac:dyDescent="0.25">
      <c r="A15" s="11" t="s">
        <v>168</v>
      </c>
      <c r="B15" s="3">
        <v>19053.600000000002</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49F19-0189-4906-815F-9BDDA8B7562E}">
  <dimension ref="A3:B7"/>
  <sheetViews>
    <sheetView workbookViewId="0">
      <selection activeCell="M9" sqref="M9"/>
    </sheetView>
  </sheetViews>
  <sheetFormatPr defaultRowHeight="15" x14ac:dyDescent="0.25"/>
  <cols>
    <col min="1" max="1" width="15.7109375" bestFit="1" customWidth="1"/>
    <col min="2" max="2" width="15.5703125" bestFit="1" customWidth="1"/>
    <col min="5" max="6" width="8" customWidth="1"/>
    <col min="8" max="9" width="9.85546875" customWidth="1"/>
    <col min="10" max="11" width="10.5703125" customWidth="1"/>
    <col min="12" max="12" width="10.85546875" customWidth="1"/>
  </cols>
  <sheetData>
    <row r="3" spans="1:2" x14ac:dyDescent="0.25">
      <c r="A3" s="10" t="s">
        <v>167</v>
      </c>
      <c r="B3" t="s">
        <v>169</v>
      </c>
    </row>
    <row r="4" spans="1:2" x14ac:dyDescent="0.25">
      <c r="A4" s="11" t="s">
        <v>60</v>
      </c>
      <c r="B4" s="17">
        <v>0.39297327536382004</v>
      </c>
    </row>
    <row r="5" spans="1:2" x14ac:dyDescent="0.25">
      <c r="A5" s="11" t="s">
        <v>94</v>
      </c>
      <c r="B5" s="17">
        <v>0.35379364492229431</v>
      </c>
    </row>
    <row r="6" spans="1:2" x14ac:dyDescent="0.25">
      <c r="A6" s="11" t="s">
        <v>44</v>
      </c>
      <c r="B6" s="17">
        <v>0.25323307971388576</v>
      </c>
    </row>
    <row r="7" spans="1:2" x14ac:dyDescent="0.25">
      <c r="A7" s="11" t="s">
        <v>168</v>
      </c>
      <c r="B7" s="17">
        <v>1</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B19:C20"/>
  <sheetViews>
    <sheetView showGridLines="0" tabSelected="1" workbookViewId="0">
      <selection activeCell="L9" sqref="L9"/>
    </sheetView>
  </sheetViews>
  <sheetFormatPr defaultRowHeight="15" x14ac:dyDescent="0.25"/>
  <sheetData>
    <row r="19" spans="2:3" x14ac:dyDescent="0.25">
      <c r="B19" s="6" t="s">
        <v>153</v>
      </c>
      <c r="C19" t="s">
        <v>154</v>
      </c>
    </row>
    <row r="20" spans="2:3" x14ac:dyDescent="0.25">
      <c r="B20" s="6" t="s">
        <v>152</v>
      </c>
      <c r="C20" s="5" t="s">
        <v>155</v>
      </c>
    </row>
  </sheetData>
  <hyperlinks>
    <hyperlink ref="C20" r:id="rId1" xr:uid="{00000000-0004-0000-0200-000000000000}"/>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1B002-E916-4CD1-AECC-DDD52620809D}">
  <dimension ref="A3:N21"/>
  <sheetViews>
    <sheetView workbookViewId="0">
      <selection activeCell="B4" sqref="B4:B6"/>
    </sheetView>
  </sheetViews>
  <sheetFormatPr defaultColWidth="8.85546875" defaultRowHeight="15" x14ac:dyDescent="0.25"/>
  <cols>
    <col min="1" max="1" width="13.140625" bestFit="1" customWidth="1"/>
    <col min="2" max="2" width="15.5703125" bestFit="1" customWidth="1"/>
  </cols>
  <sheetData>
    <row r="3" spans="1:2" x14ac:dyDescent="0.25">
      <c r="A3" s="10" t="s">
        <v>167</v>
      </c>
      <c r="B3" t="s">
        <v>169</v>
      </c>
    </row>
    <row r="4" spans="1:2" x14ac:dyDescent="0.25">
      <c r="A4" s="11" t="s">
        <v>40</v>
      </c>
      <c r="B4" s="17">
        <v>0.41700638447044525</v>
      </c>
    </row>
    <row r="5" spans="1:2" x14ac:dyDescent="0.25">
      <c r="A5" s="11" t="s">
        <v>56</v>
      </c>
      <c r="B5" s="17">
        <v>0.31165594932646645</v>
      </c>
    </row>
    <row r="6" spans="1:2" x14ac:dyDescent="0.25">
      <c r="A6" s="11" t="s">
        <v>90</v>
      </c>
      <c r="B6" s="17">
        <v>0.2713376662030883</v>
      </c>
    </row>
    <row r="7" spans="1:2" x14ac:dyDescent="0.25">
      <c r="A7" s="11" t="s">
        <v>168</v>
      </c>
      <c r="B7" s="17">
        <v>1</v>
      </c>
    </row>
    <row r="21" spans="14:14" x14ac:dyDescent="0.25">
      <c r="N21" t="s">
        <v>170</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7C83A-91CB-4552-B808-99267B822A40}">
  <dimension ref="A1:A6"/>
  <sheetViews>
    <sheetView showGridLines="0" zoomScale="52" zoomScaleNormal="52" workbookViewId="0">
      <selection activeCell="AP66" sqref="AP66"/>
    </sheetView>
  </sheetViews>
  <sheetFormatPr defaultRowHeight="15" x14ac:dyDescent="0.25"/>
  <cols>
    <col min="1" max="16384" width="9.140625" style="14"/>
  </cols>
  <sheetData>
    <row r="1" ht="18" customHeight="1" x14ac:dyDescent="0.25"/>
    <row r="2" ht="16.5" customHeight="1" x14ac:dyDescent="0.25"/>
    <row r="3" ht="15" customHeight="1" x14ac:dyDescent="0.25"/>
    <row r="4" ht="19.5" customHeight="1" x14ac:dyDescent="0.25"/>
    <row r="6" ht="16.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470EB-4A98-4231-B3EC-42F4DD12B35A}">
  <dimension ref="A1"/>
  <sheetViews>
    <sheetView showGridLines="0" topLeftCell="A9" zoomScale="84" zoomScaleNormal="84" workbookViewId="0">
      <selection activeCell="V40" sqref="V40"/>
    </sheetView>
  </sheetViews>
  <sheetFormatPr defaultRowHeight="15" x14ac:dyDescent="0.25"/>
  <sheetData>
    <row r="1" ht="11.25" customHeight="1" x14ac:dyDescent="0.25"/>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29A3A-EC2E-40C5-AB4E-43841DD38C63}">
  <dimension ref="A1"/>
  <sheetViews>
    <sheetView showGridLines="0" zoomScale="92" zoomScaleNormal="92" workbookViewId="0">
      <selection activeCell="T36" sqref="T36"/>
    </sheetView>
  </sheetViews>
  <sheetFormatPr defaultRowHeight="15" x14ac:dyDescent="0.25"/>
  <cols>
    <col min="1" max="16384" width="9.140625" style="1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Task</vt:lpstr>
      <vt:lpstr>Data (2)</vt:lpstr>
      <vt:lpstr>TRANSACTIONS BY AMOUNT</vt:lpstr>
      <vt:lpstr>PERFORMANCE BY STATE </vt:lpstr>
      <vt:lpstr>IN ANALYSIS BOARD</vt:lpstr>
      <vt:lpstr>Top 6 SHIP CITIES BY REVENUE</vt:lpstr>
      <vt:lpstr>SALES BY PRODUCT CATEGORY</vt:lpstr>
      <vt:lpstr>TOP 5 CITIES</vt:lpstr>
      <vt:lpstr>SALES PERFORMANCE BY REGION</vt:lpstr>
      <vt:lpstr>SALES TREND REPORT</vt:lpstr>
      <vt:lpstr>SALES PERFORMANCE BY REPS</vt:lpstr>
      <vt:lpstr>Pivot Table Diagram</vt:lpstr>
      <vt:lpstr>TOP 10 CUSTOMERS</vt:lpstr>
      <vt:lpstr>DASH BOARD</vt:lpstr>
      <vt:lpstr>POST ANALYSIS BOARD</vt:lpstr>
      <vt:lpstr>DASH BOARD STYLE 1</vt:lpstr>
    </vt:vector>
  </TitlesOfParts>
  <Company>Excel Campus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dc:creator>
  <cp:lastModifiedBy>Ikponmwosa Bazuaye</cp:lastModifiedBy>
  <dcterms:created xsi:type="dcterms:W3CDTF">2015-01-21T18:43:03Z</dcterms:created>
  <dcterms:modified xsi:type="dcterms:W3CDTF">2026-09-15T23:29:41Z</dcterms:modified>
</cp:coreProperties>
</file>